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 hidePivotFieldList="1"/>
  <mc:AlternateContent xmlns:mc="http://schemas.openxmlformats.org/markup-compatibility/2006">
    <mc:Choice Requires="x15">
      <x15ac:absPath xmlns:x15ac="http://schemas.microsoft.com/office/spreadsheetml/2010/11/ac" url="https://mchcgr-my.sharepoint.com/personal/0823235_mchcgr_com/Documents/EHS (Private)/15. Machine Safety/Chứng Nhân Vận Hành/Chứng nhận vận hành NEW/"/>
    </mc:Choice>
  </mc:AlternateContent>
  <xr:revisionPtr revIDLastSave="1124" documentId="13_ncr:1_{6BF9D1CD-0764-46E7-A755-419EF47D62B4}" xr6:coauthVersionLast="47" xr6:coauthVersionMax="47" xr10:uidLastSave="{09E9064D-4626-438D-8856-B446D46321D0}"/>
  <bookViews>
    <workbookView xWindow="-120" yWindow="-120" windowWidth="20730" windowHeight="11040" tabRatio="883" firstSheet="1" activeTab="1" xr2:uid="{CBE9864D-2A27-423C-9E44-8AA40C1950D7}"/>
  </bookViews>
  <sheets>
    <sheet name="Summary1" sheetId="2" state="hidden" r:id="rId1"/>
    <sheet name="Summary" sheetId="22" r:id="rId2"/>
    <sheet name="Data" sheetId="26" state="hidden" r:id="rId3"/>
    <sheet name="Cert_Matrix" sheetId="24" r:id="rId4"/>
    <sheet name="G_Cutting" sheetId="7" r:id="rId5"/>
    <sheet name="G_Rolling" sheetId="11" r:id="rId6"/>
    <sheet name="G_Finishing" sheetId="12" r:id="rId7"/>
    <sheet name="G_Buffing" sheetId="13" r:id="rId8"/>
    <sheet name="G_Dipping" sheetId="14" r:id="rId9"/>
    <sheet name="G_Graphics" sheetId="15" r:id="rId10"/>
    <sheet name="A_Blank" sheetId="17" r:id="rId11"/>
    <sheet name="A_Graphics" sheetId="19" r:id="rId12"/>
    <sheet name="Kayak" sheetId="20" r:id="rId13"/>
    <sheet name="QC" sheetId="28" r:id="rId14"/>
    <sheet name="HC Golf" sheetId="5" state="hidden" r:id="rId15"/>
    <sheet name="HC Arrow" sheetId="6" state="hidden" r:id="rId16"/>
  </sheets>
  <definedNames>
    <definedName name="_xlnm._FilterDatabase" localSheetId="10" hidden="1">A_Blank!$A$6:$AD$55</definedName>
    <definedName name="_xlnm._FilterDatabase" localSheetId="11" hidden="1">A_Graphics!$A$5:$G$36</definedName>
    <definedName name="_xlnm._FilterDatabase" localSheetId="7" hidden="1">G_Buffing!$A$5:$G$51</definedName>
    <definedName name="_xlnm._FilterDatabase" localSheetId="4" hidden="1">G_Cutting!$A$5:$G$73</definedName>
    <definedName name="_xlnm._FilterDatabase" localSheetId="8" hidden="1">G_Dipping!$A$6:$U$80</definedName>
    <definedName name="_xlnm._FilterDatabase" localSheetId="6" hidden="1">G_Finishing!$A$5:$G$52</definedName>
    <definedName name="_xlnm._FilterDatabase" localSheetId="9" hidden="1">G_Graphics!$A$6:$V$83</definedName>
    <definedName name="_xlnm._FilterDatabase" localSheetId="5" hidden="1">G_Rolling!$A$6:$Y$150</definedName>
    <definedName name="_xlnm._FilterDatabase" localSheetId="15" hidden="1">'HC Arrow'!$A$1:$H$127</definedName>
    <definedName name="_xlnm._FilterDatabase" localSheetId="14" hidden="1">'HC Golf'!$A$1:$H$457</definedName>
    <definedName name="_xlnm._FilterDatabase" localSheetId="12" hidden="1">Kayak!$A$5:$G$6</definedName>
    <definedName name="_xlnm._FilterDatabase" localSheetId="13" hidden="1">QC!$A$6:$AF$6</definedName>
    <definedName name="_xlnm._FilterDatabase" localSheetId="0" hidden="1">Summary1!$A$8:$CPD$8</definedName>
    <definedName name="_xlnm.Print_Area" localSheetId="10">A_Blank!$A$1:$AD$55</definedName>
    <definedName name="_xlnm.Print_Area" localSheetId="7">G_Buffing!$A$1:$S$51</definedName>
    <definedName name="_xlnm.Print_Area" localSheetId="4">G_Cutting!$A$1:$U$76</definedName>
    <definedName name="_xlnm.Print_Area" localSheetId="8">G_Dipping!$A$1:$U$80</definedName>
    <definedName name="_xlnm.Print_Area" localSheetId="6">G_Finishing!$A$1:$S$52</definedName>
    <definedName name="_xlnm.Print_Area" localSheetId="9">G_Graphics!$A$1:$V$83</definedName>
    <definedName name="_xlnm.Print_Area" localSheetId="5">G_Rolling!$A$1:$Y$150</definedName>
    <definedName name="_xlnm.Print_Area" localSheetId="12">Kayak!$A$1:$Z$19</definedName>
    <definedName name="_xlnm.Print_Area" localSheetId="13">QC!$B$1:$AC$125</definedName>
    <definedName name="_xlnm.Print_Area" localSheetId="0">Summary1!$A$1:$AG$524</definedName>
    <definedName name="_xlnm.Print_Titles" localSheetId="10">A_Blank!$4:$6</definedName>
    <definedName name="_xlnm.Print_Titles" localSheetId="11">A_Graphics!$4:$6</definedName>
    <definedName name="_xlnm.Print_Titles" localSheetId="7">G_Buffing!$4:$6</definedName>
    <definedName name="_xlnm.Print_Titles" localSheetId="4">G_Cutting!$5:$6</definedName>
    <definedName name="_xlnm.Print_Titles" localSheetId="8">G_Dipping!$4:$6</definedName>
    <definedName name="_xlnm.Print_Titles" localSheetId="6">G_Finishing!$4:$6</definedName>
    <definedName name="_xlnm.Print_Titles" localSheetId="9">G_Graphics!$4:$6</definedName>
    <definedName name="_xlnm.Print_Titles" localSheetId="5">G_Rolling!$2:$6</definedName>
    <definedName name="_xlnm.Print_Titles" localSheetId="12">Kayak!$4:$6</definedName>
    <definedName name="_xlnm.Print_Titles" localSheetId="13">QC!$4:$6</definedName>
    <definedName name="_xlnm.Print_Titles" localSheetId="0">Summary1!$1:$8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2" l="1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D7" i="28"/>
  <c r="A87" i="26"/>
  <c r="V147" i="11" a="1"/>
  <c r="V147" i="11" s="1"/>
  <c r="Y146" i="11"/>
  <c r="Y147" i="11"/>
  <c r="Y148" i="11"/>
  <c r="Y149" i="11"/>
  <c r="Y150" i="11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U71" i="14"/>
  <c r="U72" i="14"/>
  <c r="U73" i="14"/>
  <c r="U74" i="14"/>
  <c r="U75" i="14"/>
  <c r="U76" i="14"/>
  <c r="U77" i="14"/>
  <c r="U78" i="14"/>
  <c r="R71" i="14" a="1"/>
  <c r="R71" i="14" s="1"/>
  <c r="R72" i="14" a="1"/>
  <c r="R72" i="14" s="1"/>
  <c r="R73" i="14" a="1"/>
  <c r="R73" i="14" s="1"/>
  <c r="R74" i="14" a="1"/>
  <c r="R74" i="14" s="1"/>
  <c r="R75" i="14" a="1"/>
  <c r="R75" i="14" s="1"/>
  <c r="R76" i="14" a="1"/>
  <c r="R76" i="14" s="1"/>
  <c r="R77" i="14" a="1"/>
  <c r="R77" i="14" s="1"/>
  <c r="A71" i="14"/>
  <c r="A72" i="14"/>
  <c r="A73" i="14"/>
  <c r="A74" i="14"/>
  <c r="A75" i="14"/>
  <c r="A76" i="14"/>
  <c r="A77" i="14"/>
  <c r="A78" i="14"/>
  <c r="A79" i="14"/>
  <c r="A80" i="14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W48" i="13"/>
  <c r="W49" i="13"/>
  <c r="W50" i="13"/>
  <c r="W51" i="13"/>
  <c r="T48" i="13" a="1"/>
  <c r="T48" i="13" s="1"/>
  <c r="T49" i="13" a="1"/>
  <c r="T49" i="13" s="1"/>
  <c r="T72" i="7" a="1"/>
  <c r="T72" i="7" s="1"/>
  <c r="A72" i="7"/>
  <c r="A73" i="7"/>
  <c r="C87" i="26"/>
  <c r="K87" i="26"/>
  <c r="D87" i="26"/>
  <c r="E87" i="26"/>
  <c r="F87" i="26"/>
  <c r="G87" i="26"/>
  <c r="H87" i="26"/>
  <c r="I87" i="26"/>
  <c r="J87" i="26"/>
  <c r="A7" i="28" l="1"/>
  <c r="AD8" i="28"/>
  <c r="AD9" i="28"/>
  <c r="AD10" i="28"/>
  <c r="AD11" i="28"/>
  <c r="AD12" i="28"/>
  <c r="AD13" i="28"/>
  <c r="AD14" i="28"/>
  <c r="AD15" i="28"/>
  <c r="AD16" i="28"/>
  <c r="AD17" i="28"/>
  <c r="AD18" i="28"/>
  <c r="AD19" i="28"/>
  <c r="AD20" i="28"/>
  <c r="AD21" i="28"/>
  <c r="AD22" i="28"/>
  <c r="AD23" i="28"/>
  <c r="AD24" i="28"/>
  <c r="AD25" i="28"/>
  <c r="AD26" i="28"/>
  <c r="AD27" i="28"/>
  <c r="AD28" i="28"/>
  <c r="AD29" i="28"/>
  <c r="AD30" i="28"/>
  <c r="AD31" i="28"/>
  <c r="AD32" i="28"/>
  <c r="AD33" i="28"/>
  <c r="AD34" i="28"/>
  <c r="AD35" i="28"/>
  <c r="AD36" i="28"/>
  <c r="AD37" i="28"/>
  <c r="AD38" i="28"/>
  <c r="AD39" i="28"/>
  <c r="AD40" i="28"/>
  <c r="AD41" i="28"/>
  <c r="AD42" i="28"/>
  <c r="AD43" i="28"/>
  <c r="AD44" i="28"/>
  <c r="AD45" i="28"/>
  <c r="AD46" i="28"/>
  <c r="AD47" i="28"/>
  <c r="AD48" i="28"/>
  <c r="AD49" i="28"/>
  <c r="AD50" i="28"/>
  <c r="AD51" i="28"/>
  <c r="AD52" i="28"/>
  <c r="AD53" i="28"/>
  <c r="AD54" i="28"/>
  <c r="AD55" i="28"/>
  <c r="AD56" i="28"/>
  <c r="AD57" i="28"/>
  <c r="AD58" i="28"/>
  <c r="AD59" i="28"/>
  <c r="AD60" i="28"/>
  <c r="AD61" i="28"/>
  <c r="AD62" i="28"/>
  <c r="AD63" i="28"/>
  <c r="AD64" i="28"/>
  <c r="AD65" i="28"/>
  <c r="AD66" i="28"/>
  <c r="AD67" i="28"/>
  <c r="AD68" i="28"/>
  <c r="AD69" i="28"/>
  <c r="AD70" i="28"/>
  <c r="AD71" i="28"/>
  <c r="AD72" i="28"/>
  <c r="AD73" i="28"/>
  <c r="AD74" i="28"/>
  <c r="AD75" i="28"/>
  <c r="AD76" i="28"/>
  <c r="AD77" i="28"/>
  <c r="AD78" i="28"/>
  <c r="AD79" i="28"/>
  <c r="AD80" i="28"/>
  <c r="AD81" i="28"/>
  <c r="AD82" i="28"/>
  <c r="AD83" i="28"/>
  <c r="AD84" i="28"/>
  <c r="AD85" i="28"/>
  <c r="AD86" i="28"/>
  <c r="AD87" i="28"/>
  <c r="AD88" i="28"/>
  <c r="AD89" i="28"/>
  <c r="AD90" i="28"/>
  <c r="AD91" i="28"/>
  <c r="AD92" i="28"/>
  <c r="AD93" i="28"/>
  <c r="AD94" i="28"/>
  <c r="AD95" i="28"/>
  <c r="AD96" i="28"/>
  <c r="AD97" i="28"/>
  <c r="AD98" i="28"/>
  <c r="AD99" i="28"/>
  <c r="AD100" i="28"/>
  <c r="AD101" i="28"/>
  <c r="AD102" i="28"/>
  <c r="AD103" i="28"/>
  <c r="AD104" i="28"/>
  <c r="AD105" i="28"/>
  <c r="AD106" i="28"/>
  <c r="AD107" i="28"/>
  <c r="AD108" i="28"/>
  <c r="AD109" i="28"/>
  <c r="AD110" i="28"/>
  <c r="AD111" i="28"/>
  <c r="AD112" i="28"/>
  <c r="AD113" i="28"/>
  <c r="AD114" i="28"/>
  <c r="AD115" i="28"/>
  <c r="AD116" i="28"/>
  <c r="AD117" i="28"/>
  <c r="AD118" i="28"/>
  <c r="AD119" i="28"/>
  <c r="AD120" i="28"/>
  <c r="AD121" i="28"/>
  <c r="AD122" i="28"/>
  <c r="AD123" i="28"/>
  <c r="AD124" i="28"/>
  <c r="AD125" i="28"/>
  <c r="V148" i="11" l="1" a="1"/>
  <c r="V148" i="11" s="1"/>
  <c r="V149" i="11" a="1"/>
  <c r="V149" i="11" s="1"/>
  <c r="A147" i="11"/>
  <c r="A148" i="11"/>
  <c r="A149" i="11"/>
  <c r="A150" i="11"/>
  <c r="T50" i="13" a="1"/>
  <c r="T50" i="13" s="1"/>
  <c r="U79" i="14"/>
  <c r="U80" i="14"/>
  <c r="R78" i="14" a="1"/>
  <c r="R78" i="14" s="1"/>
  <c r="R79" i="14" a="1"/>
  <c r="R79" i="14" s="1"/>
  <c r="AD8" i="17" l="1"/>
  <c r="AD9" i="17"/>
  <c r="AD10" i="17"/>
  <c r="AD11" i="17"/>
  <c r="AD12" i="17"/>
  <c r="AD13" i="17"/>
  <c r="AD14" i="17"/>
  <c r="AD15" i="17"/>
  <c r="AD16" i="17"/>
  <c r="AD17" i="17"/>
  <c r="AD18" i="17"/>
  <c r="AD19" i="17"/>
  <c r="AD20" i="17"/>
  <c r="AD21" i="17"/>
  <c r="AD22" i="17"/>
  <c r="AD23" i="17"/>
  <c r="AD24" i="17"/>
  <c r="AD25" i="17"/>
  <c r="AD26" i="17"/>
  <c r="AD27" i="17"/>
  <c r="AD28" i="17"/>
  <c r="AD29" i="17"/>
  <c r="AD30" i="17"/>
  <c r="AD31" i="17"/>
  <c r="AD32" i="17"/>
  <c r="AD33" i="17"/>
  <c r="AD34" i="17"/>
  <c r="AD35" i="17"/>
  <c r="AD36" i="17"/>
  <c r="AD37" i="17"/>
  <c r="AD38" i="17"/>
  <c r="AD39" i="17"/>
  <c r="AD40" i="17"/>
  <c r="AD41" i="17"/>
  <c r="AD42" i="17"/>
  <c r="AD43" i="17"/>
  <c r="AD44" i="17"/>
  <c r="AD45" i="17"/>
  <c r="AD46" i="17"/>
  <c r="AD47" i="17"/>
  <c r="AD48" i="17"/>
  <c r="AD49" i="17"/>
  <c r="AD50" i="17"/>
  <c r="AD51" i="17"/>
  <c r="AD52" i="17"/>
  <c r="AD53" i="17"/>
  <c r="AD54" i="17"/>
  <c r="AD55" i="17"/>
  <c r="A22" i="20"/>
  <c r="R38" i="19"/>
  <c r="R39" i="19"/>
  <c r="O38" i="19" a="1"/>
  <c r="O38" i="19" s="1"/>
  <c r="O39" i="19" a="1"/>
  <c r="O39" i="19" s="1"/>
  <c r="A37" i="19"/>
  <c r="A38" i="19"/>
  <c r="A39" i="19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U47" i="14"/>
  <c r="U48" i="14"/>
  <c r="U49" i="14"/>
  <c r="U50" i="14"/>
  <c r="U51" i="14"/>
  <c r="U52" i="14"/>
  <c r="U53" i="14"/>
  <c r="U54" i="14"/>
  <c r="U55" i="14"/>
  <c r="U56" i="14"/>
  <c r="U57" i="14"/>
  <c r="U58" i="14"/>
  <c r="U59" i="14"/>
  <c r="U60" i="14"/>
  <c r="U61" i="14"/>
  <c r="U62" i="14"/>
  <c r="U63" i="14"/>
  <c r="U64" i="14"/>
  <c r="U65" i="14"/>
  <c r="U66" i="14"/>
  <c r="U67" i="14"/>
  <c r="U68" i="14"/>
  <c r="U69" i="14"/>
  <c r="U70" i="14"/>
  <c r="R69" i="14" a="1"/>
  <c r="R69" i="14" s="1"/>
  <c r="R70" i="14" a="1"/>
  <c r="R70" i="14" s="1"/>
  <c r="A69" i="14"/>
  <c r="A70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45" i="12"/>
  <c r="A46" i="12"/>
  <c r="A47" i="12"/>
  <c r="A48" i="12"/>
  <c r="A49" i="12"/>
  <c r="A50" i="12"/>
  <c r="A51" i="12"/>
  <c r="A52" i="12"/>
  <c r="A53" i="12"/>
  <c r="T71" i="7" a="1"/>
  <c r="T71" i="7" s="1"/>
  <c r="A71" i="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104" i="11"/>
  <c r="Y105" i="11"/>
  <c r="Y106" i="11"/>
  <c r="Y107" i="11"/>
  <c r="Y108" i="11"/>
  <c r="Y109" i="11"/>
  <c r="Y110" i="11"/>
  <c r="Y111" i="11"/>
  <c r="Y112" i="11"/>
  <c r="Y113" i="11"/>
  <c r="Y114" i="11"/>
  <c r="Y115" i="11"/>
  <c r="Y116" i="11"/>
  <c r="Y117" i="11"/>
  <c r="Y118" i="11"/>
  <c r="Y119" i="11"/>
  <c r="Y120" i="11"/>
  <c r="Y121" i="11"/>
  <c r="Y122" i="11"/>
  <c r="Y123" i="11"/>
  <c r="Y124" i="11"/>
  <c r="Y125" i="11"/>
  <c r="Y126" i="11"/>
  <c r="Y127" i="11"/>
  <c r="Y128" i="11"/>
  <c r="Y129" i="11"/>
  <c r="Y130" i="11"/>
  <c r="Y131" i="11"/>
  <c r="Y132" i="11"/>
  <c r="Y133" i="11"/>
  <c r="Y134" i="11"/>
  <c r="Y135" i="11"/>
  <c r="Y136" i="11"/>
  <c r="Y137" i="11"/>
  <c r="Y138" i="11"/>
  <c r="Y139" i="11"/>
  <c r="Y140" i="11"/>
  <c r="Y141" i="11"/>
  <c r="Y142" i="11"/>
  <c r="Y143" i="11"/>
  <c r="Y144" i="11"/>
  <c r="Y145" i="11"/>
  <c r="Y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W7" i="12"/>
  <c r="T49" i="12" a="1"/>
  <c r="T49" i="12" s="1"/>
  <c r="T50" i="12" a="1"/>
  <c r="T50" i="12" s="1"/>
  <c r="T51" i="12" a="1"/>
  <c r="T51" i="12" s="1"/>
  <c r="T52" i="12" a="1"/>
  <c r="T52" i="12" s="1"/>
  <c r="T53" i="12" a="1"/>
  <c r="T53" i="12" s="1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7" i="13"/>
  <c r="T46" i="13" a="1"/>
  <c r="T46" i="13" s="1"/>
  <c r="T47" i="13" a="1"/>
  <c r="T47" i="13" s="1"/>
  <c r="U7" i="14"/>
  <c r="R64" i="14" a="1"/>
  <c r="R64" i="14" s="1"/>
  <c r="R65" i="14" a="1"/>
  <c r="R65" i="14" s="1"/>
  <c r="R66" i="14" a="1"/>
  <c r="R66" i="14" s="1"/>
  <c r="R67" i="14" a="1"/>
  <c r="R67" i="14" s="1"/>
  <c r="R68" i="14" a="1"/>
  <c r="R68" i="14" s="1"/>
  <c r="V78" i="15"/>
  <c r="V79" i="15"/>
  <c r="V80" i="15"/>
  <c r="V81" i="15"/>
  <c r="V82" i="15"/>
  <c r="V83" i="15"/>
  <c r="S8" i="15" a="1"/>
  <c r="S8" i="15" s="1"/>
  <c r="S9" i="15" a="1"/>
  <c r="S9" i="15" s="1"/>
  <c r="S10" i="15" a="1"/>
  <c r="S10" i="15" s="1"/>
  <c r="S11" i="15" a="1"/>
  <c r="S11" i="15" s="1"/>
  <c r="S12" i="15" a="1"/>
  <c r="S12" i="15" s="1"/>
  <c r="S13" i="15" a="1"/>
  <c r="S13" i="15" s="1"/>
  <c r="S14" i="15" a="1"/>
  <c r="S14" i="15" s="1"/>
  <c r="S15" i="15" a="1"/>
  <c r="S15" i="15" s="1"/>
  <c r="S16" i="15" a="1"/>
  <c r="S16" i="15" s="1"/>
  <c r="S17" i="15" a="1"/>
  <c r="S17" i="15" s="1"/>
  <c r="S18" i="15" a="1"/>
  <c r="S18" i="15" s="1"/>
  <c r="S19" i="15" a="1"/>
  <c r="S19" i="15" s="1"/>
  <c r="S20" i="15" a="1"/>
  <c r="S20" i="15" s="1"/>
  <c r="S21" i="15" a="1"/>
  <c r="S21" i="15" s="1"/>
  <c r="S22" i="15" a="1"/>
  <c r="S22" i="15" s="1"/>
  <c r="S23" i="15" a="1"/>
  <c r="S23" i="15" s="1"/>
  <c r="S24" i="15" a="1"/>
  <c r="S24" i="15" s="1"/>
  <c r="S25" i="15" a="1"/>
  <c r="S25" i="15" s="1"/>
  <c r="S26" i="15" a="1"/>
  <c r="S26" i="15" s="1"/>
  <c r="S27" i="15" a="1"/>
  <c r="S27" i="15" s="1"/>
  <c r="S28" i="15" a="1"/>
  <c r="S28" i="15" s="1"/>
  <c r="S29" i="15" a="1"/>
  <c r="S29" i="15" s="1"/>
  <c r="S30" i="15" a="1"/>
  <c r="S30" i="15" s="1"/>
  <c r="S31" i="15" a="1"/>
  <c r="S31" i="15" s="1"/>
  <c r="S32" i="15" a="1"/>
  <c r="S32" i="15" s="1"/>
  <c r="S33" i="15" a="1"/>
  <c r="S33" i="15" s="1"/>
  <c r="S34" i="15" a="1"/>
  <c r="S34" i="15" s="1"/>
  <c r="S35" i="15" a="1"/>
  <c r="S35" i="15" s="1"/>
  <c r="S36" i="15" a="1"/>
  <c r="S36" i="15" s="1"/>
  <c r="S37" i="15" a="1"/>
  <c r="S37" i="15" s="1"/>
  <c r="S38" i="15" a="1"/>
  <c r="S38" i="15" s="1"/>
  <c r="S39" i="15" a="1"/>
  <c r="S39" i="15" s="1"/>
  <c r="S40" i="15" a="1"/>
  <c r="S40" i="15" s="1"/>
  <c r="S41" i="15" a="1"/>
  <c r="S41" i="15" s="1"/>
  <c r="S42" i="15" a="1"/>
  <c r="S42" i="15" s="1"/>
  <c r="S43" i="15" a="1"/>
  <c r="S43" i="15" s="1"/>
  <c r="S44" i="15" a="1"/>
  <c r="S44" i="15" s="1"/>
  <c r="S45" i="15" a="1"/>
  <c r="S45" i="15" s="1"/>
  <c r="S46" i="15" a="1"/>
  <c r="S46" i="15" s="1"/>
  <c r="S47" i="15" a="1"/>
  <c r="S47" i="15" s="1"/>
  <c r="S48" i="15" a="1"/>
  <c r="S48" i="15" s="1"/>
  <c r="S49" i="15" a="1"/>
  <c r="S49" i="15" s="1"/>
  <c r="S50" i="15" a="1"/>
  <c r="S50" i="15" s="1"/>
  <c r="S51" i="15" a="1"/>
  <c r="S51" i="15" s="1"/>
  <c r="S52" i="15" a="1"/>
  <c r="S52" i="15" s="1"/>
  <c r="S53" i="15" a="1"/>
  <c r="S53" i="15" s="1"/>
  <c r="S54" i="15" a="1"/>
  <c r="S54" i="15" s="1"/>
  <c r="S55" i="15" a="1"/>
  <c r="S55" i="15" s="1"/>
  <c r="S56" i="15" a="1"/>
  <c r="S56" i="15" s="1"/>
  <c r="S57" i="15" a="1"/>
  <c r="S57" i="15" s="1"/>
  <c r="S58" i="15" a="1"/>
  <c r="S58" i="15" s="1"/>
  <c r="S59" i="15" a="1"/>
  <c r="S59" i="15" s="1"/>
  <c r="S60" i="15" a="1"/>
  <c r="S60" i="15" s="1"/>
  <c r="S61" i="15" a="1"/>
  <c r="S61" i="15" s="1"/>
  <c r="S62" i="15" a="1"/>
  <c r="S62" i="15" s="1"/>
  <c r="S63" i="15" a="1"/>
  <c r="S63" i="15" s="1"/>
  <c r="S64" i="15" a="1"/>
  <c r="S64" i="15" s="1"/>
  <c r="S65" i="15" a="1"/>
  <c r="S65" i="15" s="1"/>
  <c r="S66" i="15" a="1"/>
  <c r="S66" i="15" s="1"/>
  <c r="S67" i="15" a="1"/>
  <c r="S67" i="15" s="1"/>
  <c r="S68" i="15" a="1"/>
  <c r="S68" i="15" s="1"/>
  <c r="S69" i="15" a="1"/>
  <c r="S69" i="15" s="1"/>
  <c r="S70" i="15" a="1"/>
  <c r="S70" i="15" s="1"/>
  <c r="S71" i="15" a="1"/>
  <c r="S71" i="15" s="1"/>
  <c r="S72" i="15" a="1"/>
  <c r="S72" i="15" s="1"/>
  <c r="S73" i="15" a="1"/>
  <c r="S73" i="15" s="1"/>
  <c r="S74" i="15" a="1"/>
  <c r="S74" i="15" s="1"/>
  <c r="S75" i="15" a="1"/>
  <c r="S75" i="15" s="1"/>
  <c r="S76" i="15" a="1"/>
  <c r="S76" i="15" s="1"/>
  <c r="S77" i="15" a="1"/>
  <c r="S77" i="15" s="1"/>
  <c r="S78" i="15" a="1"/>
  <c r="S78" i="15" s="1"/>
  <c r="S79" i="15" a="1"/>
  <c r="S79" i="15" s="1"/>
  <c r="S80" i="15" a="1"/>
  <c r="S80" i="15" s="1"/>
  <c r="S81" i="15" a="1"/>
  <c r="S81" i="15" s="1"/>
  <c r="S82" i="15" a="1"/>
  <c r="S82" i="15" s="1"/>
  <c r="S83" i="15" a="1"/>
  <c r="S83" i="15" s="1"/>
  <c r="S7" i="15" a="1"/>
  <c r="S7" i="15" s="1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" i="15"/>
  <c r="AD8" i="20"/>
  <c r="AD9" i="20"/>
  <c r="AD10" i="20"/>
  <c r="AD11" i="20"/>
  <c r="AD12" i="20"/>
  <c r="AD13" i="20"/>
  <c r="AD14" i="20"/>
  <c r="AD15" i="20"/>
  <c r="AD16" i="20"/>
  <c r="AD17" i="20"/>
  <c r="AD18" i="20"/>
  <c r="AD19" i="20"/>
  <c r="AD20" i="20"/>
  <c r="AD21" i="20"/>
  <c r="AD22" i="20"/>
  <c r="AD7" i="20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7" i="19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D7" i="17"/>
  <c r="V150" i="11" l="1" a="1"/>
  <c r="V150" i="11" s="1"/>
  <c r="T68" i="7" l="1" a="1"/>
  <c r="T68" i="7" s="1"/>
  <c r="AA8" i="17" a="1"/>
  <c r="AA8" i="17" s="1"/>
  <c r="AA9" i="17" a="1"/>
  <c r="AA9" i="17" s="1"/>
  <c r="AA10" i="17" a="1"/>
  <c r="AA10" i="17" s="1"/>
  <c r="AA11" i="17" a="1"/>
  <c r="AA11" i="17" s="1"/>
  <c r="AA12" i="17" a="1"/>
  <c r="AA12" i="17" s="1"/>
  <c r="AA13" i="17" a="1"/>
  <c r="AA13" i="17" s="1"/>
  <c r="AA14" i="17" a="1"/>
  <c r="AA14" i="17" s="1"/>
  <c r="AA15" i="17" a="1"/>
  <c r="AA15" i="17" s="1"/>
  <c r="AA16" i="17" a="1"/>
  <c r="AA16" i="17" s="1"/>
  <c r="AA17" i="17" a="1"/>
  <c r="AA17" i="17" s="1"/>
  <c r="AA18" i="17" a="1"/>
  <c r="AA18" i="17" s="1"/>
  <c r="AA19" i="17" a="1"/>
  <c r="AA19" i="17" s="1"/>
  <c r="AA20" i="17" a="1"/>
  <c r="AA20" i="17" s="1"/>
  <c r="AA21" i="17" a="1"/>
  <c r="AA21" i="17" s="1"/>
  <c r="AA22" i="17" a="1"/>
  <c r="AA22" i="17" s="1"/>
  <c r="AA23" i="17" a="1"/>
  <c r="AA23" i="17" s="1"/>
  <c r="AA24" i="17" a="1"/>
  <c r="AA24" i="17" s="1"/>
  <c r="AA25" i="17" a="1"/>
  <c r="AA25" i="17" s="1"/>
  <c r="AA26" i="17" a="1"/>
  <c r="AA26" i="17" s="1"/>
  <c r="AA27" i="17" a="1"/>
  <c r="AA27" i="17" s="1"/>
  <c r="AA28" i="17" a="1"/>
  <c r="AA28" i="17" s="1"/>
  <c r="AA29" i="17" a="1"/>
  <c r="AA29" i="17" s="1"/>
  <c r="AA30" i="17" a="1"/>
  <c r="AA30" i="17" s="1"/>
  <c r="AA31" i="17" a="1"/>
  <c r="AA31" i="17" s="1"/>
  <c r="AA32" i="17" a="1"/>
  <c r="AA32" i="17" s="1"/>
  <c r="AA33" i="17" a="1"/>
  <c r="AA33" i="17" s="1"/>
  <c r="AA34" i="17" a="1"/>
  <c r="AA34" i="17" s="1"/>
  <c r="AA35" i="17" a="1"/>
  <c r="AA35" i="17" s="1"/>
  <c r="AA36" i="17" a="1"/>
  <c r="AA36" i="17" s="1"/>
  <c r="AA37" i="17" a="1"/>
  <c r="AA37" i="17" s="1"/>
  <c r="AA38" i="17" a="1"/>
  <c r="AA38" i="17" s="1"/>
  <c r="AA39" i="17" a="1"/>
  <c r="AA39" i="17" s="1"/>
  <c r="AA40" i="17" a="1"/>
  <c r="AA40" i="17" s="1"/>
  <c r="AA41" i="17" a="1"/>
  <c r="AA41" i="17" s="1"/>
  <c r="AA42" i="17" a="1"/>
  <c r="AA42" i="17" s="1"/>
  <c r="AA43" i="17" a="1"/>
  <c r="AA43" i="17" s="1"/>
  <c r="AA44" i="17" a="1"/>
  <c r="AA44" i="17" s="1"/>
  <c r="AA45" i="17" a="1"/>
  <c r="AA45" i="17" s="1"/>
  <c r="AA46" i="17" a="1"/>
  <c r="AA46" i="17" s="1"/>
  <c r="AA47" i="17" a="1"/>
  <c r="AA47" i="17" s="1"/>
  <c r="AA48" i="17" a="1"/>
  <c r="AA48" i="17" s="1"/>
  <c r="AA49" i="17" a="1"/>
  <c r="AA49" i="17" s="1"/>
  <c r="AA50" i="17" a="1"/>
  <c r="AA50" i="17" s="1"/>
  <c r="AA51" i="17" a="1"/>
  <c r="AA51" i="17" s="1"/>
  <c r="AA52" i="17" a="1"/>
  <c r="AA52" i="17" s="1"/>
  <c r="AA53" i="17" a="1"/>
  <c r="AA53" i="17" s="1"/>
  <c r="AA54" i="17" a="1"/>
  <c r="AA54" i="17" s="1"/>
  <c r="AA55" i="17" a="1"/>
  <c r="AA55" i="17" s="1"/>
  <c r="AA7" i="17" a="1"/>
  <c r="AA7" i="17" s="1"/>
  <c r="AA8" i="20"/>
  <c r="AA9" i="20"/>
  <c r="AA10" i="20"/>
  <c r="AA11" i="20"/>
  <c r="AA12" i="20"/>
  <c r="AA13" i="20"/>
  <c r="AA14" i="20"/>
  <c r="AA15" i="20"/>
  <c r="AA16" i="20"/>
  <c r="AA17" i="20"/>
  <c r="AA18" i="20"/>
  <c r="AA19" i="20"/>
  <c r="AA20" i="20"/>
  <c r="AA21" i="20"/>
  <c r="AA22" i="20"/>
  <c r="AA7" i="20"/>
  <c r="T7" i="7" a="1"/>
  <c r="T7" i="7" s="1"/>
  <c r="T8" i="7" a="1"/>
  <c r="T8" i="7" s="1"/>
  <c r="T9" i="7" a="1"/>
  <c r="T9" i="7" s="1"/>
  <c r="T10" i="7" a="1"/>
  <c r="T10" i="7" s="1"/>
  <c r="T11" i="7" a="1"/>
  <c r="T11" i="7" s="1"/>
  <c r="T12" i="7" a="1"/>
  <c r="T12" i="7" s="1"/>
  <c r="T13" i="7" a="1"/>
  <c r="T13" i="7" s="1"/>
  <c r="T14" i="7" a="1"/>
  <c r="T14" i="7" s="1"/>
  <c r="T15" i="7" a="1"/>
  <c r="T15" i="7" s="1"/>
  <c r="T16" i="7" a="1"/>
  <c r="T16" i="7" s="1"/>
  <c r="T17" i="7" a="1"/>
  <c r="T17" i="7" s="1"/>
  <c r="T18" i="7" a="1"/>
  <c r="T18" i="7" s="1"/>
  <c r="T19" i="7" a="1"/>
  <c r="T19" i="7" s="1"/>
  <c r="T20" i="7" a="1"/>
  <c r="T20" i="7" s="1"/>
  <c r="T21" i="7" a="1"/>
  <c r="T21" i="7" s="1"/>
  <c r="T22" i="7" a="1"/>
  <c r="T22" i="7" s="1"/>
  <c r="T23" i="7" a="1"/>
  <c r="T23" i="7" s="1"/>
  <c r="T24" i="7" a="1"/>
  <c r="T24" i="7" s="1"/>
  <c r="T25" i="7" a="1"/>
  <c r="T25" i="7" s="1"/>
  <c r="T26" i="7" a="1"/>
  <c r="T26" i="7" s="1"/>
  <c r="T27" i="7" a="1"/>
  <c r="T27" i="7" s="1"/>
  <c r="T28" i="7" a="1"/>
  <c r="T28" i="7" s="1"/>
  <c r="T29" i="7" a="1"/>
  <c r="T29" i="7" s="1"/>
  <c r="T30" i="7" a="1"/>
  <c r="T30" i="7" s="1"/>
  <c r="T31" i="7" a="1"/>
  <c r="T31" i="7" s="1"/>
  <c r="T32" i="7" a="1"/>
  <c r="T32" i="7" s="1"/>
  <c r="T33" i="7" a="1"/>
  <c r="T33" i="7" s="1"/>
  <c r="T34" i="7" a="1"/>
  <c r="T34" i="7" s="1"/>
  <c r="T35" i="7" a="1"/>
  <c r="T35" i="7" s="1"/>
  <c r="T36" i="7" a="1"/>
  <c r="T36" i="7" s="1"/>
  <c r="T37" i="7" a="1"/>
  <c r="T37" i="7" s="1"/>
  <c r="T38" i="7" a="1"/>
  <c r="T38" i="7" s="1"/>
  <c r="T39" i="7" a="1"/>
  <c r="T39" i="7" s="1"/>
  <c r="T40" i="7" a="1"/>
  <c r="T40" i="7" s="1"/>
  <c r="T41" i="7" a="1"/>
  <c r="T41" i="7" s="1"/>
  <c r="T42" i="7" a="1"/>
  <c r="T42" i="7" s="1"/>
  <c r="T43" i="7" a="1"/>
  <c r="T43" i="7" s="1"/>
  <c r="T44" i="7" a="1"/>
  <c r="T44" i="7" s="1"/>
  <c r="T45" i="7" a="1"/>
  <c r="T45" i="7" s="1"/>
  <c r="T46" i="7" a="1"/>
  <c r="T46" i="7" s="1"/>
  <c r="T47" i="7" a="1"/>
  <c r="T47" i="7" s="1"/>
  <c r="T48" i="7" a="1"/>
  <c r="T48" i="7" s="1"/>
  <c r="T49" i="7" a="1"/>
  <c r="T49" i="7" s="1"/>
  <c r="T50" i="7" a="1"/>
  <c r="T50" i="7" s="1"/>
  <c r="T51" i="7" a="1"/>
  <c r="T51" i="7" s="1"/>
  <c r="T52" i="7" a="1"/>
  <c r="T52" i="7" s="1"/>
  <c r="T53" i="7" a="1"/>
  <c r="T53" i="7" s="1"/>
  <c r="T54" i="7" a="1"/>
  <c r="T54" i="7" s="1"/>
  <c r="T55" i="7" a="1"/>
  <c r="T55" i="7" s="1"/>
  <c r="T56" i="7" a="1"/>
  <c r="T56" i="7" s="1"/>
  <c r="T57" i="7" a="1"/>
  <c r="T57" i="7" s="1"/>
  <c r="T58" i="7" a="1"/>
  <c r="T58" i="7" s="1"/>
  <c r="T59" i="7" a="1"/>
  <c r="T59" i="7" s="1"/>
  <c r="T60" i="7" a="1"/>
  <c r="T60" i="7" s="1"/>
  <c r="T61" i="7" a="1"/>
  <c r="T61" i="7" s="1"/>
  <c r="T62" i="7" a="1"/>
  <c r="T62" i="7" s="1"/>
  <c r="T63" i="7" a="1"/>
  <c r="T63" i="7" s="1"/>
  <c r="T64" i="7" a="1"/>
  <c r="T64" i="7" s="1"/>
  <c r="T65" i="7" a="1"/>
  <c r="T65" i="7" s="1"/>
  <c r="T66" i="7" a="1"/>
  <c r="T66" i="7" s="1"/>
  <c r="T67" i="7" a="1"/>
  <c r="T67" i="7" s="1"/>
  <c r="T69" i="7" a="1"/>
  <c r="T69" i="7" s="1"/>
  <c r="T70" i="7" a="1"/>
  <c r="T70" i="7" s="1"/>
  <c r="T73" i="7" a="1"/>
  <c r="T73" i="7" s="1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" i="7"/>
  <c r="V146" i="11" l="1" a="1"/>
  <c r="V146" i="11" s="1"/>
  <c r="V145" i="11" a="1"/>
  <c r="V145" i="11" s="1"/>
  <c r="V144" i="11" a="1"/>
  <c r="V144" i="11" s="1"/>
  <c r="O7" i="19" a="1"/>
  <c r="O7" i="19" s="1"/>
  <c r="O37" i="19" a="1"/>
  <c r="O37" i="19" s="1"/>
  <c r="O36" i="19" a="1"/>
  <c r="O36" i="19" s="1"/>
  <c r="A7" i="11" l="1"/>
  <c r="B2" i="26" a="1"/>
  <c r="E83" i="26"/>
  <c r="I86" i="26"/>
  <c r="J85" i="26"/>
  <c r="K84" i="26"/>
  <c r="C84" i="26"/>
  <c r="D83" i="26"/>
  <c r="E82" i="26"/>
  <c r="F81" i="26"/>
  <c r="G80" i="26"/>
  <c r="H79" i="26"/>
  <c r="I78" i="26"/>
  <c r="C85" i="26"/>
  <c r="H80" i="26"/>
  <c r="H86" i="26"/>
  <c r="I85" i="26"/>
  <c r="J84" i="26"/>
  <c r="K83" i="26"/>
  <c r="C83" i="26"/>
  <c r="D82" i="26"/>
  <c r="E81" i="26"/>
  <c r="F80" i="26"/>
  <c r="G79" i="26"/>
  <c r="H78" i="26"/>
  <c r="D84" i="26"/>
  <c r="H85" i="26"/>
  <c r="J83" i="26"/>
  <c r="K82" i="26"/>
  <c r="D81" i="26"/>
  <c r="E80" i="26"/>
  <c r="F79" i="26"/>
  <c r="G78" i="26"/>
  <c r="K85" i="26"/>
  <c r="F82" i="26"/>
  <c r="G86" i="26"/>
  <c r="I84" i="26"/>
  <c r="C82" i="26"/>
  <c r="F86" i="26"/>
  <c r="G85" i="26"/>
  <c r="H84" i="26"/>
  <c r="I83" i="26"/>
  <c r="J82" i="26"/>
  <c r="K81" i="26"/>
  <c r="C81" i="26"/>
  <c r="D80" i="26"/>
  <c r="E79" i="26"/>
  <c r="F78" i="26"/>
  <c r="J86" i="26"/>
  <c r="I79" i="26"/>
  <c r="E86" i="26"/>
  <c r="G84" i="26"/>
  <c r="H83" i="26"/>
  <c r="I82" i="26"/>
  <c r="K80" i="26"/>
  <c r="C80" i="26"/>
  <c r="D79" i="26"/>
  <c r="E78" i="26"/>
  <c r="G81" i="26"/>
  <c r="F85" i="26"/>
  <c r="J81" i="26"/>
  <c r="D86" i="26"/>
  <c r="E85" i="26"/>
  <c r="F84" i="26"/>
  <c r="G83" i="26"/>
  <c r="H82" i="26"/>
  <c r="I81" i="26"/>
  <c r="J80" i="26"/>
  <c r="K79" i="26"/>
  <c r="C79" i="26"/>
  <c r="D78" i="26"/>
  <c r="J78" i="26"/>
  <c r="K86" i="26"/>
  <c r="C86" i="26"/>
  <c r="D85" i="26"/>
  <c r="E84" i="26"/>
  <c r="F83" i="26"/>
  <c r="G82" i="26"/>
  <c r="H81" i="26"/>
  <c r="I80" i="26"/>
  <c r="J79" i="26"/>
  <c r="K78" i="26"/>
  <c r="C78" i="26"/>
  <c r="E77" i="26"/>
  <c r="D76" i="26"/>
  <c r="I74" i="26"/>
  <c r="I76" i="26"/>
  <c r="H76" i="26"/>
  <c r="J76" i="26"/>
  <c r="G75" i="26"/>
  <c r="F74" i="26"/>
  <c r="E72" i="26"/>
  <c r="I72" i="26"/>
  <c r="K75" i="26"/>
  <c r="F77" i="26"/>
  <c r="G73" i="26"/>
  <c r="J74" i="26"/>
  <c r="F75" i="26"/>
  <c r="E73" i="26"/>
  <c r="I75" i="26"/>
  <c r="D77" i="26"/>
  <c r="I71" i="26"/>
  <c r="K77" i="26"/>
  <c r="G76" i="26"/>
  <c r="K72" i="26"/>
  <c r="H75" i="26"/>
  <c r="G74" i="26"/>
  <c r="I77" i="26"/>
  <c r="F76" i="26"/>
  <c r="H72" i="26"/>
  <c r="K73" i="26"/>
  <c r="C77" i="26"/>
  <c r="G72" i="26"/>
  <c r="K71" i="26"/>
  <c r="C75" i="26"/>
  <c r="J77" i="26"/>
  <c r="E71" i="26"/>
  <c r="D72" i="26"/>
  <c r="J71" i="26"/>
  <c r="E74" i="26"/>
  <c r="C73" i="26"/>
  <c r="G77" i="26"/>
  <c r="E76" i="26"/>
  <c r="I73" i="26"/>
  <c r="J73" i="26"/>
  <c r="K74" i="26"/>
  <c r="F71" i="26"/>
  <c r="C74" i="26"/>
  <c r="D75" i="26"/>
  <c r="J72" i="26"/>
  <c r="K76" i="26"/>
  <c r="H71" i="26"/>
  <c r="J75" i="26"/>
  <c r="G71" i="26"/>
  <c r="F73" i="26"/>
  <c r="H74" i="26"/>
  <c r="C76" i="26"/>
  <c r="D73" i="26"/>
  <c r="F72" i="26"/>
  <c r="H77" i="26"/>
  <c r="D74" i="26"/>
  <c r="D71" i="26"/>
  <c r="H73" i="26"/>
  <c r="C72" i="26"/>
  <c r="C71" i="26"/>
  <c r="E75" i="26"/>
  <c r="A78" i="26" l="1"/>
  <c r="A86" i="26"/>
  <c r="A84" i="26"/>
  <c r="A85" i="26"/>
  <c r="A79" i="26"/>
  <c r="A83" i="26"/>
  <c r="A80" i="26"/>
  <c r="A82" i="26"/>
  <c r="A81" i="26"/>
  <c r="A74" i="26"/>
  <c r="A75" i="26"/>
  <c r="A76" i="26"/>
  <c r="A77" i="26"/>
  <c r="A72" i="26"/>
  <c r="A73" i="26"/>
  <c r="A71" i="26"/>
  <c r="A65" i="26"/>
  <c r="A66" i="26"/>
  <c r="A67" i="26"/>
  <c r="A68" i="26"/>
  <c r="A69" i="26"/>
  <c r="A70" i="26"/>
  <c r="A64" i="26"/>
  <c r="A63" i="26"/>
  <c r="A3" i="26"/>
  <c r="A11" i="26"/>
  <c r="A19" i="26"/>
  <c r="A27" i="26"/>
  <c r="A35" i="26"/>
  <c r="A43" i="26"/>
  <c r="A51" i="26"/>
  <c r="A59" i="26"/>
  <c r="A4" i="26"/>
  <c r="A12" i="26"/>
  <c r="A20" i="26"/>
  <c r="A28" i="26"/>
  <c r="A36" i="26"/>
  <c r="A44" i="26"/>
  <c r="A52" i="26"/>
  <c r="A60" i="26"/>
  <c r="A9" i="26"/>
  <c r="A5" i="26"/>
  <c r="A13" i="26"/>
  <c r="A21" i="26"/>
  <c r="A29" i="26"/>
  <c r="A37" i="26"/>
  <c r="A45" i="26"/>
  <c r="A53" i="26"/>
  <c r="A61" i="26"/>
  <c r="A17" i="26"/>
  <c r="A6" i="26"/>
  <c r="A14" i="26"/>
  <c r="A22" i="26"/>
  <c r="A30" i="26"/>
  <c r="A38" i="26"/>
  <c r="A46" i="26"/>
  <c r="A54" i="26"/>
  <c r="A62" i="26"/>
  <c r="A25" i="26"/>
  <c r="A33" i="26"/>
  <c r="A41" i="26"/>
  <c r="A49" i="26"/>
  <c r="A57" i="26"/>
  <c r="A7" i="26"/>
  <c r="A15" i="26"/>
  <c r="A23" i="26"/>
  <c r="A31" i="26"/>
  <c r="A39" i="26"/>
  <c r="A47" i="26"/>
  <c r="A55" i="26"/>
  <c r="A8" i="26"/>
  <c r="A16" i="26"/>
  <c r="A24" i="26"/>
  <c r="A32" i="26"/>
  <c r="A40" i="26"/>
  <c r="A48" i="26"/>
  <c r="A56" i="26"/>
  <c r="A10" i="26"/>
  <c r="A18" i="26"/>
  <c r="A26" i="26"/>
  <c r="A34" i="26"/>
  <c r="A42" i="26"/>
  <c r="A50" i="26"/>
  <c r="A58" i="26"/>
  <c r="B2" i="26"/>
  <c r="A2" i="26" s="1"/>
  <c r="M2" i="26" l="1" a="1"/>
  <c r="M2" i="26" s="1"/>
  <c r="P23" i="26"/>
  <c r="Q16" i="26"/>
  <c r="U16" i="26"/>
  <c r="O23" i="26"/>
  <c r="V30" i="26"/>
  <c r="V24" i="26"/>
  <c r="P15" i="26"/>
  <c r="R26" i="26"/>
  <c r="P17" i="26"/>
  <c r="P16" i="26"/>
  <c r="R17" i="26"/>
  <c r="T28" i="26"/>
  <c r="O20" i="26"/>
  <c r="R13" i="26"/>
  <c r="N30" i="26"/>
  <c r="R22" i="26"/>
  <c r="O15" i="26"/>
  <c r="U23" i="26"/>
  <c r="Q28" i="26"/>
  <c r="V14" i="26"/>
  <c r="T23" i="26"/>
  <c r="R16" i="26"/>
  <c r="S15" i="26"/>
  <c r="U20" i="26"/>
  <c r="S29" i="26"/>
  <c r="U22" i="26"/>
  <c r="R15" i="26"/>
  <c r="S25" i="26"/>
  <c r="Q25" i="26"/>
  <c r="R19" i="26"/>
  <c r="V15" i="26"/>
  <c r="P27" i="26"/>
  <c r="Q19" i="26"/>
  <c r="P29" i="26"/>
  <c r="S30" i="26"/>
  <c r="N15" i="26"/>
  <c r="R18" i="26"/>
  <c r="Q13" i="26"/>
  <c r="Q21" i="26"/>
  <c r="S27" i="26"/>
  <c r="V27" i="26"/>
  <c r="N19" i="26"/>
  <c r="Q30" i="26"/>
  <c r="T21" i="26"/>
  <c r="T15" i="26"/>
  <c r="O21" i="26"/>
  <c r="S18" i="26"/>
  <c r="R28" i="26"/>
  <c r="U14" i="26"/>
  <c r="Q20" i="26"/>
  <c r="N24" i="26"/>
  <c r="P25" i="26"/>
  <c r="O27" i="26"/>
  <c r="R24" i="26"/>
  <c r="V13" i="26"/>
  <c r="P21" i="26"/>
  <c r="P26" i="26"/>
  <c r="R27" i="26"/>
  <c r="S19" i="26"/>
  <c r="R29" i="26"/>
  <c r="Q23" i="26"/>
  <c r="O16" i="26"/>
  <c r="S26" i="26"/>
  <c r="T29" i="26"/>
  <c r="U24" i="26"/>
  <c r="V16" i="26"/>
  <c r="T30" i="26"/>
  <c r="V23" i="26"/>
  <c r="P20" i="26"/>
  <c r="U27" i="26"/>
  <c r="T14" i="26"/>
  <c r="O17" i="26"/>
  <c r="N29" i="26"/>
  <c r="V20" i="26"/>
  <c r="U25" i="26"/>
  <c r="V22" i="26"/>
  <c r="N28" i="26"/>
  <c r="P30" i="26"/>
  <c r="R30" i="26"/>
  <c r="N20" i="26"/>
  <c r="S24" i="26"/>
  <c r="S20" i="26"/>
  <c r="P19" i="26"/>
  <c r="S16" i="26"/>
  <c r="Q22" i="26"/>
  <c r="P22" i="26"/>
  <c r="T27" i="26"/>
  <c r="U19" i="26"/>
  <c r="N13" i="26"/>
  <c r="R20" i="26"/>
  <c r="P24" i="26"/>
  <c r="O26" i="26"/>
  <c r="T18" i="26"/>
  <c r="U28" i="26"/>
  <c r="T22" i="26"/>
  <c r="Q15" i="26"/>
  <c r="V25" i="26"/>
  <c r="O28" i="26"/>
  <c r="N16" i="26"/>
  <c r="O13" i="26"/>
  <c r="P18" i="26"/>
  <c r="N26" i="26"/>
  <c r="V19" i="26"/>
  <c r="V29" i="26"/>
  <c r="S14" i="26"/>
  <c r="U26" i="26"/>
  <c r="S28" i="26"/>
  <c r="O18" i="26"/>
  <c r="U29" i="26"/>
  <c r="U13" i="26"/>
  <c r="T13" i="26"/>
  <c r="U17" i="26"/>
  <c r="T17" i="26"/>
  <c r="Q17" i="26"/>
  <c r="P28" i="26"/>
  <c r="T26" i="26"/>
  <c r="O25" i="26"/>
  <c r="Q18" i="26"/>
  <c r="N27" i="26"/>
  <c r="U15" i="26"/>
  <c r="O19" i="26"/>
  <c r="R21" i="26"/>
  <c r="Q26" i="26"/>
  <c r="V18" i="26"/>
  <c r="T19" i="26"/>
  <c r="O29" i="26"/>
  <c r="S23" i="26"/>
  <c r="R25" i="26"/>
  <c r="V17" i="26"/>
  <c r="U30" i="26"/>
  <c r="Q27" i="26"/>
  <c r="V21" i="26"/>
  <c r="R14" i="26"/>
  <c r="N23" i="26"/>
  <c r="O30" i="26"/>
  <c r="S22" i="26"/>
  <c r="Q24" i="26"/>
  <c r="R23" i="26"/>
  <c r="P14" i="26"/>
  <c r="O22" i="26"/>
  <c r="V28" i="26"/>
  <c r="T24" i="26"/>
  <c r="S17" i="26"/>
  <c r="O14" i="26"/>
  <c r="N14" i="26"/>
  <c r="P13" i="26"/>
  <c r="T20" i="26"/>
  <c r="T25" i="26"/>
  <c r="N18" i="26"/>
  <c r="U18" i="26"/>
  <c r="N25" i="26"/>
  <c r="N22" i="26"/>
  <c r="O24" i="26"/>
  <c r="N17" i="26"/>
  <c r="T16" i="26"/>
  <c r="V26" i="26"/>
  <c r="N21" i="26"/>
  <c r="S13" i="26"/>
  <c r="S21" i="26"/>
  <c r="Q29" i="26"/>
  <c r="U21" i="26"/>
  <c r="Q14" i="26"/>
  <c r="W20" i="26" l="1"/>
  <c r="W18" i="26"/>
  <c r="W21" i="26"/>
  <c r="W16" i="26"/>
  <c r="W15" i="26"/>
  <c r="W19" i="26"/>
  <c r="W17" i="26"/>
  <c r="W14" i="26"/>
  <c r="W13" i="26"/>
  <c r="R80" i="14" a="1"/>
  <c r="R80" i="14" s="1"/>
  <c r="V143" i="11" a="1"/>
  <c r="V143" i="11" s="1"/>
  <c r="C16" i="22" l="1"/>
  <c r="C24" i="22"/>
  <c r="C23" i="22"/>
  <c r="C22" i="22"/>
  <c r="C21" i="22"/>
  <c r="C20" i="22"/>
  <c r="C19" i="22"/>
  <c r="C18" i="22"/>
  <c r="C17" i="22"/>
  <c r="D16" i="22"/>
  <c r="C5" i="22"/>
  <c r="C6" i="22"/>
  <c r="C7" i="22"/>
  <c r="C8" i="22"/>
  <c r="C9" i="22"/>
  <c r="C10" i="22"/>
  <c r="C11" i="22"/>
  <c r="C12" i="22"/>
  <c r="C13" i="22"/>
  <c r="D17" i="22"/>
  <c r="D18" i="22"/>
  <c r="D19" i="22"/>
  <c r="D20" i="22"/>
  <c r="D21" i="22"/>
  <c r="D22" i="22"/>
  <c r="D23" i="22"/>
  <c r="D24" i="22"/>
  <c r="E24" i="22"/>
  <c r="F24" i="22"/>
  <c r="G24" i="22"/>
  <c r="E23" i="22"/>
  <c r="F23" i="22"/>
  <c r="G23" i="22"/>
  <c r="E22" i="22"/>
  <c r="F22" i="22"/>
  <c r="G22" i="22"/>
  <c r="E21" i="22"/>
  <c r="F21" i="22"/>
  <c r="G21" i="22"/>
  <c r="E20" i="22"/>
  <c r="F20" i="22"/>
  <c r="G20" i="22"/>
  <c r="E19" i="22"/>
  <c r="F19" i="22"/>
  <c r="G19" i="22"/>
  <c r="E18" i="22"/>
  <c r="F18" i="22"/>
  <c r="G18" i="22"/>
  <c r="E17" i="22"/>
  <c r="F17" i="22"/>
  <c r="G17" i="22"/>
  <c r="F16" i="22"/>
  <c r="G16" i="22"/>
  <c r="E16" i="22"/>
  <c r="V142" i="11" a="1"/>
  <c r="V142" i="11" s="1"/>
  <c r="T51" i="13" a="1"/>
  <c r="T51" i="13" s="1"/>
  <c r="D17" i="26"/>
  <c r="K22" i="26"/>
  <c r="D4" i="26"/>
  <c r="K58" i="26"/>
  <c r="D48" i="26"/>
  <c r="I37" i="26"/>
  <c r="F38" i="26"/>
  <c r="H8" i="26"/>
  <c r="F39" i="26"/>
  <c r="H9" i="26"/>
  <c r="C36" i="26"/>
  <c r="G31" i="26"/>
  <c r="C51" i="26"/>
  <c r="C30" i="26"/>
  <c r="F32" i="26"/>
  <c r="J12" i="26"/>
  <c r="K39" i="26"/>
  <c r="K14" i="26"/>
  <c r="G58" i="26"/>
  <c r="G42" i="26"/>
  <c r="J62" i="26"/>
  <c r="I61" i="26"/>
  <c r="E51" i="26"/>
  <c r="D50" i="26"/>
  <c r="K37" i="26"/>
  <c r="C19" i="26"/>
  <c r="H19" i="26"/>
  <c r="I46" i="26"/>
  <c r="E26" i="26"/>
  <c r="G55" i="26"/>
  <c r="I10" i="26"/>
  <c r="I53" i="26"/>
  <c r="F24" i="26"/>
  <c r="E59" i="26"/>
  <c r="H45" i="26"/>
  <c r="J58" i="26"/>
  <c r="D20" i="26"/>
  <c r="K10" i="26"/>
  <c r="G51" i="26"/>
  <c r="K65" i="26"/>
  <c r="D42" i="26"/>
  <c r="E60" i="26"/>
  <c r="D11" i="26"/>
  <c r="K23" i="26"/>
  <c r="J24" i="26"/>
  <c r="J14" i="26"/>
  <c r="I63" i="26"/>
  <c r="K61" i="26"/>
  <c r="K69" i="26"/>
  <c r="C50" i="26"/>
  <c r="I24" i="26"/>
  <c r="I15" i="26"/>
  <c r="D36" i="26"/>
  <c r="K62" i="26"/>
  <c r="G38" i="26"/>
  <c r="K11" i="26"/>
  <c r="E23" i="26"/>
  <c r="C70" i="26"/>
  <c r="H25" i="26"/>
  <c r="G57" i="26"/>
  <c r="G37" i="26"/>
  <c r="J66" i="26"/>
  <c r="D25" i="26"/>
  <c r="F62" i="26"/>
  <c r="F2" i="26"/>
  <c r="F55" i="26"/>
  <c r="J2" i="26"/>
  <c r="G19" i="26"/>
  <c r="C25" i="26"/>
  <c r="E16" i="26"/>
  <c r="H39" i="26"/>
  <c r="H27" i="26"/>
  <c r="D39" i="26"/>
  <c r="H11" i="26"/>
  <c r="I29" i="26"/>
  <c r="C9" i="26"/>
  <c r="G2" i="26"/>
  <c r="C15" i="26"/>
  <c r="E39" i="26"/>
  <c r="K29" i="26"/>
  <c r="I17" i="26"/>
  <c r="K47" i="26"/>
  <c r="J67" i="26"/>
  <c r="H24" i="26"/>
  <c r="F49" i="26"/>
  <c r="I18" i="26"/>
  <c r="G54" i="26"/>
  <c r="E35" i="26"/>
  <c r="E2" i="26"/>
  <c r="C60" i="26"/>
  <c r="D61" i="26"/>
  <c r="I11" i="26"/>
  <c r="E22" i="26"/>
  <c r="E12" i="26"/>
  <c r="J9" i="26"/>
  <c r="I30" i="26"/>
  <c r="H18" i="26"/>
  <c r="J23" i="26"/>
  <c r="G52" i="26"/>
  <c r="J32" i="26"/>
  <c r="J34" i="26"/>
  <c r="G14" i="26"/>
  <c r="E37" i="26"/>
  <c r="J35" i="26"/>
  <c r="G23" i="26"/>
  <c r="H66" i="26"/>
  <c r="C16" i="26"/>
  <c r="J30" i="26"/>
  <c r="J15" i="26"/>
  <c r="J33" i="26"/>
  <c r="D13" i="26"/>
  <c r="F18" i="26"/>
  <c r="F65" i="26"/>
  <c r="D51" i="26"/>
  <c r="H26" i="26"/>
  <c r="J18" i="26"/>
  <c r="H43" i="26"/>
  <c r="F46" i="26"/>
  <c r="J44" i="26"/>
  <c r="F48" i="26"/>
  <c r="H64" i="26"/>
  <c r="E6" i="26"/>
  <c r="E17" i="26"/>
  <c r="I43" i="26"/>
  <c r="J29" i="26"/>
  <c r="G15" i="26"/>
  <c r="G29" i="26"/>
  <c r="C18" i="26"/>
  <c r="I26" i="26"/>
  <c r="I41" i="26"/>
  <c r="H51" i="26"/>
  <c r="G25" i="26"/>
  <c r="E3" i="26"/>
  <c r="D24" i="26"/>
  <c r="G28" i="26"/>
  <c r="H61" i="26"/>
  <c r="H5" i="26"/>
  <c r="I21" i="26"/>
  <c r="G68" i="26"/>
  <c r="E67" i="26"/>
  <c r="D28" i="26"/>
  <c r="I2" i="26"/>
  <c r="F27" i="26"/>
  <c r="C62" i="26"/>
  <c r="C35" i="26"/>
  <c r="F28" i="26"/>
  <c r="C59" i="26"/>
  <c r="I45" i="26"/>
  <c r="C45" i="26"/>
  <c r="D7" i="26"/>
  <c r="J54" i="26"/>
  <c r="J63" i="26"/>
  <c r="K15" i="26"/>
  <c r="F45" i="26"/>
  <c r="C10" i="26"/>
  <c r="J39" i="26"/>
  <c r="G59" i="26"/>
  <c r="F33" i="26"/>
  <c r="F9" i="26"/>
  <c r="E62" i="26"/>
  <c r="F4" i="26"/>
  <c r="E61" i="26"/>
  <c r="I48" i="26"/>
  <c r="C67" i="26"/>
  <c r="C38" i="26"/>
  <c r="H21" i="26"/>
  <c r="I59" i="26"/>
  <c r="D6" i="26"/>
  <c r="C47" i="26"/>
  <c r="G46" i="26"/>
  <c r="K70" i="26"/>
  <c r="H37" i="26"/>
  <c r="I49" i="26"/>
  <c r="J20" i="26"/>
  <c r="G27" i="26"/>
  <c r="F69" i="26"/>
  <c r="C49" i="26"/>
  <c r="C43" i="26"/>
  <c r="J28" i="26"/>
  <c r="E34" i="26"/>
  <c r="C2" i="26"/>
  <c r="D26" i="26"/>
  <c r="G50" i="26"/>
  <c r="G10" i="26"/>
  <c r="K27" i="26"/>
  <c r="G3" i="26"/>
  <c r="E70" i="26"/>
  <c r="I62" i="26"/>
  <c r="I58" i="26"/>
  <c r="G30" i="26"/>
  <c r="F19" i="26"/>
  <c r="H6" i="26"/>
  <c r="F31" i="26"/>
  <c r="G26" i="26"/>
  <c r="C21" i="26"/>
  <c r="K51" i="26"/>
  <c r="K53" i="26"/>
  <c r="H33" i="26"/>
  <c r="C57" i="26"/>
  <c r="G47" i="26"/>
  <c r="G8" i="26"/>
  <c r="I47" i="26"/>
  <c r="C44" i="26"/>
  <c r="K60" i="26"/>
  <c r="K54" i="26"/>
  <c r="J69" i="26"/>
  <c r="K40" i="26"/>
  <c r="I66" i="26"/>
  <c r="D19" i="26"/>
  <c r="H2" i="26"/>
  <c r="F15" i="26"/>
  <c r="G24" i="26"/>
  <c r="E18" i="26"/>
  <c r="F57" i="26"/>
  <c r="J65" i="26"/>
  <c r="K13" i="26"/>
  <c r="C55" i="26"/>
  <c r="E45" i="26"/>
  <c r="E43" i="26"/>
  <c r="H49" i="26"/>
  <c r="G40" i="26"/>
  <c r="D66" i="26"/>
  <c r="J10" i="26"/>
  <c r="K42" i="26"/>
  <c r="J7" i="26"/>
  <c r="D2" i="26"/>
  <c r="E24" i="26"/>
  <c r="K44" i="26"/>
  <c r="H60" i="26"/>
  <c r="I7" i="26"/>
  <c r="E9" i="26"/>
  <c r="D41" i="26"/>
  <c r="H35" i="26"/>
  <c r="G6" i="26"/>
  <c r="J22" i="26"/>
  <c r="D47" i="26"/>
  <c r="C12" i="26"/>
  <c r="D32" i="26"/>
  <c r="H16" i="26"/>
  <c r="J42" i="26"/>
  <c r="D68" i="26"/>
  <c r="K38" i="26"/>
  <c r="K31" i="26"/>
  <c r="J31" i="26"/>
  <c r="H55" i="26"/>
  <c r="K20" i="26"/>
  <c r="G5" i="26"/>
  <c r="D60" i="26"/>
  <c r="C61" i="26"/>
  <c r="E38" i="26"/>
  <c r="C54" i="26"/>
  <c r="C11" i="26"/>
  <c r="G49" i="26"/>
  <c r="K56" i="26"/>
  <c r="I23" i="26"/>
  <c r="F54" i="26"/>
  <c r="C32" i="26"/>
  <c r="E58" i="26"/>
  <c r="E47" i="26"/>
  <c r="G65" i="26"/>
  <c r="K41" i="26"/>
  <c r="I9" i="26"/>
  <c r="C4" i="26"/>
  <c r="E56" i="26"/>
  <c r="C48" i="26"/>
  <c r="H22" i="26"/>
  <c r="E63" i="26"/>
  <c r="C33" i="26"/>
  <c r="H23" i="26"/>
  <c r="K16" i="26"/>
  <c r="C23" i="26"/>
  <c r="J6" i="26"/>
  <c r="K49" i="26"/>
  <c r="F44" i="26"/>
  <c r="D69" i="26"/>
  <c r="E32" i="26"/>
  <c r="E53" i="26"/>
  <c r="E13" i="26"/>
  <c r="H7" i="26"/>
  <c r="C40" i="26"/>
  <c r="D67" i="26"/>
  <c r="C13" i="26"/>
  <c r="F41" i="26"/>
  <c r="E8" i="26"/>
  <c r="K34" i="26"/>
  <c r="D21" i="26"/>
  <c r="E42" i="26"/>
  <c r="J45" i="26"/>
  <c r="K52" i="26"/>
  <c r="J46" i="26"/>
  <c r="D22" i="26"/>
  <c r="K66" i="26"/>
  <c r="G17" i="26"/>
  <c r="K50" i="26"/>
  <c r="J27" i="26"/>
  <c r="J5" i="26"/>
  <c r="I60" i="26"/>
  <c r="F12" i="26"/>
  <c r="H57" i="26"/>
  <c r="I67" i="26"/>
  <c r="I42" i="26"/>
  <c r="E29" i="26"/>
  <c r="G45" i="26"/>
  <c r="I57" i="26"/>
  <c r="D49" i="26"/>
  <c r="J17" i="26"/>
  <c r="C56" i="26"/>
  <c r="J64" i="26"/>
  <c r="G35" i="26"/>
  <c r="I32" i="26"/>
  <c r="I5" i="26"/>
  <c r="K68" i="26"/>
  <c r="H13" i="26"/>
  <c r="J40" i="26"/>
  <c r="H34" i="26"/>
  <c r="D18" i="26"/>
  <c r="J47" i="26"/>
  <c r="G11" i="26"/>
  <c r="F47" i="26"/>
  <c r="K18" i="26"/>
  <c r="G43" i="26"/>
  <c r="G69" i="26"/>
  <c r="C69" i="26"/>
  <c r="I20" i="26"/>
  <c r="I28" i="26"/>
  <c r="H63" i="26"/>
  <c r="D64" i="26"/>
  <c r="D35" i="26"/>
  <c r="I70" i="26"/>
  <c r="H69" i="26"/>
  <c r="C66" i="26"/>
  <c r="K43" i="26"/>
  <c r="I68" i="26"/>
  <c r="C14" i="26"/>
  <c r="H30" i="26"/>
  <c r="G60" i="26"/>
  <c r="I14" i="26"/>
  <c r="E46" i="26"/>
  <c r="J56" i="26"/>
  <c r="K25" i="26"/>
  <c r="K8" i="26"/>
  <c r="C64" i="26"/>
  <c r="E20" i="26"/>
  <c r="J52" i="26"/>
  <c r="E66" i="26"/>
  <c r="G16" i="26"/>
  <c r="K64" i="26"/>
  <c r="H15" i="26"/>
  <c r="J4" i="26"/>
  <c r="J49" i="26"/>
  <c r="J48" i="26"/>
  <c r="D5" i="26"/>
  <c r="D15" i="26"/>
  <c r="G56" i="26"/>
  <c r="E4" i="26"/>
  <c r="G20" i="26"/>
  <c r="J37" i="26"/>
  <c r="J57" i="26"/>
  <c r="F50" i="26"/>
  <c r="J68" i="26"/>
  <c r="D43" i="26"/>
  <c r="D30" i="26"/>
  <c r="D62" i="26"/>
  <c r="H56" i="26"/>
  <c r="F70" i="26"/>
  <c r="F17" i="26"/>
  <c r="K63" i="26"/>
  <c r="H17" i="26"/>
  <c r="D27" i="26"/>
  <c r="K45" i="26"/>
  <c r="F66" i="26"/>
  <c r="D16" i="26"/>
  <c r="J53" i="26"/>
  <c r="K26" i="26"/>
  <c r="E55" i="26"/>
  <c r="G70" i="26"/>
  <c r="D53" i="26"/>
  <c r="E64" i="26"/>
  <c r="F63" i="26"/>
  <c r="C63" i="26"/>
  <c r="D14" i="26"/>
  <c r="F61" i="26"/>
  <c r="H36" i="26"/>
  <c r="E25" i="26"/>
  <c r="G13" i="26"/>
  <c r="J8" i="26"/>
  <c r="E28" i="26"/>
  <c r="K3" i="26"/>
  <c r="F52" i="26"/>
  <c r="K19" i="26"/>
  <c r="E40" i="26"/>
  <c r="J36" i="26"/>
  <c r="E52" i="26"/>
  <c r="D3" i="26"/>
  <c r="K32" i="26"/>
  <c r="F30" i="26"/>
  <c r="J25" i="26"/>
  <c r="K21" i="26"/>
  <c r="F56" i="26"/>
  <c r="K28" i="26"/>
  <c r="F3" i="26"/>
  <c r="F23" i="26"/>
  <c r="F64" i="26"/>
  <c r="E69" i="26"/>
  <c r="F67" i="26"/>
  <c r="H59" i="26"/>
  <c r="F40" i="26"/>
  <c r="E31" i="26"/>
  <c r="J41" i="26"/>
  <c r="F21" i="26"/>
  <c r="H50" i="26"/>
  <c r="F7" i="26"/>
  <c r="G48" i="26"/>
  <c r="D55" i="26"/>
  <c r="E30" i="26"/>
  <c r="J38" i="26"/>
  <c r="D12" i="26"/>
  <c r="C22" i="26"/>
  <c r="F10" i="26"/>
  <c r="D63" i="26"/>
  <c r="H31" i="26"/>
  <c r="H62" i="26"/>
  <c r="D31" i="26"/>
  <c r="C46" i="26"/>
  <c r="H29" i="26"/>
  <c r="E65" i="26"/>
  <c r="F36" i="26"/>
  <c r="K9" i="26"/>
  <c r="K59" i="26"/>
  <c r="E10" i="26"/>
  <c r="G34" i="26"/>
  <c r="I27" i="26"/>
  <c r="D9" i="26"/>
  <c r="H44" i="26"/>
  <c r="E11" i="26"/>
  <c r="H70" i="26"/>
  <c r="H38" i="26"/>
  <c r="J50" i="26"/>
  <c r="C27" i="26"/>
  <c r="E33" i="26"/>
  <c r="C42" i="26"/>
  <c r="F51" i="26"/>
  <c r="G66" i="26"/>
  <c r="F58" i="26"/>
  <c r="I12" i="26"/>
  <c r="I31" i="26"/>
  <c r="E27" i="26"/>
  <c r="D59" i="26"/>
  <c r="F25" i="26"/>
  <c r="E57" i="26"/>
  <c r="C5" i="26"/>
  <c r="H48" i="26"/>
  <c r="D40" i="26"/>
  <c r="I4" i="26"/>
  <c r="J70" i="26"/>
  <c r="I8" i="26"/>
  <c r="D58" i="26"/>
  <c r="D54" i="26"/>
  <c r="I69" i="26"/>
  <c r="J19" i="26"/>
  <c r="K6" i="26"/>
  <c r="K67" i="26"/>
  <c r="I38" i="26"/>
  <c r="K46" i="26"/>
  <c r="E7" i="26"/>
  <c r="D37" i="26"/>
  <c r="F29" i="26"/>
  <c r="C41" i="26"/>
  <c r="E14" i="26"/>
  <c r="K55" i="26"/>
  <c r="G18" i="26"/>
  <c r="F42" i="26"/>
  <c r="K36" i="26"/>
  <c r="F16" i="26"/>
  <c r="H42" i="26"/>
  <c r="I44" i="26"/>
  <c r="F34" i="26"/>
  <c r="I51" i="26"/>
  <c r="I33" i="26"/>
  <c r="K30" i="26"/>
  <c r="F43" i="26"/>
  <c r="J55" i="26"/>
  <c r="I25" i="26"/>
  <c r="H53" i="26"/>
  <c r="J61" i="26"/>
  <c r="J59" i="26"/>
  <c r="G36" i="26"/>
  <c r="G12" i="26"/>
  <c r="K5" i="26"/>
  <c r="E48" i="26"/>
  <c r="E49" i="26"/>
  <c r="F53" i="26"/>
  <c r="D33" i="26"/>
  <c r="I52" i="26"/>
  <c r="C20" i="26"/>
  <c r="H52" i="26"/>
  <c r="I39" i="26"/>
  <c r="K2" i="26"/>
  <c r="I19" i="26"/>
  <c r="C7" i="26"/>
  <c r="F20" i="26"/>
  <c r="D45" i="26"/>
  <c r="F37" i="26"/>
  <c r="F13" i="26"/>
  <c r="D65" i="26"/>
  <c r="E19" i="26"/>
  <c r="I64" i="26"/>
  <c r="C39" i="26"/>
  <c r="E36" i="26"/>
  <c r="H3" i="26"/>
  <c r="D46" i="26"/>
  <c r="F11" i="26"/>
  <c r="C17" i="26"/>
  <c r="K48" i="26"/>
  <c r="K57" i="26"/>
  <c r="H20" i="26"/>
  <c r="G61" i="26"/>
  <c r="F68" i="26"/>
  <c r="C29" i="26"/>
  <c r="G7" i="26"/>
  <c r="C28" i="26"/>
  <c r="F35" i="26"/>
  <c r="F6" i="26"/>
  <c r="H65" i="26"/>
  <c r="I35" i="26"/>
  <c r="G67" i="26"/>
  <c r="I55" i="26"/>
  <c r="J51" i="26"/>
  <c r="C31" i="26"/>
  <c r="D29" i="26"/>
  <c r="G53" i="26"/>
  <c r="E68" i="26"/>
  <c r="H47" i="26"/>
  <c r="D56" i="26"/>
  <c r="H12" i="26"/>
  <c r="D44" i="26"/>
  <c r="E50" i="26"/>
  <c r="C68" i="26"/>
  <c r="G32" i="26"/>
  <c r="J43" i="26"/>
  <c r="E15" i="26"/>
  <c r="G33" i="26"/>
  <c r="I36" i="26"/>
  <c r="H28" i="26"/>
  <c r="J11" i="26"/>
  <c r="H41" i="26"/>
  <c r="D70" i="26"/>
  <c r="I16" i="26"/>
  <c r="C52" i="26"/>
  <c r="K24" i="26"/>
  <c r="D57" i="26"/>
  <c r="D23" i="26"/>
  <c r="H4" i="26"/>
  <c r="C24" i="26"/>
  <c r="I22" i="26"/>
  <c r="H54" i="26"/>
  <c r="G9" i="26"/>
  <c r="I56" i="26"/>
  <c r="D38" i="26"/>
  <c r="K17" i="26"/>
  <c r="I65" i="26"/>
  <c r="K7" i="26"/>
  <c r="G64" i="26"/>
  <c r="K12" i="26"/>
  <c r="J26" i="26"/>
  <c r="I54" i="26"/>
  <c r="G63" i="26"/>
  <c r="I40" i="26"/>
  <c r="H58" i="26"/>
  <c r="G39" i="26"/>
  <c r="G21" i="26"/>
  <c r="C6" i="26"/>
  <c r="G4" i="26"/>
  <c r="C53" i="26"/>
  <c r="H46" i="26"/>
  <c r="I3" i="26"/>
  <c r="I50" i="26"/>
  <c r="E44" i="26"/>
  <c r="D10" i="26"/>
  <c r="J60" i="26"/>
  <c r="K33" i="26"/>
  <c r="C65" i="26"/>
  <c r="K35" i="26"/>
  <c r="G44" i="26"/>
  <c r="H40" i="26"/>
  <c r="H14" i="26"/>
  <c r="F8" i="26"/>
  <c r="C34" i="26"/>
  <c r="F14" i="26"/>
  <c r="G62" i="26"/>
  <c r="I13" i="26"/>
  <c r="C58" i="26"/>
  <c r="C3" i="26"/>
  <c r="H67" i="26"/>
  <c r="C37" i="26"/>
  <c r="D52" i="26"/>
  <c r="K4" i="26"/>
  <c r="H10" i="26"/>
  <c r="F60" i="26"/>
  <c r="G41" i="26"/>
  <c r="G22" i="26"/>
  <c r="F22" i="26"/>
  <c r="D8" i="26"/>
  <c r="F59" i="26"/>
  <c r="I34" i="26"/>
  <c r="H32" i="26"/>
  <c r="C8" i="26"/>
  <c r="J13" i="26"/>
  <c r="J3" i="26"/>
  <c r="C26" i="26"/>
  <c r="E41" i="26"/>
  <c r="J16" i="26"/>
  <c r="I6" i="26"/>
  <c r="H68" i="26"/>
  <c r="J21" i="26"/>
  <c r="E21" i="26"/>
  <c r="D34" i="26"/>
  <c r="E5" i="26"/>
  <c r="E54" i="26"/>
  <c r="F26" i="26"/>
  <c r="F5" i="26"/>
  <c r="O12" i="26" l="1"/>
  <c r="R12" i="26"/>
  <c r="T12" i="26"/>
  <c r="N12" i="26"/>
  <c r="V12" i="26"/>
  <c r="S12" i="26"/>
  <c r="Q12" i="26"/>
  <c r="P12" i="26"/>
  <c r="U12" i="26"/>
  <c r="R11" i="26"/>
  <c r="V11" i="26"/>
  <c r="Q11" i="26"/>
  <c r="P11" i="26"/>
  <c r="U11" i="26"/>
  <c r="S11" i="26"/>
  <c r="N11" i="26"/>
  <c r="O11" i="26"/>
  <c r="T11" i="26"/>
  <c r="N2" i="26"/>
  <c r="V2" i="26"/>
  <c r="V8" i="26"/>
  <c r="N3" i="26"/>
  <c r="S5" i="26"/>
  <c r="P6" i="26"/>
  <c r="U3" i="26"/>
  <c r="U10" i="26"/>
  <c r="P9" i="26"/>
  <c r="T5" i="26"/>
  <c r="V4" i="26"/>
  <c r="S7" i="26"/>
  <c r="S9" i="26"/>
  <c r="S8" i="26"/>
  <c r="R10" i="26"/>
  <c r="S10" i="26"/>
  <c r="O5" i="26"/>
  <c r="T7" i="26"/>
  <c r="R6" i="26"/>
  <c r="U4" i="26"/>
  <c r="O3" i="26"/>
  <c r="N5" i="26"/>
  <c r="N9" i="26"/>
  <c r="O7" i="26"/>
  <c r="V6" i="26"/>
  <c r="O8" i="26"/>
  <c r="S4" i="26"/>
  <c r="Q3" i="26"/>
  <c r="Q8" i="26"/>
  <c r="U7" i="26"/>
  <c r="T10" i="26"/>
  <c r="V5" i="26"/>
  <c r="P5" i="26"/>
  <c r="N8" i="26"/>
  <c r="N4" i="26"/>
  <c r="V3" i="26"/>
  <c r="R9" i="26"/>
  <c r="R4" i="26"/>
  <c r="R2" i="26"/>
  <c r="T6" i="26"/>
  <c r="P10" i="26"/>
  <c r="V7" i="26"/>
  <c r="S2" i="26"/>
  <c r="T2" i="26"/>
  <c r="N10" i="26"/>
  <c r="Q6" i="26"/>
  <c r="P8" i="26"/>
  <c r="V10" i="26"/>
  <c r="R3" i="26"/>
  <c r="Q2" i="26"/>
  <c r="R7" i="26"/>
  <c r="O10" i="26"/>
  <c r="U2" i="26"/>
  <c r="N6" i="26"/>
  <c r="O4" i="26"/>
  <c r="P4" i="26"/>
  <c r="O2" i="26"/>
  <c r="O9" i="26"/>
  <c r="S6" i="26"/>
  <c r="T3" i="26"/>
  <c r="V9" i="26"/>
  <c r="Q4" i="26"/>
  <c r="P2" i="26"/>
  <c r="U5" i="26"/>
  <c r="Q5" i="26"/>
  <c r="O6" i="26"/>
  <c r="T8" i="26"/>
  <c r="P7" i="26"/>
  <c r="N7" i="26"/>
  <c r="Q9" i="26"/>
  <c r="R5" i="26"/>
  <c r="Q10" i="26"/>
  <c r="S3" i="26"/>
  <c r="U6" i="26"/>
  <c r="U9" i="26"/>
  <c r="T4" i="26"/>
  <c r="U8" i="26"/>
  <c r="R8" i="26"/>
  <c r="T9" i="26"/>
  <c r="Q7" i="26"/>
  <c r="P3" i="26"/>
  <c r="O8" i="19" a="1"/>
  <c r="O8" i="19" s="1"/>
  <c r="O9" i="19" a="1"/>
  <c r="O9" i="19" s="1"/>
  <c r="O10" i="19" a="1"/>
  <c r="O10" i="19" s="1"/>
  <c r="O11" i="19" a="1"/>
  <c r="O11" i="19" s="1"/>
  <c r="O12" i="19" a="1"/>
  <c r="O12" i="19" s="1"/>
  <c r="O13" i="19" a="1"/>
  <c r="O13" i="19" s="1"/>
  <c r="O14" i="19" a="1"/>
  <c r="O14" i="19" s="1"/>
  <c r="O15" i="19" a="1"/>
  <c r="O15" i="19" s="1"/>
  <c r="O16" i="19" a="1"/>
  <c r="O16" i="19" s="1"/>
  <c r="O17" i="19" a="1"/>
  <c r="O17" i="19" s="1"/>
  <c r="O18" i="19" a="1"/>
  <c r="O18" i="19" s="1"/>
  <c r="O19" i="19" a="1"/>
  <c r="O19" i="19" s="1"/>
  <c r="O20" i="19" a="1"/>
  <c r="O20" i="19" s="1"/>
  <c r="O21" i="19" a="1"/>
  <c r="O21" i="19" s="1"/>
  <c r="O22" i="19" a="1"/>
  <c r="O22" i="19" s="1"/>
  <c r="O23" i="19" a="1"/>
  <c r="O23" i="19" s="1"/>
  <c r="O24" i="19" a="1"/>
  <c r="O24" i="19" s="1"/>
  <c r="O25" i="19" a="1"/>
  <c r="O25" i="19" s="1"/>
  <c r="O26" i="19" a="1"/>
  <c r="O26" i="19" s="1"/>
  <c r="O27" i="19" a="1"/>
  <c r="O27" i="19" s="1"/>
  <c r="O28" i="19" a="1"/>
  <c r="O28" i="19" s="1"/>
  <c r="O29" i="19" a="1"/>
  <c r="O29" i="19" s="1"/>
  <c r="O30" i="19" a="1"/>
  <c r="O30" i="19" s="1"/>
  <c r="O31" i="19" a="1"/>
  <c r="O31" i="19" s="1"/>
  <c r="O32" i="19" a="1"/>
  <c r="O32" i="19" s="1"/>
  <c r="O33" i="19" a="1"/>
  <c r="O33" i="19" s="1"/>
  <c r="O34" i="19" a="1"/>
  <c r="O34" i="19" s="1"/>
  <c r="O35" i="19" a="1"/>
  <c r="O35" i="19" s="1"/>
  <c r="R7" i="14" a="1"/>
  <c r="R7" i="14" s="1"/>
  <c r="R8" i="14" a="1"/>
  <c r="R8" i="14" s="1"/>
  <c r="R9" i="14" a="1"/>
  <c r="R9" i="14" s="1"/>
  <c r="R10" i="14" a="1"/>
  <c r="R10" i="14" s="1"/>
  <c r="R11" i="14" a="1"/>
  <c r="R11" i="14" s="1"/>
  <c r="R12" i="14" a="1"/>
  <c r="R12" i="14" s="1"/>
  <c r="R13" i="14" a="1"/>
  <c r="R13" i="14" s="1"/>
  <c r="R14" i="14" a="1"/>
  <c r="R14" i="14" s="1"/>
  <c r="R15" i="14" a="1"/>
  <c r="R15" i="14" s="1"/>
  <c r="R16" i="14" a="1"/>
  <c r="R16" i="14" s="1"/>
  <c r="R17" i="14" a="1"/>
  <c r="R17" i="14" s="1"/>
  <c r="R18" i="14" a="1"/>
  <c r="R18" i="14" s="1"/>
  <c r="R19" i="14" a="1"/>
  <c r="R19" i="14" s="1"/>
  <c r="R20" i="14" a="1"/>
  <c r="R20" i="14" s="1"/>
  <c r="R21" i="14" a="1"/>
  <c r="R21" i="14" s="1"/>
  <c r="R22" i="14" a="1"/>
  <c r="R22" i="14" s="1"/>
  <c r="R23" i="14" a="1"/>
  <c r="R23" i="14" s="1"/>
  <c r="R24" i="14" a="1"/>
  <c r="R24" i="14" s="1"/>
  <c r="R25" i="14" a="1"/>
  <c r="R25" i="14" s="1"/>
  <c r="R26" i="14" a="1"/>
  <c r="R26" i="14" s="1"/>
  <c r="R27" i="14" a="1"/>
  <c r="R27" i="14" s="1"/>
  <c r="R28" i="14" a="1"/>
  <c r="R28" i="14" s="1"/>
  <c r="R29" i="14" a="1"/>
  <c r="R29" i="14" s="1"/>
  <c r="R30" i="14" a="1"/>
  <c r="R30" i="14" s="1"/>
  <c r="R31" i="14" a="1"/>
  <c r="R31" i="14" s="1"/>
  <c r="R32" i="14" a="1"/>
  <c r="R32" i="14" s="1"/>
  <c r="R33" i="14" a="1"/>
  <c r="R33" i="14" s="1"/>
  <c r="R34" i="14" a="1"/>
  <c r="R34" i="14" s="1"/>
  <c r="R35" i="14" a="1"/>
  <c r="R35" i="14" s="1"/>
  <c r="R36" i="14" a="1"/>
  <c r="R36" i="14" s="1"/>
  <c r="R37" i="14" a="1"/>
  <c r="R37" i="14" s="1"/>
  <c r="R38" i="14" a="1"/>
  <c r="R38" i="14" s="1"/>
  <c r="R39" i="14" a="1"/>
  <c r="R39" i="14" s="1"/>
  <c r="R40" i="14" a="1"/>
  <c r="R40" i="14" s="1"/>
  <c r="R41" i="14" a="1"/>
  <c r="R41" i="14" s="1"/>
  <c r="R42" i="14" a="1"/>
  <c r="R42" i="14" s="1"/>
  <c r="R43" i="14" a="1"/>
  <c r="R43" i="14" s="1"/>
  <c r="R44" i="14" a="1"/>
  <c r="R44" i="14" s="1"/>
  <c r="R45" i="14" a="1"/>
  <c r="R45" i="14" s="1"/>
  <c r="R46" i="14" a="1"/>
  <c r="R46" i="14" s="1"/>
  <c r="R47" i="14" a="1"/>
  <c r="R47" i="14" s="1"/>
  <c r="R48" i="14" a="1"/>
  <c r="R48" i="14" s="1"/>
  <c r="R49" i="14" a="1"/>
  <c r="R49" i="14" s="1"/>
  <c r="R50" i="14" a="1"/>
  <c r="R50" i="14" s="1"/>
  <c r="R51" i="14" a="1"/>
  <c r="R51" i="14" s="1"/>
  <c r="R52" i="14" a="1"/>
  <c r="R52" i="14" s="1"/>
  <c r="R53" i="14" a="1"/>
  <c r="R53" i="14" s="1"/>
  <c r="R54" i="14" a="1"/>
  <c r="R54" i="14" s="1"/>
  <c r="R55" i="14" a="1"/>
  <c r="R55" i="14" s="1"/>
  <c r="R56" i="14" a="1"/>
  <c r="R56" i="14" s="1"/>
  <c r="R57" i="14" a="1"/>
  <c r="R57" i="14" s="1"/>
  <c r="R58" i="14" a="1"/>
  <c r="R58" i="14" s="1"/>
  <c r="R59" i="14" a="1"/>
  <c r="R59" i="14" s="1"/>
  <c r="R60" i="14" a="1"/>
  <c r="R60" i="14" s="1"/>
  <c r="R61" i="14" a="1"/>
  <c r="R61" i="14" s="1"/>
  <c r="R62" i="14" a="1"/>
  <c r="R62" i="14" s="1"/>
  <c r="R63" i="14" a="1"/>
  <c r="R63" i="14" s="1"/>
  <c r="T8" i="13" a="1"/>
  <c r="T8" i="13" s="1"/>
  <c r="T9" i="13" a="1"/>
  <c r="T9" i="13" s="1"/>
  <c r="T10" i="13" a="1"/>
  <c r="T10" i="13" s="1"/>
  <c r="T11" i="13" a="1"/>
  <c r="T11" i="13" s="1"/>
  <c r="T12" i="13" a="1"/>
  <c r="T12" i="13" s="1"/>
  <c r="T13" i="13" a="1"/>
  <c r="T13" i="13" s="1"/>
  <c r="T14" i="13" a="1"/>
  <c r="T14" i="13" s="1"/>
  <c r="T15" i="13" a="1"/>
  <c r="T15" i="13" s="1"/>
  <c r="T16" i="13" a="1"/>
  <c r="T16" i="13" s="1"/>
  <c r="T17" i="13" a="1"/>
  <c r="T17" i="13" s="1"/>
  <c r="T18" i="13" a="1"/>
  <c r="T18" i="13" s="1"/>
  <c r="T19" i="13" a="1"/>
  <c r="T19" i="13" s="1"/>
  <c r="T20" i="13" a="1"/>
  <c r="T20" i="13" s="1"/>
  <c r="T21" i="13" a="1"/>
  <c r="T21" i="13" s="1"/>
  <c r="T22" i="13" a="1"/>
  <c r="T22" i="13" s="1"/>
  <c r="T23" i="13" a="1"/>
  <c r="T23" i="13" s="1"/>
  <c r="T24" i="13" a="1"/>
  <c r="T24" i="13" s="1"/>
  <c r="T25" i="13" a="1"/>
  <c r="T25" i="13" s="1"/>
  <c r="T26" i="13" a="1"/>
  <c r="T26" i="13" s="1"/>
  <c r="T27" i="13" a="1"/>
  <c r="T27" i="13" s="1"/>
  <c r="T28" i="13" a="1"/>
  <c r="T28" i="13" s="1"/>
  <c r="T29" i="13" a="1"/>
  <c r="T29" i="13" s="1"/>
  <c r="T30" i="13" a="1"/>
  <c r="T30" i="13" s="1"/>
  <c r="T31" i="13" a="1"/>
  <c r="T31" i="13" s="1"/>
  <c r="T32" i="13" a="1"/>
  <c r="T32" i="13" s="1"/>
  <c r="T33" i="13" a="1"/>
  <c r="T33" i="13" s="1"/>
  <c r="T34" i="13" a="1"/>
  <c r="T34" i="13" s="1"/>
  <c r="T35" i="13" a="1"/>
  <c r="T35" i="13" s="1"/>
  <c r="T36" i="13" a="1"/>
  <c r="T36" i="13" s="1"/>
  <c r="T37" i="13" a="1"/>
  <c r="T37" i="13" s="1"/>
  <c r="T38" i="13" a="1"/>
  <c r="T38" i="13" s="1"/>
  <c r="T39" i="13" a="1"/>
  <c r="T39" i="13" s="1"/>
  <c r="T40" i="13" a="1"/>
  <c r="T40" i="13" s="1"/>
  <c r="T41" i="13" a="1"/>
  <c r="T41" i="13" s="1"/>
  <c r="T42" i="13" a="1"/>
  <c r="T42" i="13" s="1"/>
  <c r="T43" i="13" a="1"/>
  <c r="T43" i="13" s="1"/>
  <c r="T44" i="13" a="1"/>
  <c r="T44" i="13" s="1"/>
  <c r="T45" i="13" a="1"/>
  <c r="T45" i="13" s="1"/>
  <c r="T7" i="13" a="1"/>
  <c r="T7" i="13" s="1"/>
  <c r="T7" i="12" a="1"/>
  <c r="T7" i="12" s="1"/>
  <c r="T8" i="12" a="1"/>
  <c r="T8" i="12" s="1"/>
  <c r="T9" i="12" a="1"/>
  <c r="T9" i="12" s="1"/>
  <c r="T10" i="12" a="1"/>
  <c r="T10" i="12" s="1"/>
  <c r="T11" i="12" a="1"/>
  <c r="T11" i="12" s="1"/>
  <c r="T12" i="12" a="1"/>
  <c r="T12" i="12" s="1"/>
  <c r="T13" i="12" a="1"/>
  <c r="T13" i="12" s="1"/>
  <c r="T14" i="12" a="1"/>
  <c r="T14" i="12" s="1"/>
  <c r="T15" i="12" a="1"/>
  <c r="T15" i="12" s="1"/>
  <c r="T16" i="12" a="1"/>
  <c r="T16" i="12" s="1"/>
  <c r="T17" i="12" a="1"/>
  <c r="T17" i="12" s="1"/>
  <c r="T18" i="12" a="1"/>
  <c r="T18" i="12" s="1"/>
  <c r="T19" i="12" a="1"/>
  <c r="T19" i="12" s="1"/>
  <c r="T20" i="12" a="1"/>
  <c r="T20" i="12" s="1"/>
  <c r="T21" i="12" a="1"/>
  <c r="T21" i="12" s="1"/>
  <c r="T22" i="12" a="1"/>
  <c r="T22" i="12" s="1"/>
  <c r="T23" i="12" a="1"/>
  <c r="T23" i="12" s="1"/>
  <c r="T24" i="12" a="1"/>
  <c r="T24" i="12" s="1"/>
  <c r="T25" i="12" a="1"/>
  <c r="T25" i="12" s="1"/>
  <c r="T26" i="12" a="1"/>
  <c r="T26" i="12" s="1"/>
  <c r="T27" i="12" a="1"/>
  <c r="T27" i="12" s="1"/>
  <c r="T28" i="12" a="1"/>
  <c r="T28" i="12" s="1"/>
  <c r="T29" i="12" a="1"/>
  <c r="T29" i="12" s="1"/>
  <c r="T30" i="12" a="1"/>
  <c r="T30" i="12" s="1"/>
  <c r="T31" i="12" a="1"/>
  <c r="T31" i="12" s="1"/>
  <c r="T32" i="12" a="1"/>
  <c r="T32" i="12" s="1"/>
  <c r="T33" i="12" a="1"/>
  <c r="T33" i="12" s="1"/>
  <c r="T34" i="12" a="1"/>
  <c r="T34" i="12" s="1"/>
  <c r="T35" i="12" a="1"/>
  <c r="T35" i="12" s="1"/>
  <c r="T36" i="12" a="1"/>
  <c r="T36" i="12" s="1"/>
  <c r="T37" i="12" a="1"/>
  <c r="T37" i="12" s="1"/>
  <c r="T38" i="12" a="1"/>
  <c r="T38" i="12" s="1"/>
  <c r="T39" i="12" a="1"/>
  <c r="T39" i="12" s="1"/>
  <c r="T40" i="12" a="1"/>
  <c r="T40" i="12" s="1"/>
  <c r="T41" i="12" a="1"/>
  <c r="T41" i="12" s="1"/>
  <c r="T42" i="12" a="1"/>
  <c r="T42" i="12" s="1"/>
  <c r="T43" i="12" a="1"/>
  <c r="T43" i="12" s="1"/>
  <c r="T44" i="12" a="1"/>
  <c r="T44" i="12" s="1"/>
  <c r="T45" i="12" a="1"/>
  <c r="T45" i="12" s="1"/>
  <c r="T46" i="12" a="1"/>
  <c r="T46" i="12" s="1"/>
  <c r="T47" i="12" a="1"/>
  <c r="T47" i="12" s="1"/>
  <c r="T48" i="12" a="1"/>
  <c r="T48" i="12" s="1"/>
  <c r="W12" i="26" l="1"/>
  <c r="W11" i="26"/>
  <c r="W7" i="26"/>
  <c r="W5" i="26"/>
  <c r="W2" i="26"/>
  <c r="W4" i="26"/>
  <c r="W8" i="26"/>
  <c r="W6" i="26"/>
  <c r="W9" i="26"/>
  <c r="W10" i="26"/>
  <c r="W3" i="26"/>
  <c r="E12" i="22"/>
  <c r="E11" i="22"/>
  <c r="E13" i="22"/>
  <c r="E7" i="22"/>
  <c r="E8" i="22"/>
  <c r="E9" i="22"/>
  <c r="E10" i="22"/>
  <c r="V7" i="11" a="1"/>
  <c r="V7" i="11" s="1"/>
  <c r="V8" i="11" a="1"/>
  <c r="V8" i="11" s="1"/>
  <c r="V9" i="11" a="1"/>
  <c r="V9" i="11" s="1"/>
  <c r="V10" i="11" a="1"/>
  <c r="V10" i="11" s="1"/>
  <c r="V11" i="11" a="1"/>
  <c r="V11" i="11" s="1"/>
  <c r="V12" i="11" a="1"/>
  <c r="V12" i="11" s="1"/>
  <c r="V13" i="11" a="1"/>
  <c r="V13" i="11" s="1"/>
  <c r="V14" i="11" a="1"/>
  <c r="V14" i="11" s="1"/>
  <c r="V15" i="11" a="1"/>
  <c r="V15" i="11" s="1"/>
  <c r="V16" i="11" a="1"/>
  <c r="V16" i="11" s="1"/>
  <c r="V17" i="11" a="1"/>
  <c r="V17" i="11" s="1"/>
  <c r="V18" i="11" a="1"/>
  <c r="V18" i="11" s="1"/>
  <c r="V19" i="11" a="1"/>
  <c r="V19" i="11" s="1"/>
  <c r="V20" i="11" a="1"/>
  <c r="V20" i="11" s="1"/>
  <c r="V21" i="11" a="1"/>
  <c r="V21" i="11" s="1"/>
  <c r="V22" i="11" a="1"/>
  <c r="V22" i="11" s="1"/>
  <c r="V23" i="11" a="1"/>
  <c r="V23" i="11" s="1"/>
  <c r="V24" i="11" a="1"/>
  <c r="V24" i="11" s="1"/>
  <c r="V25" i="11" a="1"/>
  <c r="V25" i="11" s="1"/>
  <c r="V26" i="11" a="1"/>
  <c r="V26" i="11" s="1"/>
  <c r="V27" i="11" a="1"/>
  <c r="V27" i="11" s="1"/>
  <c r="V28" i="11" a="1"/>
  <c r="V28" i="11" s="1"/>
  <c r="V29" i="11" a="1"/>
  <c r="V29" i="11" s="1"/>
  <c r="V30" i="11" a="1"/>
  <c r="V30" i="11" s="1"/>
  <c r="V31" i="11" a="1"/>
  <c r="V31" i="11" s="1"/>
  <c r="V32" i="11" a="1"/>
  <c r="V32" i="11" s="1"/>
  <c r="V33" i="11" a="1"/>
  <c r="V33" i="11" s="1"/>
  <c r="V34" i="11" a="1"/>
  <c r="V34" i="11" s="1"/>
  <c r="V35" i="11" a="1"/>
  <c r="V35" i="11" s="1"/>
  <c r="V36" i="11" a="1"/>
  <c r="V36" i="11" s="1"/>
  <c r="V37" i="11" a="1"/>
  <c r="V37" i="11" s="1"/>
  <c r="V38" i="11" a="1"/>
  <c r="V38" i="11" s="1"/>
  <c r="V39" i="11" a="1"/>
  <c r="V39" i="11" s="1"/>
  <c r="V40" i="11" a="1"/>
  <c r="V40" i="11" s="1"/>
  <c r="V41" i="11" a="1"/>
  <c r="V41" i="11" s="1"/>
  <c r="V42" i="11" a="1"/>
  <c r="V42" i="11" s="1"/>
  <c r="V43" i="11" a="1"/>
  <c r="V43" i="11" s="1"/>
  <c r="V44" i="11" a="1"/>
  <c r="V44" i="11" s="1"/>
  <c r="V45" i="11" a="1"/>
  <c r="V45" i="11" s="1"/>
  <c r="V46" i="11" a="1"/>
  <c r="V46" i="11" s="1"/>
  <c r="V47" i="11" a="1"/>
  <c r="V47" i="11" s="1"/>
  <c r="V48" i="11" a="1"/>
  <c r="V48" i="11" s="1"/>
  <c r="V49" i="11" a="1"/>
  <c r="V49" i="11" s="1"/>
  <c r="V50" i="11" a="1"/>
  <c r="V50" i="11" s="1"/>
  <c r="V51" i="11" a="1"/>
  <c r="V51" i="11" s="1"/>
  <c r="V52" i="11" a="1"/>
  <c r="V52" i="11" s="1"/>
  <c r="V53" i="11" a="1"/>
  <c r="V53" i="11" s="1"/>
  <c r="V54" i="11" a="1"/>
  <c r="V54" i="11" s="1"/>
  <c r="V55" i="11" a="1"/>
  <c r="V55" i="11" s="1"/>
  <c r="V56" i="11" a="1"/>
  <c r="V56" i="11" s="1"/>
  <c r="V57" i="11" a="1"/>
  <c r="V57" i="11" s="1"/>
  <c r="V58" i="11" a="1"/>
  <c r="V58" i="11" s="1"/>
  <c r="V59" i="11" a="1"/>
  <c r="V59" i="11" s="1"/>
  <c r="V60" i="11" a="1"/>
  <c r="V60" i="11" s="1"/>
  <c r="V61" i="11" a="1"/>
  <c r="V61" i="11" s="1"/>
  <c r="V62" i="11" a="1"/>
  <c r="V62" i="11" s="1"/>
  <c r="V63" i="11" a="1"/>
  <c r="V63" i="11" s="1"/>
  <c r="V64" i="11" a="1"/>
  <c r="V64" i="11" s="1"/>
  <c r="V65" i="11" a="1"/>
  <c r="V65" i="11" s="1"/>
  <c r="V66" i="11" a="1"/>
  <c r="V66" i="11" s="1"/>
  <c r="V67" i="11" a="1"/>
  <c r="V67" i="11" s="1"/>
  <c r="V68" i="11" a="1"/>
  <c r="V68" i="11" s="1"/>
  <c r="V69" i="11" a="1"/>
  <c r="V69" i="11" s="1"/>
  <c r="V70" i="11" a="1"/>
  <c r="V70" i="11" s="1"/>
  <c r="V71" i="11" a="1"/>
  <c r="V71" i="11" s="1"/>
  <c r="V72" i="11" a="1"/>
  <c r="V72" i="11" s="1"/>
  <c r="V73" i="11" a="1"/>
  <c r="V73" i="11" s="1"/>
  <c r="V74" i="11" a="1"/>
  <c r="V74" i="11" s="1"/>
  <c r="V75" i="11" a="1"/>
  <c r="V75" i="11" s="1"/>
  <c r="V76" i="11" a="1"/>
  <c r="V76" i="11" s="1"/>
  <c r="V77" i="11" a="1"/>
  <c r="V77" i="11" s="1"/>
  <c r="V78" i="11" a="1"/>
  <c r="V78" i="11" s="1"/>
  <c r="V79" i="11" a="1"/>
  <c r="V79" i="11" s="1"/>
  <c r="V80" i="11" a="1"/>
  <c r="V80" i="11" s="1"/>
  <c r="V81" i="11" a="1"/>
  <c r="V81" i="11" s="1"/>
  <c r="V82" i="11" a="1"/>
  <c r="V82" i="11" s="1"/>
  <c r="V83" i="11" a="1"/>
  <c r="V83" i="11" s="1"/>
  <c r="V84" i="11" a="1"/>
  <c r="V84" i="11" s="1"/>
  <c r="V85" i="11" a="1"/>
  <c r="V85" i="11" s="1"/>
  <c r="V86" i="11" a="1"/>
  <c r="V86" i="11" s="1"/>
  <c r="V87" i="11" a="1"/>
  <c r="V87" i="11" s="1"/>
  <c r="V88" i="11" a="1"/>
  <c r="V88" i="11" s="1"/>
  <c r="V89" i="11" a="1"/>
  <c r="V89" i="11" s="1"/>
  <c r="V90" i="11" a="1"/>
  <c r="V90" i="11" s="1"/>
  <c r="V91" i="11" a="1"/>
  <c r="V91" i="11" s="1"/>
  <c r="V92" i="11" a="1"/>
  <c r="V92" i="11" s="1"/>
  <c r="V93" i="11" a="1"/>
  <c r="V93" i="11" s="1"/>
  <c r="V94" i="11" a="1"/>
  <c r="V94" i="11" s="1"/>
  <c r="V95" i="11" a="1"/>
  <c r="V95" i="11" s="1"/>
  <c r="V96" i="11" a="1"/>
  <c r="V96" i="11" s="1"/>
  <c r="V97" i="11" a="1"/>
  <c r="V97" i="11" s="1"/>
  <c r="V98" i="11" a="1"/>
  <c r="V98" i="11" s="1"/>
  <c r="V99" i="11" a="1"/>
  <c r="V99" i="11" s="1"/>
  <c r="V100" i="11" a="1"/>
  <c r="V100" i="11" s="1"/>
  <c r="V101" i="11" a="1"/>
  <c r="V101" i="11" s="1"/>
  <c r="V102" i="11" a="1"/>
  <c r="V102" i="11" s="1"/>
  <c r="V103" i="11" a="1"/>
  <c r="V103" i="11" s="1"/>
  <c r="V104" i="11" a="1"/>
  <c r="V104" i="11" s="1"/>
  <c r="V105" i="11" a="1"/>
  <c r="V105" i="11" s="1"/>
  <c r="V106" i="11" a="1"/>
  <c r="V106" i="11" s="1"/>
  <c r="V107" i="11" a="1"/>
  <c r="V107" i="11" s="1"/>
  <c r="V108" i="11" a="1"/>
  <c r="V108" i="11" s="1"/>
  <c r="V109" i="11" a="1"/>
  <c r="V109" i="11" s="1"/>
  <c r="V110" i="11" a="1"/>
  <c r="V110" i="11" s="1"/>
  <c r="V111" i="11" a="1"/>
  <c r="V111" i="11" s="1"/>
  <c r="V112" i="11" a="1"/>
  <c r="V112" i="11" s="1"/>
  <c r="V113" i="11" a="1"/>
  <c r="V113" i="11" s="1"/>
  <c r="V114" i="11" a="1"/>
  <c r="V114" i="11" s="1"/>
  <c r="V115" i="11" a="1"/>
  <c r="V115" i="11" s="1"/>
  <c r="V116" i="11" a="1"/>
  <c r="V116" i="11" s="1"/>
  <c r="V117" i="11" a="1"/>
  <c r="V117" i="11" s="1"/>
  <c r="V118" i="11" a="1"/>
  <c r="V118" i="11" s="1"/>
  <c r="V119" i="11" a="1"/>
  <c r="V119" i="11" s="1"/>
  <c r="V120" i="11" a="1"/>
  <c r="V120" i="11" s="1"/>
  <c r="V121" i="11" a="1"/>
  <c r="V121" i="11" s="1"/>
  <c r="V122" i="11" a="1"/>
  <c r="V122" i="11" s="1"/>
  <c r="V123" i="11" a="1"/>
  <c r="V123" i="11" s="1"/>
  <c r="V124" i="11" a="1"/>
  <c r="V124" i="11" s="1"/>
  <c r="V125" i="11" a="1"/>
  <c r="V125" i="11" s="1"/>
  <c r="V126" i="11" a="1"/>
  <c r="V126" i="11" s="1"/>
  <c r="V127" i="11" a="1"/>
  <c r="V127" i="11" s="1"/>
  <c r="V128" i="11" a="1"/>
  <c r="V128" i="11" s="1"/>
  <c r="V129" i="11" a="1"/>
  <c r="V129" i="11" s="1"/>
  <c r="V130" i="11" a="1"/>
  <c r="V130" i="11" s="1"/>
  <c r="V131" i="11" a="1"/>
  <c r="V131" i="11" s="1"/>
  <c r="V132" i="11" a="1"/>
  <c r="V132" i="11" s="1"/>
  <c r="V133" i="11" a="1"/>
  <c r="V133" i="11" s="1"/>
  <c r="V134" i="11" a="1"/>
  <c r="V134" i="11" s="1"/>
  <c r="V135" i="11" a="1"/>
  <c r="V135" i="11" s="1"/>
  <c r="V136" i="11" a="1"/>
  <c r="V136" i="11" s="1"/>
  <c r="V137" i="11" a="1"/>
  <c r="V137" i="11" s="1"/>
  <c r="V138" i="11" a="1"/>
  <c r="V138" i="11" s="1"/>
  <c r="V139" i="11" a="1"/>
  <c r="V139" i="11" s="1"/>
  <c r="V140" i="11" a="1"/>
  <c r="V140" i="11" s="1"/>
  <c r="V141" i="11" a="1"/>
  <c r="V141" i="11" s="1"/>
  <c r="E6" i="22" l="1"/>
  <c r="E5" i="22" l="1"/>
  <c r="D13" i="22"/>
  <c r="D8" i="22"/>
  <c r="D9" i="22"/>
  <c r="D10" i="22"/>
  <c r="D11" i="22"/>
  <c r="D12" i="22"/>
  <c r="D6" i="22"/>
  <c r="D5" i="22"/>
  <c r="F13" i="22" l="1"/>
  <c r="G13" i="22"/>
  <c r="G5" i="22"/>
  <c r="F5" i="22"/>
  <c r="G6" i="22"/>
  <c r="F6" i="22"/>
  <c r="G7" i="22"/>
  <c r="F7" i="22"/>
  <c r="G8" i="22"/>
  <c r="F8" i="22"/>
  <c r="G9" i="22"/>
  <c r="F9" i="22"/>
  <c r="G10" i="22"/>
  <c r="F10" i="22"/>
  <c r="G11" i="22"/>
  <c r="F11" i="22"/>
  <c r="G12" i="22"/>
  <c r="F12" i="22"/>
  <c r="A7" i="20" l="1"/>
  <c r="A7" i="19"/>
  <c r="A7" i="17" l="1"/>
  <c r="A7" i="15"/>
  <c r="A7" i="14"/>
  <c r="A7" i="13"/>
  <c r="A7" i="12"/>
  <c r="CZ9" i="2" l="1"/>
  <c r="CZ350" i="2"/>
  <c r="CZ353" i="2"/>
  <c r="CZ354" i="2"/>
  <c r="CZ355" i="2"/>
  <c r="CZ373" i="2"/>
  <c r="CZ326" i="2"/>
  <c r="CZ327" i="2"/>
  <c r="CZ328" i="2"/>
  <c r="CZ329" i="2"/>
  <c r="CZ330" i="2"/>
  <c r="CZ331" i="2"/>
  <c r="CZ332" i="2"/>
  <c r="CZ333" i="2"/>
  <c r="CZ334" i="2"/>
  <c r="CZ335" i="2"/>
  <c r="CZ336" i="2"/>
  <c r="CZ337" i="2"/>
  <c r="CZ338" i="2"/>
  <c r="CZ339" i="2"/>
  <c r="CZ340" i="2"/>
  <c r="CZ341" i="2"/>
  <c r="CZ342" i="2"/>
  <c r="CZ343" i="2"/>
  <c r="CZ344" i="2"/>
  <c r="CZ345" i="2"/>
  <c r="CZ346" i="2"/>
  <c r="CZ347" i="2"/>
  <c r="CZ348" i="2"/>
  <c r="CZ349" i="2"/>
  <c r="CZ351" i="2"/>
  <c r="CZ352" i="2"/>
  <c r="CZ356" i="2"/>
  <c r="CZ357" i="2"/>
  <c r="CZ358" i="2"/>
  <c r="CZ359" i="2"/>
  <c r="CZ360" i="2"/>
  <c r="CZ361" i="2"/>
  <c r="CZ362" i="2"/>
  <c r="CZ363" i="2"/>
  <c r="CZ364" i="2"/>
  <c r="CZ365" i="2"/>
  <c r="CZ366" i="2"/>
  <c r="CZ367" i="2"/>
  <c r="CZ368" i="2"/>
  <c r="CZ369" i="2"/>
  <c r="CZ377" i="2"/>
  <c r="CZ514" i="2"/>
  <c r="CZ319" i="2"/>
  <c r="CZ320" i="2"/>
  <c r="CZ321" i="2"/>
  <c r="CZ323" i="2"/>
  <c r="CZ324" i="2"/>
  <c r="CZ325" i="2"/>
  <c r="CZ315" i="2"/>
  <c r="CZ316" i="2"/>
  <c r="CZ317" i="2"/>
  <c r="CZ318" i="2"/>
  <c r="CZ322" i="2"/>
  <c r="CZ268" i="2"/>
  <c r="CZ269" i="2"/>
  <c r="CZ270" i="2"/>
  <c r="CZ271" i="2"/>
  <c r="CZ272" i="2"/>
  <c r="CZ273" i="2"/>
  <c r="CZ274" i="2"/>
  <c r="CZ275" i="2"/>
  <c r="CZ276" i="2"/>
  <c r="CZ277" i="2"/>
  <c r="CZ278" i="2"/>
  <c r="CZ279" i="2"/>
  <c r="CZ280" i="2"/>
  <c r="CZ281" i="2"/>
  <c r="CZ282" i="2"/>
  <c r="CZ283" i="2"/>
  <c r="CZ284" i="2"/>
  <c r="CZ285" i="2"/>
  <c r="CZ286" i="2"/>
  <c r="CZ287" i="2"/>
  <c r="CZ288" i="2"/>
  <c r="CZ289" i="2"/>
  <c r="CZ290" i="2"/>
  <c r="CZ291" i="2"/>
  <c r="CZ292" i="2"/>
  <c r="CZ293" i="2"/>
  <c r="CZ294" i="2"/>
  <c r="CZ295" i="2"/>
  <c r="CZ296" i="2"/>
  <c r="CZ297" i="2"/>
  <c r="CZ298" i="2"/>
  <c r="CZ299" i="2"/>
  <c r="CZ300" i="2"/>
  <c r="CZ301" i="2"/>
  <c r="CZ302" i="2"/>
  <c r="CZ303" i="2"/>
  <c r="CZ304" i="2"/>
  <c r="CZ305" i="2"/>
  <c r="CZ306" i="2"/>
  <c r="CZ307" i="2"/>
  <c r="CZ308" i="2"/>
  <c r="CZ309" i="2"/>
  <c r="CZ310" i="2"/>
  <c r="CZ311" i="2"/>
  <c r="CZ312" i="2"/>
  <c r="CZ313" i="2"/>
  <c r="CZ314" i="2"/>
  <c r="CZ260" i="2" l="1"/>
  <c r="CZ261" i="2"/>
  <c r="CZ262" i="2"/>
  <c r="CZ263" i="2"/>
  <c r="CZ264" i="2"/>
  <c r="CZ265" i="2"/>
  <c r="CZ266" i="2"/>
  <c r="CZ267" i="2"/>
  <c r="CZ258" i="2"/>
  <c r="CZ11" i="2" l="1"/>
  <c r="CZ12" i="2"/>
  <c r="CZ13" i="2"/>
  <c r="CZ14" i="2"/>
  <c r="CZ15" i="2"/>
  <c r="CZ16" i="2"/>
  <c r="CZ17" i="2"/>
  <c r="CZ18" i="2"/>
  <c r="CZ19" i="2"/>
  <c r="CZ20" i="2"/>
  <c r="CZ21" i="2"/>
  <c r="CZ22" i="2"/>
  <c r="CZ23" i="2"/>
  <c r="CZ24" i="2"/>
  <c r="CZ25" i="2"/>
  <c r="CZ26" i="2"/>
  <c r="CZ27" i="2"/>
  <c r="CZ28" i="2"/>
  <c r="CZ29" i="2"/>
  <c r="CZ30" i="2"/>
  <c r="CZ31" i="2"/>
  <c r="CZ32" i="2"/>
  <c r="CZ33" i="2"/>
  <c r="CZ34" i="2"/>
  <c r="CZ35" i="2"/>
  <c r="CZ36" i="2"/>
  <c r="CZ37" i="2"/>
  <c r="CZ38" i="2"/>
  <c r="CZ39" i="2"/>
  <c r="CZ40" i="2"/>
  <c r="CZ41" i="2"/>
  <c r="CZ42" i="2"/>
  <c r="CZ43" i="2"/>
  <c r="CZ44" i="2"/>
  <c r="CZ45" i="2"/>
  <c r="CZ47" i="2"/>
  <c r="CZ48" i="2"/>
  <c r="CZ49" i="2"/>
  <c r="CZ50" i="2"/>
  <c r="CZ51" i="2"/>
  <c r="CZ52" i="2"/>
  <c r="CZ53" i="2"/>
  <c r="CZ54" i="2"/>
  <c r="CZ55" i="2"/>
  <c r="CZ56" i="2"/>
  <c r="CZ57" i="2"/>
  <c r="CZ58" i="2"/>
  <c r="CZ59" i="2"/>
  <c r="CZ60" i="2"/>
  <c r="CZ61" i="2"/>
  <c r="CZ62" i="2"/>
  <c r="CZ63" i="2"/>
  <c r="CZ64" i="2"/>
  <c r="CZ65" i="2"/>
  <c r="CZ66" i="2"/>
  <c r="CZ67" i="2"/>
  <c r="CZ68" i="2"/>
  <c r="CZ69" i="2"/>
  <c r="CZ70" i="2"/>
  <c r="CZ71" i="2"/>
  <c r="CZ72" i="2"/>
  <c r="CZ73" i="2"/>
  <c r="CZ74" i="2"/>
  <c r="CZ75" i="2"/>
  <c r="CZ76" i="2"/>
  <c r="CZ77" i="2"/>
  <c r="CZ78" i="2"/>
  <c r="CZ79" i="2"/>
  <c r="CZ80" i="2"/>
  <c r="CZ81" i="2"/>
  <c r="CZ82" i="2"/>
  <c r="CZ83" i="2"/>
  <c r="CZ84" i="2"/>
  <c r="CZ85" i="2"/>
  <c r="CZ86" i="2"/>
  <c r="CZ87" i="2"/>
  <c r="CZ88" i="2"/>
  <c r="CZ89" i="2"/>
  <c r="CZ90" i="2"/>
  <c r="CZ91" i="2"/>
  <c r="CZ92" i="2"/>
  <c r="CZ93" i="2"/>
  <c r="CZ94" i="2"/>
  <c r="CZ95" i="2"/>
  <c r="CZ96" i="2"/>
  <c r="CZ97" i="2"/>
  <c r="CZ98" i="2"/>
  <c r="CZ99" i="2"/>
  <c r="CZ100" i="2"/>
  <c r="CZ101" i="2"/>
  <c r="CZ102" i="2"/>
  <c r="CZ103" i="2"/>
  <c r="CZ104" i="2"/>
  <c r="CZ105" i="2"/>
  <c r="CZ106" i="2"/>
  <c r="CZ107" i="2"/>
  <c r="CZ108" i="2"/>
  <c r="CZ109" i="2"/>
  <c r="CZ110" i="2"/>
  <c r="CZ111" i="2"/>
  <c r="CZ112" i="2"/>
  <c r="CZ113" i="2"/>
  <c r="CZ114" i="2"/>
  <c r="CZ115" i="2"/>
  <c r="CZ116" i="2"/>
  <c r="CZ117" i="2"/>
  <c r="CZ118" i="2"/>
  <c r="CZ119" i="2"/>
  <c r="CZ120" i="2"/>
  <c r="CZ121" i="2"/>
  <c r="CZ122" i="2"/>
  <c r="CZ123" i="2"/>
  <c r="CZ124" i="2"/>
  <c r="CZ125" i="2"/>
  <c r="CZ126" i="2"/>
  <c r="CZ127" i="2"/>
  <c r="CZ128" i="2"/>
  <c r="CZ129" i="2"/>
  <c r="CZ130" i="2"/>
  <c r="CZ131" i="2"/>
  <c r="CZ132" i="2"/>
  <c r="CZ133" i="2"/>
  <c r="CZ134" i="2"/>
  <c r="CZ135" i="2"/>
  <c r="CZ136" i="2"/>
  <c r="CZ137" i="2"/>
  <c r="CZ138" i="2"/>
  <c r="CZ139" i="2"/>
  <c r="CZ140" i="2"/>
  <c r="CZ141" i="2"/>
  <c r="CZ142" i="2"/>
  <c r="CZ143" i="2"/>
  <c r="CZ144" i="2"/>
  <c r="CZ145" i="2"/>
  <c r="CZ146" i="2"/>
  <c r="CZ147" i="2"/>
  <c r="CZ148" i="2"/>
  <c r="CZ149" i="2"/>
  <c r="CZ150" i="2"/>
  <c r="CZ151" i="2"/>
  <c r="CZ152" i="2"/>
  <c r="CZ153" i="2"/>
  <c r="CZ154" i="2"/>
  <c r="CZ155" i="2"/>
  <c r="CZ156" i="2"/>
  <c r="CZ157" i="2"/>
  <c r="CZ158" i="2"/>
  <c r="CZ159" i="2"/>
  <c r="CZ160" i="2"/>
  <c r="CZ161" i="2"/>
  <c r="CZ162" i="2"/>
  <c r="CZ163" i="2"/>
  <c r="CZ164" i="2"/>
  <c r="CZ165" i="2"/>
  <c r="CZ166" i="2"/>
  <c r="CZ167" i="2"/>
  <c r="CZ168" i="2"/>
  <c r="CZ169" i="2"/>
  <c r="CZ170" i="2"/>
  <c r="CZ171" i="2"/>
  <c r="CZ172" i="2"/>
  <c r="CZ173" i="2"/>
  <c r="CZ174" i="2"/>
  <c r="CZ175" i="2"/>
  <c r="CZ176" i="2"/>
  <c r="CZ177" i="2"/>
  <c r="CZ178" i="2"/>
  <c r="CZ179" i="2"/>
  <c r="CZ180" i="2"/>
  <c r="CZ181" i="2"/>
  <c r="CZ182" i="2"/>
  <c r="CZ183" i="2"/>
  <c r="CZ184" i="2"/>
  <c r="CZ185" i="2"/>
  <c r="CZ186" i="2"/>
  <c r="CZ187" i="2"/>
  <c r="CZ188" i="2"/>
  <c r="CZ189" i="2"/>
  <c r="CZ190" i="2"/>
  <c r="CZ191" i="2"/>
  <c r="CZ192" i="2"/>
  <c r="CZ193" i="2"/>
  <c r="CZ194" i="2"/>
  <c r="CZ195" i="2"/>
  <c r="CZ196" i="2"/>
  <c r="CZ197" i="2"/>
  <c r="CZ198" i="2"/>
  <c r="CZ199" i="2"/>
  <c r="CZ200" i="2"/>
  <c r="CZ201" i="2"/>
  <c r="CZ202" i="2"/>
  <c r="CZ203" i="2"/>
  <c r="CZ204" i="2"/>
  <c r="CZ205" i="2"/>
  <c r="CZ206" i="2"/>
  <c r="CZ207" i="2"/>
  <c r="CZ208" i="2"/>
  <c r="CZ209" i="2"/>
  <c r="CZ210" i="2"/>
  <c r="CZ211" i="2"/>
  <c r="CZ212" i="2"/>
  <c r="CZ213" i="2"/>
  <c r="CZ214" i="2"/>
  <c r="CZ215" i="2"/>
  <c r="CZ216" i="2"/>
  <c r="CZ217" i="2"/>
  <c r="CZ218" i="2"/>
  <c r="CZ219" i="2"/>
  <c r="CZ220" i="2"/>
  <c r="CZ221" i="2"/>
  <c r="CZ222" i="2"/>
  <c r="CZ223" i="2"/>
  <c r="CZ224" i="2"/>
  <c r="CZ225" i="2"/>
  <c r="CZ226" i="2"/>
  <c r="CZ227" i="2"/>
  <c r="CZ228" i="2"/>
  <c r="CZ229" i="2"/>
  <c r="CZ230" i="2"/>
  <c r="CZ231" i="2"/>
  <c r="CZ232" i="2"/>
  <c r="CZ233" i="2"/>
  <c r="CZ234" i="2"/>
  <c r="CZ235" i="2"/>
  <c r="CZ236" i="2"/>
  <c r="CZ237" i="2"/>
  <c r="CZ238" i="2"/>
  <c r="CZ239" i="2"/>
  <c r="CZ240" i="2"/>
  <c r="CZ241" i="2"/>
  <c r="CZ242" i="2"/>
  <c r="CZ243" i="2"/>
  <c r="CZ244" i="2"/>
  <c r="CZ245" i="2"/>
  <c r="CZ246" i="2"/>
  <c r="CZ247" i="2"/>
  <c r="CZ248" i="2"/>
  <c r="CZ249" i="2"/>
  <c r="CZ250" i="2"/>
  <c r="CZ251" i="2"/>
  <c r="CZ252" i="2"/>
  <c r="CZ254" i="2"/>
  <c r="CZ255" i="2"/>
  <c r="CZ256" i="2"/>
  <c r="CZ259" i="2"/>
  <c r="CZ10" i="2"/>
  <c r="CU56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trinh ly/0803388/Trinh　Ly</author>
  </authors>
  <commentList>
    <comment ref="AY94" authorId="0" shapeId="0" xr:uid="{566B3F26-7838-44F4-99F1-1727C95EDFD8}">
      <text>
        <r>
          <rPr>
            <b/>
            <sz val="9"/>
            <color indexed="81"/>
            <rFont val="Tahoma"/>
            <family val="2"/>
          </rPr>
          <t>trinh ly/0803388/Trinh　Ly:</t>
        </r>
        <r>
          <rPr>
            <sz val="9"/>
            <color indexed="81"/>
            <rFont val="Tahoma"/>
            <family val="2"/>
          </rPr>
          <t xml:space="preserve">
chỉ băng tải sấy</t>
        </r>
      </text>
    </comment>
    <comment ref="AY95" authorId="0" shapeId="0" xr:uid="{F7E04441-5867-4F58-A22E-D609E0E74C49}">
      <text>
        <r>
          <rPr>
            <b/>
            <sz val="9"/>
            <color indexed="81"/>
            <rFont val="Tahoma"/>
            <family val="2"/>
          </rPr>
          <t>trinh ly/0803388/Trinh　Ly:</t>
        </r>
        <r>
          <rPr>
            <sz val="9"/>
            <color indexed="81"/>
            <rFont val="Tahoma"/>
            <family val="2"/>
          </rPr>
          <t xml:space="preserve">
chỉ băng tải sấy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thuy/0803510/Nguyen　Thuy</author>
  </authors>
  <commentList>
    <comment ref="E5" authorId="0" shapeId="0" xr:uid="{A5F7AB5E-E447-4916-B51B-15E455D26E9C}">
      <text>
        <r>
          <rPr>
            <b/>
            <sz val="9"/>
            <color indexed="81"/>
            <rFont val="Tahoma"/>
            <family val="2"/>
          </rPr>
          <t>nguyen thuy/0803510/Nguyen　Thuy:</t>
        </r>
        <r>
          <rPr>
            <sz val="9"/>
            <color indexed="81"/>
            <rFont val="Tahoma"/>
            <family val="2"/>
          </rPr>
          <t xml:space="preserve">
Đổi chức danh từ ngày 1/8/2025. (Từ Printer B qua Graphics Inspector/Repair Man. Lý do đang mang thai</t>
        </r>
      </text>
    </comment>
    <comment ref="E380" authorId="0" shapeId="0" xr:uid="{3293D780-3FFB-47BF-9B4E-091B978B74D2}">
      <text>
        <r>
          <rPr>
            <b/>
            <sz val="9"/>
            <color indexed="81"/>
            <rFont val="Tahoma"/>
            <family val="2"/>
          </rPr>
          <t>nguyen thuy/0803510/Nguyen　Thuy:</t>
        </r>
        <r>
          <rPr>
            <sz val="9"/>
            <color indexed="81"/>
            <rFont val="Tahoma"/>
            <family val="2"/>
          </rPr>
          <t xml:space="preserve">
Đổi chức danh từ ngày 1/3/2025. (Từ Printer C qua Graphics Inspector/Repair Man. Lý do đang mang thai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thuy/0803510/Nguyen　Thuy</author>
  </authors>
  <commentList>
    <comment ref="E86" authorId="0" shapeId="0" xr:uid="{19C559C8-A7BA-4603-BE11-6B32857D8EAE}">
      <text>
        <r>
          <rPr>
            <sz val="9"/>
            <color indexed="81"/>
            <rFont val="Tahoma"/>
            <family val="2"/>
          </rPr>
          <t xml:space="preserve">
Printer C chuyển qua 
Ice Coater B ngày 1/1/2026</t>
        </r>
      </text>
    </comment>
    <comment ref="E87" authorId="0" shapeId="0" xr:uid="{34EB8F7B-D7A3-4236-A656-224EA5101A81}">
      <text>
        <r>
          <rPr>
            <sz val="9"/>
            <color indexed="81"/>
            <rFont val="Tahoma"/>
            <family val="2"/>
          </rPr>
          <t xml:space="preserve">
Ice Coater B chuyển qua 
Printer C ngày 1/1/2026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DB23D7-EF62-42A7-AA35-E4A98BC5D3A1}" keepAlive="1" name="Query - Table2 (2)" description="Connection to the 'Table2 (2)' query in the workbook." type="5" refreshedVersion="0" background="1">
    <dbPr connection="Provider=Microsoft.Mashup.OleDb.1;Data Source=$Workbook$;Location=&quot;Table2 (2)&quot;;Extended Properties=&quot;&quot;" command="SELECT * FROM [Table2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<sst xmlns="http://schemas.openxmlformats.org/spreadsheetml/2006/main" count="10666" uniqueCount="2073">
  <si>
    <t>DANH SÁCH CHỨNG NHẬN VẬN HÀNH</t>
  </si>
  <si>
    <t>Số (Form Code): ADL/F/EHS/022-04</t>
  </si>
  <si>
    <t>Lần hiệu chỉnh (Revision No.): 00</t>
  </si>
  <si>
    <t>Lần ban hành (Issuance No.): 01</t>
  </si>
  <si>
    <t>Ngày hiệu lực (Effective date): 01/04/2025</t>
  </si>
  <si>
    <t>STT</t>
  </si>
  <si>
    <t>MSNV</t>
  </si>
  <si>
    <t>TÊN</t>
  </si>
  <si>
    <t>BỘ PHẬN</t>
  </si>
  <si>
    <t>NGÀY ĐÁNH GIÁ</t>
  </si>
  <si>
    <t>HẠNG MỤC ĐƯỢC ĐÀO TẠO</t>
  </si>
  <si>
    <t>Materials + Paint Blending</t>
  </si>
  <si>
    <t>G_Cutting</t>
  </si>
  <si>
    <t>G_Rolling</t>
  </si>
  <si>
    <t>G_Finishing</t>
  </si>
  <si>
    <t>G_Dipping</t>
  </si>
  <si>
    <t>G_Graphics</t>
  </si>
  <si>
    <t>A_Blank</t>
  </si>
  <si>
    <t>A_Graphics</t>
  </si>
  <si>
    <t>Kayak</t>
  </si>
  <si>
    <t>A_QC</t>
  </si>
  <si>
    <t>G_QC Blank</t>
  </si>
  <si>
    <t>G_QC Cosmetics</t>
  </si>
  <si>
    <t>MTN</t>
  </si>
  <si>
    <t>Note</t>
  </si>
  <si>
    <t>Xe nâng/Nâng tay</t>
  </si>
  <si>
    <t>Sử dụng vật sắc nhọn</t>
  </si>
  <si>
    <t>Xe nâng phuy</t>
  </si>
  <si>
    <t>Máy tái chế Acetone</t>
  </si>
  <si>
    <t>Máy lắc sơn/ đo độ nhớt</t>
  </si>
  <si>
    <t>Máy lọc sơn</t>
  </si>
  <si>
    <t>Lò Oven Nhỏ</t>
  </si>
  <si>
    <t>Vận chuyển, lưu trữ HC</t>
  </si>
  <si>
    <t>Mở cửa kho đông</t>
  </si>
  <si>
    <t>Thang nâng</t>
  </si>
  <si>
    <t>Sheet</t>
  </si>
  <si>
    <t>Xe nâng prepreg</t>
  </si>
  <si>
    <t>Shear</t>
  </si>
  <si>
    <t>Die Cut</t>
  </si>
  <si>
    <t>Splicing</t>
  </si>
  <si>
    <t>Máy ép Hashima</t>
  </si>
  <si>
    <t>Máy hút chân không</t>
  </si>
  <si>
    <t>Bàn nhiệt</t>
  </si>
  <si>
    <t>Máy CDI</t>
  </si>
  <si>
    <t>Máy Revo</t>
  </si>
  <si>
    <t>Máy Auto rolling</t>
  </si>
  <si>
    <t>Máy Cello Đứng</t>
  </si>
  <si>
    <t>Máy Cello Ngang</t>
  </si>
  <si>
    <t>Lò Oven</t>
  </si>
  <si>
    <t>Máy Rút Dây Cello</t>
  </si>
  <si>
    <t>Máy Rút Mandrell</t>
  </si>
  <si>
    <t>Máy Rửa Mandrell</t>
  </si>
  <si>
    <t>Máy Đo/Uốn Thẳng Mandrell</t>
  </si>
  <si>
    <t>Máy Dual Saw</t>
  </si>
  <si>
    <t>Wash</t>
  </si>
  <si>
    <t>Máy Mài - Đánh Bóng 
Máy Buff</t>
  </si>
  <si>
    <t>Máy Paragon</t>
  </si>
  <si>
    <t>Máy Khắc Laser</t>
  </si>
  <si>
    <t>Máy Auto Sanding</t>
  </si>
  <si>
    <t>Máy Cắt Dấu Flex</t>
  </si>
  <si>
    <t>Máy Bắn Cát</t>
  </si>
  <si>
    <t>Máy Scrap Shaft</t>
  </si>
  <si>
    <t>Máy Lắc Sơn</t>
  </si>
  <si>
    <t>Máy / Kệ Khuấy Sơn</t>
  </si>
  <si>
    <t>Máy rửa mắt/ Vòi tắm rửa khẩn cấp</t>
  </si>
  <si>
    <t>Máy Phun Sơn Tự Động</t>
  </si>
  <si>
    <t>Máy Tip-Blast</t>
  </si>
  <si>
    <t>Máy Đánh Bóng</t>
  </si>
  <si>
    <t>Máy Auto Dipping</t>
  </si>
  <si>
    <t>Máy Decal</t>
  </si>
  <si>
    <t>Máy In Lụa - Băng Tải Nhiệt</t>
  </si>
  <si>
    <t>Máy Chụp Khung Lụa</t>
  </si>
  <si>
    <t>Máy Bơm, Rửa Khung lụa</t>
  </si>
  <si>
    <t>Thước Đo Laser</t>
  </si>
  <si>
    <t>Tủ Sấy Khung Lụa</t>
  </si>
  <si>
    <t>Máy Rút Mandrel</t>
  </si>
  <si>
    <t>Máy Đo/Uốn Thẳng Mandrel</t>
  </si>
  <si>
    <t>Máy Mài - Đánh Bóng</t>
  </si>
  <si>
    <t>Máy Cắt (Apple)</t>
  </si>
  <si>
    <t>Máy Đo/Xác Định Điểm Cong</t>
  </si>
  <si>
    <t>Máy Laser</t>
  </si>
  <si>
    <t>Sử Dụng Tool Arrow</t>
  </si>
  <si>
    <t>Máy Cắt</t>
  </si>
  <si>
    <t>Máy Mài</t>
  </si>
  <si>
    <t>Máy Ép Hashima</t>
  </si>
  <si>
    <t>Máy Sheet</t>
  </si>
  <si>
    <t>Máy Die Cut</t>
  </si>
  <si>
    <t>Máy Rút Madrel</t>
  </si>
  <si>
    <t>Máy Cắt Đầu KAYAK</t>
  </si>
  <si>
    <t>Máy Cắt KAYAK</t>
  </si>
  <si>
    <t>Máy Phun Sơn</t>
  </si>
  <si>
    <t>Máy Spine/Spine Finder</t>
  </si>
  <si>
    <t>Máy Proof Load/Zone</t>
  </si>
  <si>
    <t>Cân Weight</t>
  </si>
  <si>
    <t>Máy Đo OD</t>
  </si>
  <si>
    <t>Máy Soi Đầu TIP-Apple</t>
  </si>
  <si>
    <t>Bảng/Máy Đo Ortho Flex</t>
  </si>
  <si>
    <t>Máy Frequency</t>
  </si>
  <si>
    <t>Máy Bending Test</t>
  </si>
  <si>
    <t>Máy Torque 1/2</t>
  </si>
  <si>
    <t>Máy Auto Inspection Golf Shaft</t>
  </si>
  <si>
    <t>Máy Đo Độ Bền Sơn</t>
  </si>
  <si>
    <t>Máy Rubtest</t>
  </si>
  <si>
    <t>Falling Sand</t>
  </si>
  <si>
    <t>Máy Straightness 1/2</t>
  </si>
  <si>
    <t>Máy Đo Mandrell</t>
  </si>
  <si>
    <t>Máy Khoan Bàn / Phay</t>
  </si>
  <si>
    <t>Máy Mài Dao</t>
  </si>
  <si>
    <t>Máy Tiện, Khoan</t>
  </si>
  <si>
    <t>NOTE</t>
  </si>
  <si>
    <t>4205</t>
  </si>
  <si>
    <t>Hà Minh Tiến</t>
  </si>
  <si>
    <t>Materials</t>
  </si>
  <si>
    <t>ü</t>
  </si>
  <si>
    <t>Ok</t>
  </si>
  <si>
    <t>4249</t>
  </si>
  <si>
    <t>Từ Văn Đua</t>
  </si>
  <si>
    <t>Material Golf</t>
  </si>
  <si>
    <t>4094</t>
  </si>
  <si>
    <t>Nguyễn Minh Vương</t>
  </si>
  <si>
    <t>Arrow Graphics</t>
  </si>
  <si>
    <t>4106</t>
  </si>
  <si>
    <t>Nguyễn Hoàng Cầm</t>
  </si>
  <si>
    <t>MFG Apple</t>
  </si>
  <si>
    <t>4257</t>
  </si>
  <si>
    <t>Nguyễn Văn Lợi</t>
  </si>
  <si>
    <t>5226</t>
  </si>
  <si>
    <t>Nguyễn Văn Đạt</t>
  </si>
  <si>
    <t>QC Apple</t>
  </si>
  <si>
    <t>3203</t>
  </si>
  <si>
    <t>Đặng Văn Toàn</t>
  </si>
  <si>
    <t>Paint Blending</t>
  </si>
  <si>
    <t>5135</t>
  </si>
  <si>
    <t>Nguyễn Đặng Thiên Tứ</t>
  </si>
  <si>
    <t>1150</t>
  </si>
  <si>
    <t>Phan Minh Khang</t>
  </si>
  <si>
    <t>Arrow QC Blank</t>
  </si>
  <si>
    <t>4800</t>
  </si>
  <si>
    <t>Trần Văn Hoài</t>
  </si>
  <si>
    <t>4973</t>
  </si>
  <si>
    <t>Lê Thị Tâm</t>
  </si>
  <si>
    <t>5261</t>
  </si>
  <si>
    <t>Nguyễn Ngọc Như Ý</t>
  </si>
  <si>
    <t>5154</t>
  </si>
  <si>
    <t>Huỳnh Thị  Khả Vi</t>
  </si>
  <si>
    <t>5059</t>
  </si>
  <si>
    <t>Nguyễn Văn Chất</t>
  </si>
  <si>
    <t>0405</t>
  </si>
  <si>
    <t>Đặng Hữu Thế</t>
  </si>
  <si>
    <t>Golf QC Blank</t>
  </si>
  <si>
    <t>4409</t>
  </si>
  <si>
    <t>Nguyễn Thị Quỳnh Mai</t>
  </si>
  <si>
    <t>5150</t>
  </si>
  <si>
    <t>Lê Trung Tính</t>
  </si>
  <si>
    <t>Golf QC Decorated</t>
  </si>
  <si>
    <t>4347</t>
  </si>
  <si>
    <t>Lê Công Thành</t>
  </si>
  <si>
    <t>4795</t>
  </si>
  <si>
    <t>Phan Hải Âu</t>
  </si>
  <si>
    <t>4510</t>
  </si>
  <si>
    <t>Lữ Minh Tiến</t>
  </si>
  <si>
    <t>4601</t>
  </si>
  <si>
    <t>Lê Bá Đạt</t>
  </si>
  <si>
    <t>5151</t>
  </si>
  <si>
    <t>Trần Kiều Trân</t>
  </si>
  <si>
    <t>39097</t>
  </si>
  <si>
    <t>Nguyễn Văn Nhúm</t>
  </si>
  <si>
    <t>4715</t>
  </si>
  <si>
    <t>Lê Văn Kiệt</t>
  </si>
  <si>
    <t>4882</t>
  </si>
  <si>
    <t>Dương Thành Vũ</t>
  </si>
  <si>
    <t>4986</t>
  </si>
  <si>
    <t>Nguyễn Chương Đức</t>
  </si>
  <si>
    <t>Golf QC Blank RW</t>
  </si>
  <si>
    <t>3566</t>
  </si>
  <si>
    <t>Đỗ Thành Tài</t>
  </si>
  <si>
    <t>4297</t>
  </si>
  <si>
    <t>Lê Thị Hương</t>
  </si>
  <si>
    <t>4802</t>
  </si>
  <si>
    <t>Lê Tấn Gạo</t>
  </si>
  <si>
    <t>4855</t>
  </si>
  <si>
    <t>Dương Hoàng Vủ</t>
  </si>
  <si>
    <t>5306</t>
  </si>
  <si>
    <t>Nguyễn Quốc Kiệt</t>
  </si>
  <si>
    <t>5026</t>
  </si>
  <si>
    <t>Tô Văn Đức</t>
  </si>
  <si>
    <t>4505</t>
  </si>
  <si>
    <t>Nguyễn Văn Thắng</t>
  </si>
  <si>
    <t>5228</t>
  </si>
  <si>
    <t>Lê Thúy Loan</t>
  </si>
  <si>
    <t>39096</t>
  </si>
  <si>
    <t>Nguyễn Văn Sang</t>
  </si>
  <si>
    <t>stop</t>
  </si>
  <si>
    <t>5152</t>
  </si>
  <si>
    <t>Quách Văn Tùng</t>
  </si>
  <si>
    <t>5186</t>
  </si>
  <si>
    <t>Lưu Anh Khoa</t>
  </si>
  <si>
    <t>4787</t>
  </si>
  <si>
    <t>Lê Tuấn Lộc</t>
  </si>
  <si>
    <t>39482</t>
  </si>
  <si>
    <t>Ngô Thanh Xuân</t>
  </si>
  <si>
    <t>4450</t>
  </si>
  <si>
    <t>Nguyễn Văn Phúc</t>
  </si>
  <si>
    <t>4599</t>
  </si>
  <si>
    <t>Nguyễn Thị Lan Anh</t>
  </si>
  <si>
    <t>4600</t>
  </si>
  <si>
    <t>Trần Thị Hồng</t>
  </si>
  <si>
    <t>4710</t>
  </si>
  <si>
    <t>Nguyễn Cao Cường</t>
  </si>
  <si>
    <t>4796</t>
  </si>
  <si>
    <t>Ngô Thị Gấm</t>
  </si>
  <si>
    <t>4856</t>
  </si>
  <si>
    <t>Nguyễn Thị Huyền</t>
  </si>
  <si>
    <t>5023</t>
  </si>
  <si>
    <t>Nguyễn Thị Bích Duyên</t>
  </si>
  <si>
    <t>3823</t>
  </si>
  <si>
    <t>Lữ Văn Thiệt Em</t>
  </si>
  <si>
    <t>4724</t>
  </si>
  <si>
    <t>Lê Hoàng Tấn</t>
  </si>
  <si>
    <t>4723</t>
  </si>
  <si>
    <t>Lê Trọng Nghĩa</t>
  </si>
  <si>
    <t>5104</t>
  </si>
  <si>
    <t>Lê Văn Mến</t>
  </si>
  <si>
    <t>2526</t>
  </si>
  <si>
    <t>Đoàn Văn Sơn</t>
  </si>
  <si>
    <t>Arrow Finishing</t>
  </si>
  <si>
    <t>4745</t>
  </si>
  <si>
    <t>Huỳnh Khánh Toàn</t>
  </si>
  <si>
    <t>4265</t>
  </si>
  <si>
    <t>Đỗ Văn Linh</t>
  </si>
  <si>
    <t>5005</t>
  </si>
  <si>
    <t>Thị Ngọc Duyên</t>
  </si>
  <si>
    <t>Arrow Rolling</t>
  </si>
  <si>
    <t>OK</t>
  </si>
  <si>
    <t>2763</t>
  </si>
  <si>
    <t>Huỳnh Thanh Tùng</t>
  </si>
  <si>
    <t>4304</t>
  </si>
  <si>
    <t>Nguyễn Văn Xuyên</t>
  </si>
  <si>
    <t>4962</t>
  </si>
  <si>
    <t>0398</t>
  </si>
  <si>
    <t>Nguyễn Trung Hiếu</t>
  </si>
  <si>
    <t>1336</t>
  </si>
  <si>
    <t>Nguyễn Thanh Sơn</t>
  </si>
  <si>
    <t>4751</t>
  </si>
  <si>
    <t>Trần Văn Toàn Giác</t>
  </si>
  <si>
    <t>4119</t>
  </si>
  <si>
    <t>Nguyễn Thanh Hùng</t>
  </si>
  <si>
    <t>4327</t>
  </si>
  <si>
    <t>Nguyễn Chí Thanh</t>
  </si>
  <si>
    <t>5096</t>
  </si>
  <si>
    <t>Mai Đinh Mộng Lanh</t>
  </si>
  <si>
    <t>5097</t>
  </si>
  <si>
    <t>Nguyễn Thị Thủy</t>
  </si>
  <si>
    <t>4122</t>
  </si>
  <si>
    <t>Nguyễn Thị Hoàng Oanh</t>
  </si>
  <si>
    <t>4892</t>
  </si>
  <si>
    <t>Mã Trường Chiến</t>
  </si>
  <si>
    <t>Arrow Kayak</t>
  </si>
  <si>
    <t>5033</t>
  </si>
  <si>
    <t>Lê Văn Linh</t>
  </si>
  <si>
    <t>1347</t>
  </si>
  <si>
    <t>Lê Hữu Tài</t>
  </si>
  <si>
    <t>Golf Finishing</t>
  </si>
  <si>
    <t>3160</t>
  </si>
  <si>
    <t>Hà Văn Hạnh</t>
  </si>
  <si>
    <t>5004</t>
  </si>
  <si>
    <t>Thái Thanh Hồ</t>
  </si>
  <si>
    <t>2272</t>
  </si>
  <si>
    <t>Nguyễn Ngọc Thuận</t>
  </si>
  <si>
    <t>4424</t>
  </si>
  <si>
    <t>Phạm Văn Tùng</t>
  </si>
  <si>
    <t>4816</t>
  </si>
  <si>
    <t>Nguyễn Ngọc Lợi</t>
  </si>
  <si>
    <t>5184</t>
  </si>
  <si>
    <t>Phan Văn Nhiều</t>
  </si>
  <si>
    <t>39376</t>
  </si>
  <si>
    <t>Hà Đăng Khoa</t>
  </si>
  <si>
    <t>40074</t>
  </si>
  <si>
    <t>Võ Minh Trận</t>
  </si>
  <si>
    <t>39353</t>
  </si>
  <si>
    <t>Trần Văn Thừa</t>
  </si>
  <si>
    <t>39375</t>
  </si>
  <si>
    <t>Phan Tấn Tài</t>
  </si>
  <si>
    <t>4422</t>
  </si>
  <si>
    <t>Nguyễn Trọng Tín</t>
  </si>
  <si>
    <t>4869</t>
  </si>
  <si>
    <t>Nguyễn Lê Khan</t>
  </si>
  <si>
    <t>5031</t>
  </si>
  <si>
    <t>Lê Chí Hải</t>
  </si>
  <si>
    <t>5199</t>
  </si>
  <si>
    <t>Nguyễn Thị Ngọc Sương</t>
  </si>
  <si>
    <t>5071</t>
  </si>
  <si>
    <t>Chamalé Vọng</t>
  </si>
  <si>
    <t>4514</t>
  </si>
  <si>
    <t>Lê Văn Nguyên</t>
  </si>
  <si>
    <t>4530</t>
  </si>
  <si>
    <t>Võ Vũ Phương</t>
  </si>
  <si>
    <t>4481</t>
  </si>
  <si>
    <t>Huỳnh Hoàng Huynh</t>
  </si>
  <si>
    <t>Golf Graphics</t>
  </si>
  <si>
    <t>5065</t>
  </si>
  <si>
    <t>Phạm Chí Nguyên</t>
  </si>
  <si>
    <t>4055</t>
  </si>
  <si>
    <t>Nguyễn Thị Hồng Thu</t>
  </si>
  <si>
    <t>5117</t>
  </si>
  <si>
    <t>Huỳnh Thanh Loan</t>
  </si>
  <si>
    <t>3803</t>
  </si>
  <si>
    <t>Nguyễn Thị Kim Cúc</t>
  </si>
  <si>
    <t>4688</t>
  </si>
  <si>
    <t>Vi Thị Ngọc Huyền</t>
  </si>
  <si>
    <t>4692</t>
  </si>
  <si>
    <t>Phan Huệ Thư</t>
  </si>
  <si>
    <t>4834</t>
  </si>
  <si>
    <t>Nguyễn Thị Bích Liễu</t>
  </si>
  <si>
    <t>4835</t>
  </si>
  <si>
    <t>Đặng Thị Phương Trinh</t>
  </si>
  <si>
    <t>4836</t>
  </si>
  <si>
    <t>Đặng Thị Mỹ Tiên</t>
  </si>
  <si>
    <t>5149</t>
  </si>
  <si>
    <t>Nguyễn Thị Hằng</t>
  </si>
  <si>
    <t>5017</t>
  </si>
  <si>
    <t>Đỗ Quốc Thái</t>
  </si>
  <si>
    <t>5131</t>
  </si>
  <si>
    <t>Trần Thúy Liểu</t>
  </si>
  <si>
    <t>5129</t>
  </si>
  <si>
    <t>Dương Thị Kim Chi</t>
  </si>
  <si>
    <t>5073</t>
  </si>
  <si>
    <t>Nguyễn Thị Kim Oanh</t>
  </si>
  <si>
    <t>5130</t>
  </si>
  <si>
    <t>Trà Văn Vĩ</t>
  </si>
  <si>
    <t>5148</t>
  </si>
  <si>
    <t>Phạm Thành Dương</t>
  </si>
  <si>
    <t>5147</t>
  </si>
  <si>
    <t>Nguyễn Thành Luân</t>
  </si>
  <si>
    <t>4999</t>
  </si>
  <si>
    <t>Trương Vĩ Nhân</t>
  </si>
  <si>
    <t>Golf Cutting</t>
  </si>
  <si>
    <t>5012</t>
  </si>
  <si>
    <t>Nguyễn Thanh Sang</t>
  </si>
  <si>
    <t>5032</t>
  </si>
  <si>
    <t>Lâm Hoàng Phố</t>
  </si>
  <si>
    <t>5098</t>
  </si>
  <si>
    <t>Huỳnh Chí Tâm</t>
  </si>
  <si>
    <t>5027</t>
  </si>
  <si>
    <t>Trần Quốc Cường</t>
  </si>
  <si>
    <t>4288</t>
  </si>
  <si>
    <t>Trần Thị Thu Hương</t>
  </si>
  <si>
    <t>4635</t>
  </si>
  <si>
    <t>Nguyễn Thúy Huyền</t>
  </si>
  <si>
    <t>4638</t>
  </si>
  <si>
    <t>Huỳnh Thị Mộng Kha</t>
  </si>
  <si>
    <t>4752</t>
  </si>
  <si>
    <t>Lương Thị Phượng</t>
  </si>
  <si>
    <t>4860</t>
  </si>
  <si>
    <t>Trần Thị Ngân Em</t>
  </si>
  <si>
    <t>39372</t>
  </si>
  <si>
    <t>Hồ Thị Thanh Thúy</t>
  </si>
  <si>
    <t>5232</t>
  </si>
  <si>
    <t>Nguyễn Thị Thi</t>
  </si>
  <si>
    <t>5139</t>
  </si>
  <si>
    <t>Huỳnh Hoàng Hạnh Phúc</t>
  </si>
  <si>
    <t>5122</t>
  </si>
  <si>
    <t>Võ Hoàng Tuấn</t>
  </si>
  <si>
    <t>5277</t>
  </si>
  <si>
    <t>Nguyễn Thị Yến Nhi</t>
  </si>
  <si>
    <t>38616</t>
  </si>
  <si>
    <t>Lâm Trường Giang</t>
  </si>
  <si>
    <t>5169</t>
  </si>
  <si>
    <t>Lê Văn Lợi</t>
  </si>
  <si>
    <t>5109</t>
  </si>
  <si>
    <t>Bùi Văn Luận</t>
  </si>
  <si>
    <t>5241</t>
  </si>
  <si>
    <t>Trần Thị Mỹ Duyên</t>
  </si>
  <si>
    <t>5247</t>
  </si>
  <si>
    <t>Lê Thị Ngọc Hà</t>
  </si>
  <si>
    <t>5242</t>
  </si>
  <si>
    <t>Ngô Thị Thanh Trúc</t>
  </si>
  <si>
    <t>2886</t>
  </si>
  <si>
    <t>Võ Thị Mai Lắm</t>
  </si>
  <si>
    <t>2800</t>
  </si>
  <si>
    <t>Phạm Ngọc Hiếu</t>
  </si>
  <si>
    <t>4518</t>
  </si>
  <si>
    <t>Bùi Thanh Nho</t>
  </si>
  <si>
    <t>4859</t>
  </si>
  <si>
    <t>La Phúc Lợi</t>
  </si>
  <si>
    <t>4897</t>
  </si>
  <si>
    <t>Trần Văn Kỷ</t>
  </si>
  <si>
    <t>5188</t>
  </si>
  <si>
    <t>Lê Minh Đường</t>
  </si>
  <si>
    <t>4535</t>
  </si>
  <si>
    <t>Hoàng Văn Hòa</t>
  </si>
  <si>
    <t>0437</t>
  </si>
  <si>
    <t>Lê Văn Phụng</t>
  </si>
  <si>
    <t>Golf Dipping</t>
  </si>
  <si>
    <t>4426</t>
  </si>
  <si>
    <t>Hồ Quốc Huy</t>
  </si>
  <si>
    <t>4673</t>
  </si>
  <si>
    <t>Lâm Văn Thanh</t>
  </si>
  <si>
    <t>4932</t>
  </si>
  <si>
    <t>Nguyễn Văn Trường</t>
  </si>
  <si>
    <t>4298</t>
  </si>
  <si>
    <t>Nguyễn Dương Em</t>
  </si>
  <si>
    <t>3835</t>
  </si>
  <si>
    <t>Nguyễn Văn Sỉ</t>
  </si>
  <si>
    <t>5170</t>
  </si>
  <si>
    <t>Kiến Thanh Lên</t>
  </si>
  <si>
    <t>4541</t>
  </si>
  <si>
    <t>Nguyễn Hoài Hận</t>
  </si>
  <si>
    <t>4849</t>
  </si>
  <si>
    <t>Phạm Khắc Nghiêm</t>
  </si>
  <si>
    <t>4888</t>
  </si>
  <si>
    <t>Trần Hoàng Công</t>
  </si>
  <si>
    <t>4928</t>
  </si>
  <si>
    <t>Phạm Phước Tuấn</t>
  </si>
  <si>
    <t>5075</t>
  </si>
  <si>
    <t>Đặng Quốc Phong</t>
  </si>
  <si>
    <t>5175</t>
  </si>
  <si>
    <t>Lâm Minh Cảnh</t>
  </si>
  <si>
    <t>0285</t>
  </si>
  <si>
    <t>Nguyễn Minh Thật</t>
  </si>
  <si>
    <t>Golf Rolling</t>
  </si>
  <si>
    <t>0283</t>
  </si>
  <si>
    <t>Nguyễn Hữu Tạo</t>
  </si>
  <si>
    <t>2252</t>
  </si>
  <si>
    <t>Nguyễn Thị Hường</t>
  </si>
  <si>
    <t>2470</t>
  </si>
  <si>
    <t>Nguyễn Thị Nho</t>
  </si>
  <si>
    <t>3377</t>
  </si>
  <si>
    <t>Ngô Thị Phước</t>
  </si>
  <si>
    <t>3572</t>
  </si>
  <si>
    <t>Phan Thị Anh Thư</t>
  </si>
  <si>
    <t>4105</t>
  </si>
  <si>
    <t>Trương Thị Mai</t>
  </si>
  <si>
    <t>4254</t>
  </si>
  <si>
    <t>Trương Thị Bích Dân</t>
  </si>
  <si>
    <t>4425</t>
  </si>
  <si>
    <t>Nguyễn Thị Biên</t>
  </si>
  <si>
    <t>4438</t>
  </si>
  <si>
    <t>Trần Thị Thúy Duy</t>
  </si>
  <si>
    <t>4558</t>
  </si>
  <si>
    <t>Lê Thị Phương</t>
  </si>
  <si>
    <t>4642</t>
  </si>
  <si>
    <t>Vi Thị Chanh</t>
  </si>
  <si>
    <t>4649</t>
  </si>
  <si>
    <t>Đinh Thị Bích Thủy</t>
  </si>
  <si>
    <t>4653</t>
  </si>
  <si>
    <t>Võ Thanh Phương</t>
  </si>
  <si>
    <t>4728</t>
  </si>
  <si>
    <t>Nguyễn Thị Ngọc Duyên</t>
  </si>
  <si>
    <t>4729</t>
  </si>
  <si>
    <t>Nguyễn Thị Cẩm Tiên</t>
  </si>
  <si>
    <t>4730</t>
  </si>
  <si>
    <t>Nguyễn Thị Ngọc Trâm</t>
  </si>
  <si>
    <t>4731</t>
  </si>
  <si>
    <t>Trương Thị Mộng Thơ</t>
  </si>
  <si>
    <t>4733</t>
  </si>
  <si>
    <t>Nguyễn Hồ Hoàng Muội</t>
  </si>
  <si>
    <t>4734</t>
  </si>
  <si>
    <t>Nguyễn Thị Nụ</t>
  </si>
  <si>
    <t>4762</t>
  </si>
  <si>
    <t>Dương Vủ Linh</t>
  </si>
  <si>
    <t>4773</t>
  </si>
  <si>
    <t>Đào Thị Kim Loan</t>
  </si>
  <si>
    <t>4775</t>
  </si>
  <si>
    <t>Võ Thị Ngọc Hương</t>
  </si>
  <si>
    <t>4776</t>
  </si>
  <si>
    <t>Nguyễn Thị Cẩm Hiền</t>
  </si>
  <si>
    <t>4820</t>
  </si>
  <si>
    <t>Nguyễn Hoàng Lâm</t>
  </si>
  <si>
    <t>4861</t>
  </si>
  <si>
    <t>Nguyễn Thị Ngọc Nang</t>
  </si>
  <si>
    <t>4862</t>
  </si>
  <si>
    <t>Lữ Thị Cẩm Linh</t>
  </si>
  <si>
    <t>4890</t>
  </si>
  <si>
    <t>Phạm Thị Nga</t>
  </si>
  <si>
    <t>4898</t>
  </si>
  <si>
    <t>Nguyễn Huỳnh Như</t>
  </si>
  <si>
    <t>4919</t>
  </si>
  <si>
    <t>Lê Thị Linh</t>
  </si>
  <si>
    <t>4923</t>
  </si>
  <si>
    <t>Sơn Ngọc Hiền</t>
  </si>
  <si>
    <t>4946</t>
  </si>
  <si>
    <t>Nguyễn Vũ Kha</t>
  </si>
  <si>
    <t>4950</t>
  </si>
  <si>
    <t>Đào Văn Sang</t>
  </si>
  <si>
    <t>4952</t>
  </si>
  <si>
    <t>Triệu Thị Phượng</t>
  </si>
  <si>
    <t>4967</t>
  </si>
  <si>
    <t>Huỳnh Thị Hồng Thắm</t>
  </si>
  <si>
    <t>0651</t>
  </si>
  <si>
    <t>Thạch Hòa</t>
  </si>
  <si>
    <t>2278</t>
  </si>
  <si>
    <t>Nguyễn Công Hòa</t>
  </si>
  <si>
    <t>3504</t>
  </si>
  <si>
    <t>Tô Văn Sơn</t>
  </si>
  <si>
    <t>1929</t>
  </si>
  <si>
    <t>Nguyễn Thanh Hải</t>
  </si>
  <si>
    <t>4749</t>
  </si>
  <si>
    <t>Nguyễn Kim Tấn</t>
  </si>
  <si>
    <t>4870</t>
  </si>
  <si>
    <t>Nguyễn Duy Tân</t>
  </si>
  <si>
    <t>4918</t>
  </si>
  <si>
    <t>Lê Văn Thuộc</t>
  </si>
  <si>
    <t>4947</t>
  </si>
  <si>
    <t>Cao Thành Đạt</t>
  </si>
  <si>
    <t>1459</t>
  </si>
  <si>
    <t>Nguyễn Kim Nguyên</t>
  </si>
  <si>
    <t>2025</t>
  </si>
  <si>
    <t>Lê Văn Hùng</t>
  </si>
  <si>
    <t>4267</t>
  </si>
  <si>
    <t>Phạm Ngọc Thanh Hoàng</t>
  </si>
  <si>
    <t>5256</t>
  </si>
  <si>
    <t>Hồ Trung Kiên</t>
  </si>
  <si>
    <t>5093</t>
  </si>
  <si>
    <t>Lê Hồng Ghi</t>
  </si>
  <si>
    <t>5094</t>
  </si>
  <si>
    <t>Phan Anh Duy</t>
  </si>
  <si>
    <t>5291</t>
  </si>
  <si>
    <t>Trần Văn Đạt</t>
  </si>
  <si>
    <t>39491</t>
  </si>
  <si>
    <t>Lã Ngọc Hoàng Lan</t>
  </si>
  <si>
    <t>5190</t>
  </si>
  <si>
    <t>Trương Hoàng Nhựt</t>
  </si>
  <si>
    <t>5198</t>
  </si>
  <si>
    <t>Dương Quốc Tính</t>
  </si>
  <si>
    <t>5252</t>
  </si>
  <si>
    <t>Lê Thị Bích Dân</t>
  </si>
  <si>
    <t>5254</t>
  </si>
  <si>
    <t>Đoàn Thị Thu</t>
  </si>
  <si>
    <t>39820</t>
  </si>
  <si>
    <t>Ngô Thị Mỹ An</t>
  </si>
  <si>
    <t>38720</t>
  </si>
  <si>
    <t>5276</t>
  </si>
  <si>
    <t>Nguyễn Cẩm Ly</t>
  </si>
  <si>
    <t>39356</t>
  </si>
  <si>
    <t>Nguyễn Thị Liểu</t>
  </si>
  <si>
    <t>5233</t>
  </si>
  <si>
    <t>Nguyễn Văn Thăng</t>
  </si>
  <si>
    <t>5099</t>
  </si>
  <si>
    <t>Dương Thị Thùy Dương</t>
  </si>
  <si>
    <t>5124</t>
  </si>
  <si>
    <t>Kpă Y Đông</t>
  </si>
  <si>
    <t>Golf Dipping RW</t>
  </si>
  <si>
    <t>39358</t>
  </si>
  <si>
    <t>Nguyễn Thị Ca</t>
  </si>
  <si>
    <t>39359</t>
  </si>
  <si>
    <t>38929</t>
  </si>
  <si>
    <t>Nguyễn Hoàng Nam</t>
  </si>
  <si>
    <t>5189</t>
  </si>
  <si>
    <t>Mã Trường Chinh</t>
  </si>
  <si>
    <t>5279</t>
  </si>
  <si>
    <t>Nghiêm Thị Thu Phương</t>
  </si>
  <si>
    <t>5300</t>
  </si>
  <si>
    <t>Nguyễn Thị Cẩm Hằng</t>
  </si>
  <si>
    <t>5141</t>
  </si>
  <si>
    <t>Nguyễn Thị Thanh Thảo</t>
  </si>
  <si>
    <t>4441</t>
  </si>
  <si>
    <t>Trương Văn Kiệt</t>
  </si>
  <si>
    <t>4922</t>
  </si>
  <si>
    <t>0342</t>
  </si>
  <si>
    <t>Phạm Văn Hậu</t>
  </si>
  <si>
    <t>3097</t>
  </si>
  <si>
    <t>Trần Thị Hoàng Uyên</t>
  </si>
  <si>
    <t>3179</t>
  </si>
  <si>
    <t>Nguyễn Thị Thiết</t>
  </si>
  <si>
    <t>4250</t>
  </si>
  <si>
    <t>Trần Thị Mai</t>
  </si>
  <si>
    <t>4268</t>
  </si>
  <si>
    <t>Cao Thị Nguyệt</t>
  </si>
  <si>
    <t>4479</t>
  </si>
  <si>
    <t>Huỳnh Phước Bảo</t>
  </si>
  <si>
    <t>4536</t>
  </si>
  <si>
    <t>Nguyễn Thị Cẩm Nhung</t>
  </si>
  <si>
    <t>4705</t>
  </si>
  <si>
    <t>4380</t>
  </si>
  <si>
    <t>Trần Văn Minh</t>
  </si>
  <si>
    <t>Golf Buffing</t>
  </si>
  <si>
    <t>1229</t>
  </si>
  <si>
    <t>Phạm Văn Phú</t>
  </si>
  <si>
    <t>4839</t>
  </si>
  <si>
    <t>Trần Văn Hận</t>
  </si>
  <si>
    <t>5112</t>
  </si>
  <si>
    <t>Nguyễn Thành Đô</t>
  </si>
  <si>
    <t>5235</t>
  </si>
  <si>
    <t>Nguyễn Hoàng Thành</t>
  </si>
  <si>
    <t>5115</t>
  </si>
  <si>
    <t>Khúc Minh Hoàng</t>
  </si>
  <si>
    <t>5113</t>
  </si>
  <si>
    <t>Nguyễn Minh Hiền</t>
  </si>
  <si>
    <t>5293</t>
  </si>
  <si>
    <t>Hà Thanh Khá</t>
  </si>
  <si>
    <t>5201</t>
  </si>
  <si>
    <t>Nguyễn Hậu Giang</t>
  </si>
  <si>
    <t>5146</t>
  </si>
  <si>
    <t>Phan Trung Hiếu</t>
  </si>
  <si>
    <t>3240</t>
  </si>
  <si>
    <t>Giang Tấn Đông</t>
  </si>
  <si>
    <t>4627</t>
  </si>
  <si>
    <t>Nguyễn Minh Tuấn</t>
  </si>
  <si>
    <t>4824</t>
  </si>
  <si>
    <t>Nguyễn Văn Bình</t>
  </si>
  <si>
    <t>4960</t>
  </si>
  <si>
    <t>Lê Ngân Ngọc Sơn</t>
  </si>
  <si>
    <t>5053</t>
  </si>
  <si>
    <t>Lê Văn Chiến</t>
  </si>
  <si>
    <t>5062</t>
  </si>
  <si>
    <t>Nguyễn Hồng Tâm</t>
  </si>
  <si>
    <t>4564</t>
  </si>
  <si>
    <t>Huỳnh Văn Tú Anh</t>
  </si>
  <si>
    <t>4875</t>
  </si>
  <si>
    <t>Lê Hoàng Hợi</t>
  </si>
  <si>
    <t>38661</t>
  </si>
  <si>
    <t>Nguyễn Thị Yến Như</t>
  </si>
  <si>
    <t>38961</t>
  </si>
  <si>
    <t>Nguyễn Đông Chí</t>
  </si>
  <si>
    <t>5029</t>
  </si>
  <si>
    <t>Đặng Thị Tuyết Di</t>
  </si>
  <si>
    <t>5061</t>
  </si>
  <si>
    <t>Lê Thị Mỹ Trà</t>
  </si>
  <si>
    <t>4901</t>
  </si>
  <si>
    <t>Hồ Thị Trúc Loan</t>
  </si>
  <si>
    <t>4693</t>
  </si>
  <si>
    <t xml:space="preserve"> Hồ Văn Nhật</t>
  </si>
  <si>
    <t>5160</t>
  </si>
  <si>
    <t>Nguyễn Tấn Hiếu</t>
  </si>
  <si>
    <t>Đỗ Văn Biền</t>
  </si>
  <si>
    <t>Trần Thanh Tài</t>
  </si>
  <si>
    <t>4602</t>
  </si>
  <si>
    <t>Nguyễn Hoài Nam</t>
  </si>
  <si>
    <t>5299</t>
  </si>
  <si>
    <t>Đặng Khánh Đăng</t>
  </si>
  <si>
    <t>2633</t>
  </si>
  <si>
    <t>Ngụy Thị Mỹ Hương</t>
  </si>
  <si>
    <t>39458</t>
  </si>
  <si>
    <t>Ngô Thị Yến Nhi</t>
  </si>
  <si>
    <t>38969</t>
  </si>
  <si>
    <t>Đặng Văn Tạo Em</t>
  </si>
  <si>
    <t>39071</t>
  </si>
  <si>
    <t>Lê Thái Kha</t>
  </si>
  <si>
    <t>5163</t>
  </si>
  <si>
    <t>Dương Văn Minh</t>
  </si>
  <si>
    <t>4927</t>
  </si>
  <si>
    <t>Phạm Hữu Nghĩa</t>
  </si>
  <si>
    <t>3912</t>
  </si>
  <si>
    <t>Đàm Thanh Tùng</t>
  </si>
  <si>
    <t>5162</t>
  </si>
  <si>
    <t>Lương Thị Trang</t>
  </si>
  <si>
    <t>4625</t>
  </si>
  <si>
    <t>Nguyễn Thị Kim Cương</t>
  </si>
  <si>
    <t>5157</t>
  </si>
  <si>
    <t>Nguyễn Văn Trung Nguyên</t>
  </si>
  <si>
    <t>5052</t>
  </si>
  <si>
    <t>Tô Thị Diệu</t>
  </si>
  <si>
    <t>4561</t>
  </si>
  <si>
    <t>Đinh Văn Diễn</t>
  </si>
  <si>
    <t>5192</t>
  </si>
  <si>
    <t>Phạm Văn Hạnh</t>
  </si>
  <si>
    <t>4851</t>
  </si>
  <si>
    <t>Thạch Thị Cẩm Nữ</t>
  </si>
  <si>
    <t>4622</t>
  </si>
  <si>
    <t>Trương Văn Nghĩa</t>
  </si>
  <si>
    <t>39360</t>
  </si>
  <si>
    <t>Tô Văn Tài</t>
  </si>
  <si>
    <t>5191</t>
  </si>
  <si>
    <t>Nguyễn Thành Danh</t>
  </si>
  <si>
    <t>Bùi Thị Hồng Khuyên</t>
  </si>
  <si>
    <t>5194</t>
  </si>
  <si>
    <t>Nguyễn Thị Lệ Ngân</t>
  </si>
  <si>
    <t>Thạch Khanh Thia</t>
  </si>
  <si>
    <t>39493</t>
  </si>
  <si>
    <t>Phan Minh Thiện</t>
  </si>
  <si>
    <t>5269</t>
  </si>
  <si>
    <t>Nguyễn Văn Vũ</t>
  </si>
  <si>
    <t>Võ Phước Tánh</t>
  </si>
  <si>
    <t>39818</t>
  </si>
  <si>
    <t>Trần Văn Thi</t>
  </si>
  <si>
    <t>5234</t>
  </si>
  <si>
    <t>Nguyễn Tuấn Kiệt</t>
  </si>
  <si>
    <t>2499</t>
  </si>
  <si>
    <t>Nguyễn Thị Ngọc In</t>
  </si>
  <si>
    <t>Arrow Cutting</t>
  </si>
  <si>
    <t>4611</t>
  </si>
  <si>
    <t>Nguyễn Hữu Đức</t>
  </si>
  <si>
    <t>Nguyễn Thị Thùy Dương</t>
  </si>
  <si>
    <t>39498</t>
  </si>
  <si>
    <t>Dương Thị Thảo</t>
  </si>
  <si>
    <t>39817</t>
  </si>
  <si>
    <t>Trần Thị Mộng Tuyền</t>
  </si>
  <si>
    <t>39819</t>
  </si>
  <si>
    <t>Lê Thị Hoa</t>
  </si>
  <si>
    <t>5255</t>
  </si>
  <si>
    <t>Nguyễn Thị Ngọc Hà</t>
  </si>
  <si>
    <t>Phạm Văn Tri</t>
  </si>
  <si>
    <t>4847</t>
  </si>
  <si>
    <t>Nguyễn Nu Tuấn</t>
  </si>
  <si>
    <t>Trần Thị Thanh Thảo</t>
  </si>
  <si>
    <t>Phan Văn Út</t>
  </si>
  <si>
    <t>5182</t>
  </si>
  <si>
    <t>Hà Văn Lập</t>
  </si>
  <si>
    <t>Nguyễn Quốc Vương</t>
  </si>
  <si>
    <t>Nguyễn Chí Cường</t>
  </si>
  <si>
    <t>Bùi Thị Cẩm Tiên</t>
  </si>
  <si>
    <t>39357</t>
  </si>
  <si>
    <t>Lê Thị Cẩm Thanh</t>
  </si>
  <si>
    <t>4552</t>
  </si>
  <si>
    <t>Lê Thị Ngọc Yến</t>
  </si>
  <si>
    <t>4295</t>
  </si>
  <si>
    <t>Huỳnh Thanh Ngọc</t>
  </si>
  <si>
    <t>Arrow_Blank</t>
  </si>
  <si>
    <t>Huỳnh Hồ Hoàng Huy</t>
  </si>
  <si>
    <t>4769</t>
  </si>
  <si>
    <t>Nguyễn Thị Diệu Hiền</t>
  </si>
  <si>
    <t>39098</t>
  </si>
  <si>
    <t>Lư Thị Ngọc Như</t>
  </si>
  <si>
    <t>Trần Thị Huỳnh Mai</t>
  </si>
  <si>
    <t>Võ Trung Tín</t>
  </si>
  <si>
    <t>39244</t>
  </si>
  <si>
    <t>Nguyễn Khánh Dẩn</t>
  </si>
  <si>
    <t>5064</t>
  </si>
  <si>
    <t>Lê Văn Tồn</t>
  </si>
  <si>
    <t>40076</t>
  </si>
  <si>
    <t>Huỳnh Thị Kim Anh</t>
  </si>
  <si>
    <t>Huỳnh Văn Liệt</t>
  </si>
  <si>
    <t>39245</t>
  </si>
  <si>
    <t>Nguyễn Thị Kim Yến</t>
  </si>
  <si>
    <t>39283</t>
  </si>
  <si>
    <t>Nguyễn Lê Thị Thủy Tiên</t>
  </si>
  <si>
    <t>5200</t>
  </si>
  <si>
    <t>Trần Linh Dương</t>
  </si>
  <si>
    <t>Đỗ Thị Thùy Duyên</t>
  </si>
  <si>
    <t>Nguyễn Thị Lệ Thi</t>
  </si>
  <si>
    <t>Hồ Thị Diệu</t>
  </si>
  <si>
    <t>Nguyễn Ngọc Biên</t>
  </si>
  <si>
    <t>Nguyễn Thúy Vy</t>
  </si>
  <si>
    <t>4801</t>
  </si>
  <si>
    <t>Trần Quốc Toàn</t>
  </si>
  <si>
    <t>Nguyễn Hoàng Huy</t>
  </si>
  <si>
    <t>4778</t>
  </si>
  <si>
    <t>Lê Hoàng Phúc</t>
  </si>
  <si>
    <t>39484</t>
  </si>
  <si>
    <t>Lê Thị Ngọc</t>
  </si>
  <si>
    <t>2439</t>
  </si>
  <si>
    <t>Đinh Ngọc Châu</t>
  </si>
  <si>
    <t>Manufacturing Golf</t>
  </si>
  <si>
    <t>4378</t>
  </si>
  <si>
    <t>Nguyễn Thị Kim Thùy</t>
  </si>
  <si>
    <t>Manufacturing Arrow</t>
  </si>
  <si>
    <t>4942</t>
  </si>
  <si>
    <t>Lê An Khương</t>
  </si>
  <si>
    <t>5055</t>
  </si>
  <si>
    <t>Võ Hoàng Nam</t>
  </si>
  <si>
    <t>5202</t>
  </si>
  <si>
    <t>Quách Tĩnh</t>
  </si>
  <si>
    <t>Đào Trung Kiên</t>
  </si>
  <si>
    <t>Nguyễn Thị Mỵ</t>
  </si>
  <si>
    <t>Đỗ Thị Mơ</t>
  </si>
  <si>
    <t>Nguyễn Thị Phương Lan</t>
  </si>
  <si>
    <t>Dương Thị Thu Thảo</t>
  </si>
  <si>
    <t>Thiều Quang Phụng</t>
  </si>
  <si>
    <t>Hà Quang Hoàng</t>
  </si>
  <si>
    <t>Phạm Thị Ngọc</t>
  </si>
  <si>
    <t>Dương Văn Vìu</t>
  </si>
  <si>
    <t>Trương Công Định</t>
  </si>
  <si>
    <t>Phạm Hoàng Ninh</t>
  </si>
  <si>
    <t>Mai Văn Hào</t>
  </si>
  <si>
    <t>Bùi Văn Thuyền</t>
  </si>
  <si>
    <t>Đặng Thị Bích Thủy</t>
  </si>
  <si>
    <t>Nguyễn Hoàng Phong</t>
  </si>
  <si>
    <t>Trần Văn Bình</t>
  </si>
  <si>
    <t>Lê Thị Chăm</t>
  </si>
  <si>
    <t>Nguyễn Thanh Trường</t>
  </si>
  <si>
    <t>Hoa Quốc Anh</t>
  </si>
  <si>
    <t>Lâm Cẩm Tú</t>
  </si>
  <si>
    <t>Lê Văn Ngoan</t>
  </si>
  <si>
    <t>Huỳnh Thành Danh</t>
  </si>
  <si>
    <t>Nguyễn Văn Linh</t>
  </si>
  <si>
    <t>Nguyễn Ngọc Thanh</t>
  </si>
  <si>
    <t>Trương Thị Cẩm Nguyên</t>
  </si>
  <si>
    <t>Nguyễn Văn Tài</t>
  </si>
  <si>
    <t>Lường Văn Ngọc</t>
  </si>
  <si>
    <t>1745</t>
  </si>
  <si>
    <t>Nguyễn Văn Hùng</t>
  </si>
  <si>
    <t>4074</t>
  </si>
  <si>
    <t>Nguyễn Thị Ngọc Nhiều</t>
  </si>
  <si>
    <t>5076</t>
  </si>
  <si>
    <t>Dương Bảo Trâm</t>
  </si>
  <si>
    <t>39335</t>
  </si>
  <si>
    <t>Trần Nhật Minh Anh</t>
  </si>
  <si>
    <t>4213</t>
  </si>
  <si>
    <t>Lê Thị Phượng Hằng</t>
  </si>
  <si>
    <t>5078</t>
  </si>
  <si>
    <t>Huỳnh Thị Hồng Cẩm</t>
  </si>
  <si>
    <t>5058</t>
  </si>
  <si>
    <t>Nguyễn Nhựt Hào</t>
  </si>
  <si>
    <t>Golf QC Management</t>
  </si>
  <si>
    <t>Lê Hoàng Thành</t>
  </si>
  <si>
    <t>Gofl Buffing</t>
  </si>
  <si>
    <t>Nguyễn Hoàng Nghiệp</t>
  </si>
  <si>
    <t>Cao Văn Lai</t>
  </si>
  <si>
    <t>Đinh Nhật Huy</t>
  </si>
  <si>
    <t>Phạm Văn Cho</t>
  </si>
  <si>
    <t>Nguyễn Văn Trộng</t>
  </si>
  <si>
    <t>Dương Minh Trung</t>
  </si>
  <si>
    <t>Lê Văn Kha</t>
  </si>
  <si>
    <t>Hồ Thanh Sơn</t>
  </si>
  <si>
    <t>Thái Văn Tài</t>
  </si>
  <si>
    <t>Nguyễn Nhựt Tảo</t>
  </si>
  <si>
    <t>Trần Kim Nhung</t>
  </si>
  <si>
    <t>39361</t>
  </si>
  <si>
    <t>Nguyễn Triết Lễ</t>
  </si>
  <si>
    <t>4394</t>
  </si>
  <si>
    <t>Lê Hoàng Phong</t>
  </si>
  <si>
    <t>Huỳnh Hữu Xuân</t>
  </si>
  <si>
    <t>Nguyễn Thị Hồng Thắm</t>
  </si>
  <si>
    <t>Phạm Thị Thòa</t>
  </si>
  <si>
    <t>4843</t>
  </si>
  <si>
    <t>Nguyễn Minh Luân</t>
  </si>
  <si>
    <t>2253</t>
  </si>
  <si>
    <t>Lê Thị Hà</t>
  </si>
  <si>
    <t>5240</t>
  </si>
  <si>
    <t>Võ Minh Quang</t>
  </si>
  <si>
    <t>5041</t>
  </si>
  <si>
    <t>Nguyễn Hoàng Khánh</t>
  </si>
  <si>
    <t>39445</t>
  </si>
  <si>
    <t>Nguyễn Thanh Tâm</t>
  </si>
  <si>
    <t>5057</t>
  </si>
  <si>
    <t>Lê Thanh Đồng</t>
  </si>
  <si>
    <t>5030</t>
  </si>
  <si>
    <t>Nguyễn Thị Thanh Thoảng</t>
  </si>
  <si>
    <t>4596</t>
  </si>
  <si>
    <t>Trần Thị Bảo Trân</t>
  </si>
  <si>
    <t>4988</t>
  </si>
  <si>
    <t>Nguyễn Thị Mỹ Huyền</t>
  </si>
  <si>
    <t>4216</t>
  </si>
  <si>
    <t>Huỳnh Thị Thu Hà</t>
  </si>
  <si>
    <t>4076</t>
  </si>
  <si>
    <t>Nguyễn Thị Mỹ Cẩm</t>
  </si>
  <si>
    <t>5203</t>
  </si>
  <si>
    <t>Nguyễn Chí Dũng</t>
  </si>
  <si>
    <t>5048</t>
  </si>
  <si>
    <t>Trịnh Thị Thảo</t>
  </si>
  <si>
    <t>39336</t>
  </si>
  <si>
    <t>Thạch Thanh Nhàn</t>
  </si>
  <si>
    <t>5204</t>
  </si>
  <si>
    <t>Danh Thị Thu Ngân</t>
  </si>
  <si>
    <t>Lê Thị Ngọc Huyền</t>
  </si>
  <si>
    <t>Nguyễn Văn Dĩ Em</t>
  </si>
  <si>
    <t>Lương Hoàng Khang</t>
  </si>
  <si>
    <t>Lê Bích Tuyền</t>
  </si>
  <si>
    <t>Phạm Như Ý</t>
  </si>
  <si>
    <t>Phạm Văn Giang</t>
  </si>
  <si>
    <t>Nguyễn Văn Lộc</t>
  </si>
  <si>
    <t>Lê Chí Ưng</t>
  </si>
  <si>
    <t>Kayak Decoration</t>
  </si>
  <si>
    <t>Dương Chí Linh</t>
  </si>
  <si>
    <t>Huỳnh Văn Công</t>
  </si>
  <si>
    <t>Nguyễn Minh Lâm</t>
  </si>
  <si>
    <t>Đỗ Ngọc Tiến</t>
  </si>
  <si>
    <t>Trương Văn Phong</t>
  </si>
  <si>
    <t>Đặng Thúy Duy</t>
  </si>
  <si>
    <t>Hà Quang Linh</t>
  </si>
  <si>
    <t>Dương Thị Huỳnh Như</t>
  </si>
  <si>
    <t>39512</t>
  </si>
  <si>
    <t>Lê Thanh Tú</t>
  </si>
  <si>
    <t>5297</t>
  </si>
  <si>
    <t>Nguyễn Thị Bích Thủy</t>
  </si>
  <si>
    <t>5265</t>
  </si>
  <si>
    <t>Phạm Thị Hằng</t>
  </si>
  <si>
    <t>Trương Chí Công</t>
  </si>
  <si>
    <t>Nguyễn Thị Trúc Phương</t>
  </si>
  <si>
    <t>Arrow QC Management</t>
  </si>
  <si>
    <t>Lê Thị Hồng Quyên</t>
  </si>
  <si>
    <t>Lâm Văn Phú</t>
  </si>
  <si>
    <t>Lê Thị Như Phượng</t>
  </si>
  <si>
    <t>Trần Ngọc Hoài</t>
  </si>
  <si>
    <t>Nguyễn Thị Mỹ Duyên</t>
  </si>
  <si>
    <t>Trần Thanh Triều</t>
  </si>
  <si>
    <t>Huỳnh Thanh Phương</t>
  </si>
  <si>
    <t>Nguyễn Quang Vinh</t>
  </si>
  <si>
    <t>Trần Thị Diễm</t>
  </si>
  <si>
    <t>Lê Thị Quế Trân</t>
  </si>
  <si>
    <t>Nguyễn Công Thành</t>
  </si>
  <si>
    <t>Trần Thị My</t>
  </si>
  <si>
    <t>Trần Ngọc Khoa</t>
  </si>
  <si>
    <t>Nguyễn Gia Huy</t>
  </si>
  <si>
    <t>Đỗ Thị Lan Anh</t>
  </si>
  <si>
    <t>Thạch Thanh Tiến</t>
  </si>
  <si>
    <t>Hà Hoàng Sang</t>
  </si>
  <si>
    <t>Huỳnh Công Hậu</t>
  </si>
  <si>
    <t>Nguyễn Hà Nhi</t>
  </si>
  <si>
    <t>Cù Văn Chung</t>
  </si>
  <si>
    <t>Nguyễn Thị Cẩm Thúy</t>
  </si>
  <si>
    <t>Nguyễn Thị Triệu Duy</t>
  </si>
  <si>
    <t>Võ Phước Lộc</t>
  </si>
  <si>
    <t>Phan Tấn Đạt</t>
  </si>
  <si>
    <t>Nguyễn Văn Chiến</t>
  </si>
  <si>
    <t>Lâm Văn Luân</t>
  </si>
  <si>
    <t>Nguyễn Tuấn Luật</t>
  </si>
  <si>
    <t>Trần Minh Phú</t>
  </si>
  <si>
    <t>Đặng Hoàng Phúc</t>
  </si>
  <si>
    <t>Trần Văn Chuột</t>
  </si>
  <si>
    <t>Võ Anh Đô</t>
  </si>
  <si>
    <t>Nguyễn Thị Minh Thư</t>
  </si>
  <si>
    <t>Nguyễn Hoàng Yên</t>
  </si>
  <si>
    <t>Trương Tuyết Băng</t>
  </si>
  <si>
    <t>Nguyễn Thị Bích Đào</t>
  </si>
  <si>
    <t>Lê Thị Thùy Linh</t>
  </si>
  <si>
    <t>Lê Quang Vinh</t>
  </si>
  <si>
    <t>Nguyễn Lý Minh Dự</t>
  </si>
  <si>
    <t>Quảng Đại Tuyên</t>
  </si>
  <si>
    <t>Phạm Văn Tròng</t>
  </si>
  <si>
    <t>Trần Hữu Đăng</t>
  </si>
  <si>
    <t>Ngô Tiểu Long</t>
  </si>
  <si>
    <t>Trần Xuân Sĩ</t>
  </si>
  <si>
    <t>Trương Phúc Thiện</t>
  </si>
  <si>
    <t>Nguyễn Văn Tình</t>
  </si>
  <si>
    <t>Đoàn Cao Sang</t>
  </si>
  <si>
    <t>Đinh Văn Vương</t>
  </si>
  <si>
    <t>39850</t>
  </si>
  <si>
    <t>Nguyễn Thị Thu Hương</t>
  </si>
  <si>
    <t>39841</t>
  </si>
  <si>
    <t>Bạch Chí Công</t>
  </si>
  <si>
    <t>39829</t>
  </si>
  <si>
    <t>Đặng Thị Thu Hà</t>
  </si>
  <si>
    <t>39802</t>
  </si>
  <si>
    <t>Nguyễn Thị Minh</t>
  </si>
  <si>
    <t>39801</t>
  </si>
  <si>
    <t>Phùng Kim Linh</t>
  </si>
  <si>
    <t>39734</t>
  </si>
  <si>
    <t>Nguyễn Phương Lan</t>
  </si>
  <si>
    <t>39698</t>
  </si>
  <si>
    <t>Trần Văn Phong</t>
  </si>
  <si>
    <t>39687</t>
  </si>
  <si>
    <t>Nguyễn Mộng Như</t>
  </si>
  <si>
    <t>39676</t>
  </si>
  <si>
    <t>Phan Thị Như Ý</t>
  </si>
  <si>
    <t>39622</t>
  </si>
  <si>
    <t>Đỗ Minh Đường</t>
  </si>
  <si>
    <t>39621</t>
  </si>
  <si>
    <t>Thị Ngọc Quí</t>
  </si>
  <si>
    <t>Nguyễn Văn Tấn</t>
  </si>
  <si>
    <t>39930</t>
  </si>
  <si>
    <t>Thạch Kiên Mỹ Cúc</t>
  </si>
  <si>
    <t>39941</t>
  </si>
  <si>
    <t>Hà Thị Ái Linh</t>
  </si>
  <si>
    <t>39755</t>
  </si>
  <si>
    <t>Nguyễn Thị Mỹ Liên</t>
  </si>
  <si>
    <t>39682</t>
  </si>
  <si>
    <t>Nguyễn Văn Bảo</t>
  </si>
  <si>
    <t>39531</t>
  </si>
  <si>
    <t>Phạm Văn Nghĩa</t>
  </si>
  <si>
    <t>39969</t>
  </si>
  <si>
    <t>Trương Võ Huyền Trân</t>
  </si>
  <si>
    <t>39907</t>
  </si>
  <si>
    <t>Ngô Kim Thắng</t>
  </si>
  <si>
    <t>39513</t>
  </si>
  <si>
    <t>Đinh Văn Tánh</t>
  </si>
  <si>
    <t>39974</t>
  </si>
  <si>
    <t>Nguyễn Minh Đăng</t>
  </si>
  <si>
    <t>Danh Duy Khánh</t>
  </si>
  <si>
    <t>Đặng Văn Lộc</t>
  </si>
  <si>
    <t>Nguyễn Thị Giang</t>
  </si>
  <si>
    <t>Lê Thị Nào</t>
  </si>
  <si>
    <t>Võ Thị Ngọc Giàu</t>
  </si>
  <si>
    <t>Trần Văn Lầu</t>
  </si>
  <si>
    <t>Lê Văn Rạng</t>
  </si>
  <si>
    <t>Nguyễn Thị Bích Loan</t>
  </si>
  <si>
    <t>Trương Vũ Luân</t>
  </si>
  <si>
    <t>Nguyễn Văn Hoài</t>
  </si>
  <si>
    <t>Vũ Thị Oanh</t>
  </si>
  <si>
    <t>Hoàng Thị Thanh Thắm</t>
  </si>
  <si>
    <t>Lương Công Thảo</t>
  </si>
  <si>
    <t>Nguyễn Thị Thúy An</t>
  </si>
  <si>
    <t>Ức Chiến Khuyến</t>
  </si>
  <si>
    <t>Huỳnh Tuấn Kiệt</t>
  </si>
  <si>
    <t>Nguyễn Thị Vui</t>
  </si>
  <si>
    <t>Nguyễn Thị Ngọc Thúy</t>
  </si>
  <si>
    <t>5301</t>
  </si>
  <si>
    <t>Phan Văn Toàn</t>
  </si>
  <si>
    <t>39542</t>
  </si>
  <si>
    <t>Nông Quốc Lực</t>
  </si>
  <si>
    <t>39985</t>
  </si>
  <si>
    <t>Nguyễn Văn Mẩn</t>
  </si>
  <si>
    <t xml:space="preserve"> </t>
  </si>
  <si>
    <t>39683</t>
  </si>
  <si>
    <t>Lâm Văn Húa</t>
  </si>
  <si>
    <t>Lê Minh Trí</t>
  </si>
  <si>
    <t>Lê Hồng Khánh Duy</t>
  </si>
  <si>
    <t>40027</t>
  </si>
  <si>
    <t>Châu Thị Cẩm Tiên</t>
  </si>
  <si>
    <t>5288</t>
  </si>
  <si>
    <t>Huỳnh Thị Mỹ Duyên</t>
  </si>
  <si>
    <t>39587</t>
  </si>
  <si>
    <t>Dương Tiểu Long</t>
  </si>
  <si>
    <t>39966</t>
  </si>
  <si>
    <t>Nguyễn Ngọc Tiến</t>
  </si>
  <si>
    <t>39899</t>
  </si>
  <si>
    <t>Nguyễn Đức Mạnh</t>
  </si>
  <si>
    <t>39514</t>
  </si>
  <si>
    <t>Lê Thanh Phú</t>
  </si>
  <si>
    <t>5219</t>
  </si>
  <si>
    <t>Võ Hoàng Dựng</t>
  </si>
  <si>
    <t>Lê Quang Dũng</t>
  </si>
  <si>
    <t>Nguyễn Hoàng Trung</t>
  </si>
  <si>
    <t>39996</t>
  </si>
  <si>
    <t>Hồ Nguyễn Chánh Tín</t>
  </si>
  <si>
    <t>40192</t>
  </si>
  <si>
    <t>Lê Trường Gian</t>
  </si>
  <si>
    <t>39901</t>
  </si>
  <si>
    <t>Thái Thành Đạt</t>
  </si>
  <si>
    <t>39728</t>
  </si>
  <si>
    <t>Nguyễn Thị Như Thảo</t>
  </si>
  <si>
    <t>TỔNG NHÂN VIÊN ĐÃ ĐƯỢC HƯỚNG DẪN VẬN HÀNH</t>
  </si>
  <si>
    <t>/698</t>
  </si>
  <si>
    <t>TỔNG HỢP TÌNH TRẠNG CHỨNG NHẬN VẬN HÀNH</t>
  </si>
  <si>
    <t>Date Update: 06/10/2026</t>
  </si>
  <si>
    <t>TỔNG HẠNG MỤC</t>
  </si>
  <si>
    <t>TỔNG NHÂN SỰ</t>
  </si>
  <si>
    <t>ĐỦ ĐIỀU KIỆN</t>
  </si>
  <si>
    <t>THIẾU CHỨNG NHẬN</t>
  </si>
  <si>
    <t>TỶ LỆ TUÂN THỦ</t>
  </si>
  <si>
    <t>Arrow Blank</t>
  </si>
  <si>
    <t>CHƯA ĐÀO TẠO</t>
  </si>
  <si>
    <t>ĐANG ĐÀO TẠO</t>
  </si>
  <si>
    <t>CHỜ ĐÁNH GIÁ</t>
  </si>
  <si>
    <t>CHỜ CẤP THẺ CNVH</t>
  </si>
  <si>
    <t>ĐÁNH GIÁ LẠI</t>
  </si>
  <si>
    <t>Week</t>
  </si>
  <si>
    <t>Ngày đánh giá</t>
  </si>
  <si>
    <t>G_Buffing</t>
  </si>
  <si>
    <t>Total</t>
  </si>
  <si>
    <t>CERTIFICATION MATRIX</t>
  </si>
  <si>
    <t>[X] = Bắt buộc phải được cấp chứng nhận vận hành</t>
  </si>
  <si>
    <t>Date update: 05/02/2026</t>
  </si>
  <si>
    <t>[Ô trống] = Không yêu cầu chứng nhận an toàn</t>
  </si>
  <si>
    <t>CUTTING</t>
  </si>
  <si>
    <t>GOLF ROLLING</t>
  </si>
  <si>
    <t>GOLF FINISHING</t>
  </si>
  <si>
    <t>GOLF BUFFING</t>
  </si>
  <si>
    <t>GOLF DIPPING</t>
  </si>
  <si>
    <t>GOLF GRAPHICS</t>
  </si>
  <si>
    <t>ARROW BLANK</t>
  </si>
  <si>
    <t>ARROW GRAPHICS</t>
  </si>
  <si>
    <t>KAYAK</t>
  </si>
  <si>
    <t>QC</t>
  </si>
  <si>
    <t>CHUNG</t>
  </si>
  <si>
    <t>HẠNG MỤC ĐÀO TẠO
/VỊ TRÍ CÔNG VIỆC</t>
  </si>
  <si>
    <t>Máy 
Sheet 45°</t>
  </si>
  <si>
    <t>Máy 
Sheet 90°</t>
  </si>
  <si>
    <t>Máy 
Sheet 135°</t>
  </si>
  <si>
    <t>Xe 
Nâng 
Prepreg</t>
  </si>
  <si>
    <t>Máy 
Shear</t>
  </si>
  <si>
    <t>Máy 
Die Cut</t>
  </si>
  <si>
    <t>Máy Inkjet</t>
  </si>
  <si>
    <t>Máy Ép 
Hashima</t>
  </si>
  <si>
    <t>Máy Hút 
Chân 
Không</t>
  </si>
  <si>
    <t>Bàn
 Nhiệt</t>
  </si>
  <si>
    <t xml:space="preserve">Máy 
Auto 
Rolling </t>
  </si>
  <si>
    <t>Máy 
Cello
 Ngang</t>
  </si>
  <si>
    <t>Máy 
Cello
 Đứng</t>
  </si>
  <si>
    <t xml:space="preserve">Máy Rút 
Dây Cello </t>
  </si>
  <si>
    <t xml:space="preserve">Máy 
Rút 
Mandrel </t>
  </si>
  <si>
    <t>Máy 
Rửa 
Mandrel</t>
  </si>
  <si>
    <t xml:space="preserve">Máy Đo/Uốn Thẳng Mandrel </t>
  </si>
  <si>
    <t>Lò Sấy</t>
  </si>
  <si>
    <t>Máy 
Khắc 
Laser</t>
  </si>
  <si>
    <t>Máy 
Dual 
Saw</t>
  </si>
  <si>
    <t>Máy 
Đo 
OD</t>
  </si>
  <si>
    <t>Máy
 Soi 
Đầu TIP</t>
  </si>
  <si>
    <t>Máy Mài Đánh Bóng</t>
  </si>
  <si>
    <t>Auto 
Sanding</t>
  </si>
  <si>
    <t>Máy Rửa -
 Sấy Tự Động</t>
  </si>
  <si>
    <t>Máy 
Paragon</t>
  </si>
  <si>
    <t>Máy
 Khắc
 Laser</t>
  </si>
  <si>
    <t>Máy 
Frequency</t>
  </si>
  <si>
    <t>Máy/Bảng 
Đo 
Ortho Flex</t>
  </si>
  <si>
    <t>Máy Rửa - 
Sấy Tự Động</t>
  </si>
  <si>
    <t>Máy Bom 
Áp Lực</t>
  </si>
  <si>
    <t>Máy Mài 
Đánh Bóng</t>
  </si>
  <si>
    <t>Máy 
Tip - Blast</t>
  </si>
  <si>
    <t>Máy 
Đánh Bóng</t>
  </si>
  <si>
    <t>Máy 
Scrap Shaft</t>
  </si>
  <si>
    <t xml:space="preserve">Máy 
Bắn Cát </t>
  </si>
  <si>
    <t>Máy 
Đo OD</t>
  </si>
  <si>
    <t>Cân 
Weight</t>
  </si>
  <si>
    <t>Máy 
Straightness</t>
  </si>
  <si>
    <t>Máy 
Lắc Sơn</t>
  </si>
  <si>
    <t>Máy/Kệ 
Khuấy Sơn</t>
  </si>
  <si>
    <t>Máy Phun 
Sơn Tự động</t>
  </si>
  <si>
    <t>Máy Rửa Mắt Đứng/
Vòi Tắm Khẩn Cấp</t>
  </si>
  <si>
    <t>Lò 
Sấy</t>
  </si>
  <si>
    <t>Máy 
Bắn Cát</t>
  </si>
  <si>
    <t>Máy 
Decal</t>
  </si>
  <si>
    <t>Máy 
In Lụa</t>
  </si>
  <si>
    <t>Băng 
Tải</t>
  </si>
  <si>
    <t>Thước 
Đo Laser</t>
  </si>
  <si>
    <t>Máy 
Khắc Laser</t>
  </si>
  <si>
    <t xml:space="preserve">Cân 
Weight </t>
  </si>
  <si>
    <t>Máy
 CDI</t>
  </si>
  <si>
    <t>Máy
 Revo</t>
  </si>
  <si>
    <t>Bàn 
Nhiệt</t>
  </si>
  <si>
    <t>Máy Cello 
Ngang</t>
  </si>
  <si>
    <t>Sử Dụng 
Ống Tool</t>
  </si>
  <si>
    <t>Lò Sấy Nhỏ</t>
  </si>
  <si>
    <t xml:space="preserve">Máy Rút 
Mandrel </t>
  </si>
  <si>
    <t xml:space="preserve">Máy Đo/Uốn 
Thẳng Mandrel </t>
  </si>
  <si>
    <t>Máy 
Dual Saw</t>
  </si>
  <si>
    <t>Máy Cắt 
(Apple)</t>
  </si>
  <si>
    <t>Máy Đo
Đầu Cong</t>
  </si>
  <si>
    <t>Máy Xác Định
Điểm Cong</t>
  </si>
  <si>
    <t>Máy
 Decal</t>
  </si>
  <si>
    <t>Máy 
Sheet</t>
  </si>
  <si>
    <t>Xe Nâng Prepreg</t>
  </si>
  <si>
    <t xml:space="preserve">Máy 
CDI   </t>
  </si>
  <si>
    <t>Máy 
Cắt Đầu</t>
  </si>
  <si>
    <t>Máy 
Cắt</t>
  </si>
  <si>
    <t>Máy Rút
 Dây Cello</t>
  </si>
  <si>
    <t>Máy 
Mài</t>
  </si>
  <si>
    <t>Máy Đo Độ Võng (SPINE)</t>
  </si>
  <si>
    <t>Máy Tìm Điểm Cứng (SPINE FINDER)</t>
  </si>
  <si>
    <t>Máy Kiểm Tra Độ Bền (PROOF LOAD)</t>
  </si>
  <si>
    <t>Cân Weight Đơn (CG)</t>
  </si>
  <si>
    <t>Cân Weight Tự Động (CG)</t>
  </si>
  <si>
    <t>Máy Đo Độ Cong (ZONE)</t>
  </si>
  <si>
    <t>Máy Soi Đầu TIP - Apple</t>
  </si>
  <si>
    <t>Máy Đo OD (Z-Mike)</t>
  </si>
  <si>
    <t>Máy Đo Ortho Flex</t>
  </si>
  <si>
    <t>Bảng Đo Ortho Flex</t>
  </si>
  <si>
    <t>Máy Kiểm Tra Giao Động (FREQUENCY)</t>
  </si>
  <si>
    <t>Máy Kiểm Tra Độ Gãy (BENDING TEST)</t>
  </si>
  <si>
    <t>Máy Kiểm Tra Độ Xoắn (TORQUE)</t>
  </si>
  <si>
    <t>Máy Đo Độ Cong 3 Điểm</t>
  </si>
  <si>
    <t>Máy Cắt Đầu Flex</t>
  </si>
  <si>
    <t>Máy Đo HST Flex</t>
  </si>
  <si>
    <t>Máy Kiểm Tra Độ Bền Sơn</t>
  </si>
  <si>
    <t>Máy Kiểm Tra Độ Bền Sơn (RUBTEST)</t>
  </si>
  <si>
    <t>Máy Kiểm Tra Độ Bền Sơn (FALLING SAND)</t>
  </si>
  <si>
    <t>Máy Đo Mandrel</t>
  </si>
  <si>
    <t>Máy Đo OD KAYAK</t>
  </si>
  <si>
    <t>Sử Dụng 
Vật 
Sắc Nhọn</t>
  </si>
  <si>
    <t>Xử Lý 
Phân Loại 
Rác Thải</t>
  </si>
  <si>
    <t>Sheeting</t>
  </si>
  <si>
    <t>X</t>
  </si>
  <si>
    <t>Shearing</t>
  </si>
  <si>
    <t>Lay Up</t>
  </si>
  <si>
    <t>In Tem</t>
  </si>
  <si>
    <t>Tack film</t>
  </si>
  <si>
    <t xml:space="preserve">Auto Rolling </t>
  </si>
  <si>
    <t>CDI Rolling</t>
  </si>
  <si>
    <t>Revo Rolling</t>
  </si>
  <si>
    <t>Cello Wapper</t>
  </si>
  <si>
    <t>Rút Mandrel</t>
  </si>
  <si>
    <t>Rút Cello</t>
  </si>
  <si>
    <t>Rửa Mandrel</t>
  </si>
  <si>
    <t>Sửa Mandrel</t>
  </si>
  <si>
    <t>Oven Operator</t>
  </si>
  <si>
    <t>Khắc Laser</t>
  </si>
  <si>
    <t>Sanding</t>
  </si>
  <si>
    <t>Tip Grinding</t>
  </si>
  <si>
    <t>Polish</t>
  </si>
  <si>
    <t>Dual Saw</t>
  </si>
  <si>
    <t>Frequency</t>
  </si>
  <si>
    <t>Rework</t>
  </si>
  <si>
    <t>Washing</t>
  </si>
  <si>
    <t>Rửa Cao Áp</t>
  </si>
  <si>
    <t>Buffing Operator</t>
  </si>
  <si>
    <t>Tip Blast</t>
  </si>
  <si>
    <t>Shaft Wiper</t>
  </si>
  <si>
    <t>Cosmetic Repair</t>
  </si>
  <si>
    <t>Spray Operator</t>
  </si>
  <si>
    <t>Manual Dipper</t>
  </si>
  <si>
    <t>Auto Dipper</t>
  </si>
  <si>
    <t>Paint Mixer</t>
  </si>
  <si>
    <t>Printer</t>
  </si>
  <si>
    <t>Decal operator</t>
  </si>
  <si>
    <t>Repeir Man</t>
  </si>
  <si>
    <t>Chọt Mandrel</t>
  </si>
  <si>
    <t>Zigzag Rolling</t>
  </si>
  <si>
    <t>Cello Wrapper</t>
  </si>
  <si>
    <t>Vào Tool</t>
  </si>
  <si>
    <t>Grinder Operator</t>
  </si>
  <si>
    <t>Tìm Điểm Cong</t>
  </si>
  <si>
    <t>Lên Mâm Rebent</t>
  </si>
  <si>
    <t>Ice Coater</t>
  </si>
  <si>
    <t>Trim/Mài</t>
  </si>
  <si>
    <t>Kayak Blank</t>
  </si>
  <si>
    <t>QC Arrow</t>
  </si>
  <si>
    <t>QC Golf Blank</t>
  </si>
  <si>
    <t>QC Golf Cosmetics</t>
  </si>
  <si>
    <t>QC Kayak</t>
  </si>
  <si>
    <t>HỌ TÊN</t>
  </si>
  <si>
    <t>CHỨC VỤ</t>
  </si>
  <si>
    <t>VỊ TRÍ 
CÔNG VIỆC</t>
  </si>
  <si>
    <t>NGÀY
ĐÁNH GIÁ</t>
  </si>
  <si>
    <t>HẠNG MỤC ĐÀO TẠO</t>
  </si>
  <si>
    <r>
      <t>Máy 
Sheet 45</t>
    </r>
    <r>
      <rPr>
        <b/>
        <sz val="11"/>
        <color theme="3"/>
        <rFont val="Aptos Narrow"/>
        <family val="2"/>
      </rPr>
      <t>°</t>
    </r>
  </si>
  <si>
    <t>Xe Nâng 
Prepreg</t>
  </si>
  <si>
    <t>Máy 
Inkjet</t>
  </si>
  <si>
    <t>Máy Hút 
Chân Không</t>
  </si>
  <si>
    <t>Sử Dụng 
Vật Sắc Nhọn</t>
  </si>
  <si>
    <t>Xử Lý Phân 
Loại Rác Thải</t>
  </si>
  <si>
    <t>HIỆN TRẠNG</t>
  </si>
  <si>
    <t>LÝ DO</t>
  </si>
  <si>
    <t>NGÀY DỰ KIẾN 
HOÀN THÀNH</t>
  </si>
  <si>
    <t>Manufacturing Supervisor</t>
  </si>
  <si>
    <t>4259</t>
  </si>
  <si>
    <t>Lay Up Assembler</t>
  </si>
  <si>
    <t>Senior Worker</t>
  </si>
  <si>
    <t>Shear Operator A</t>
  </si>
  <si>
    <t>Vacuum Table Operator</t>
  </si>
  <si>
    <t>Zero/Angle Ply Sheeter B</t>
  </si>
  <si>
    <t>Shear Operator B</t>
  </si>
  <si>
    <t>5209</t>
  </si>
  <si>
    <t>5214</t>
  </si>
  <si>
    <t>5185</t>
  </si>
  <si>
    <t>Zero/Angle Ply Sheeter A</t>
  </si>
  <si>
    <t>5278</t>
  </si>
  <si>
    <t>Phạm Ngọc Lâm</t>
  </si>
  <si>
    <t>5290</t>
  </si>
  <si>
    <t>5298</t>
  </si>
  <si>
    <t>5356</t>
  </si>
  <si>
    <t>Trương Quang Lộc</t>
  </si>
  <si>
    <t>Data Entry Staff</t>
  </si>
  <si>
    <t>40576</t>
  </si>
  <si>
    <t>Võ Thị Mỹ Tiên</t>
  </si>
  <si>
    <t>Production Helper</t>
  </si>
  <si>
    <t>40577</t>
  </si>
  <si>
    <t>Trương Thị Mỹ Duyên</t>
  </si>
  <si>
    <t>40361</t>
  </si>
  <si>
    <t>40263</t>
  </si>
  <si>
    <t>40317</t>
  </si>
  <si>
    <t>40633</t>
  </si>
  <si>
    <t>Dương Thị Tuyết</t>
  </si>
  <si>
    <t>40575</t>
  </si>
  <si>
    <t>Đỗ Hằng Tiểu Ny</t>
  </si>
  <si>
    <t>40632</t>
  </si>
  <si>
    <t>40401</t>
  </si>
  <si>
    <t>Trần Minh Tâm</t>
  </si>
  <si>
    <t>40464</t>
  </si>
  <si>
    <t>Lê Thị Kim Hằng</t>
  </si>
  <si>
    <t>40483</t>
  </si>
  <si>
    <t>Nguyễn Văn Tiến Đạt</t>
  </si>
  <si>
    <t>40527</t>
  </si>
  <si>
    <t>Võ Quốc Việt</t>
  </si>
  <si>
    <t>40536</t>
  </si>
  <si>
    <t>Đoàn Mỹ Kiều</t>
  </si>
  <si>
    <t>40550</t>
  </si>
  <si>
    <t>Dương Minh Hiển</t>
  </si>
  <si>
    <t>40567</t>
  </si>
  <si>
    <t>Trần Thị Thùy Mỵ</t>
  </si>
  <si>
    <t>5391</t>
  </si>
  <si>
    <t>Nguyễn Đặng Gia Như</t>
  </si>
  <si>
    <t xml:space="preserve">Lay Up Assembler </t>
  </si>
  <si>
    <t>40570</t>
  </si>
  <si>
    <t>Đặng Thị Hồng Thắm</t>
  </si>
  <si>
    <t>40390</t>
  </si>
  <si>
    <t>40440</t>
  </si>
  <si>
    <t>Dương Thị Mỹ Trang</t>
  </si>
  <si>
    <t>40628</t>
  </si>
  <si>
    <t>Nguyễn Thị Bé Bảy</t>
  </si>
  <si>
    <t>40322</t>
  </si>
  <si>
    <t>Đinh Thị Ngân Tâm</t>
  </si>
  <si>
    <t>40469</t>
  </si>
  <si>
    <t>Nguyễn Thị Tuyết Lan</t>
  </si>
  <si>
    <t>40513</t>
  </si>
  <si>
    <t>Lê Đoàn Hồng Ngọc</t>
  </si>
  <si>
    <t>5289</t>
  </si>
  <si>
    <t>5341</t>
  </si>
  <si>
    <t>Nguyễn Thị Kim Thoa</t>
  </si>
  <si>
    <t>5367</t>
  </si>
  <si>
    <t>40335</t>
  </si>
  <si>
    <t>Nguyễn Thị Tú Quyên</t>
  </si>
  <si>
    <t>40336</t>
  </si>
  <si>
    <t>Đoàn Thị Tuyết Nhung</t>
  </si>
  <si>
    <t>40515</t>
  </si>
  <si>
    <t>Ngô Thị Ánh</t>
  </si>
  <si>
    <t>40535</t>
  </si>
  <si>
    <t>Nguyễn Yến Nhi</t>
  </si>
  <si>
    <t>40584</t>
  </si>
  <si>
    <t>40591</t>
  </si>
  <si>
    <t>Trần Thị Trúc</t>
  </si>
  <si>
    <t>40664</t>
  </si>
  <si>
    <t>Lưu Diễm My</t>
  </si>
  <si>
    <t>40684</t>
  </si>
  <si>
    <t>Rơ Lan H' An</t>
  </si>
  <si>
    <t>40619</t>
  </si>
  <si>
    <t>Nguyễn Ngọc Hảo</t>
  </si>
  <si>
    <t>Máy 
CDI</t>
  </si>
  <si>
    <t>Máy 
Revo</t>
  </si>
  <si>
    <t xml:space="preserve">Máy Auto 
Rolling </t>
  </si>
  <si>
    <t>Máy 
Cello Đứng</t>
  </si>
  <si>
    <t>Máy Rửa 
Mandrel</t>
  </si>
  <si>
    <t>Leader</t>
  </si>
  <si>
    <t>Group Cell</t>
  </si>
  <si>
    <t>Revo Rolling Operator B</t>
  </si>
  <si>
    <t>Mandrel Cleaner Operator</t>
  </si>
  <si>
    <t>CDI Rolling Operator B</t>
  </si>
  <si>
    <t>Process Trainer</t>
  </si>
  <si>
    <t>Revo Rolling Operator A</t>
  </si>
  <si>
    <t>Mandrel Straightner A</t>
  </si>
  <si>
    <t>Mandrel</t>
  </si>
  <si>
    <t>Oven Operator A</t>
  </si>
  <si>
    <t>Cello Wrapper Operator B</t>
  </si>
  <si>
    <t>CDI Rolling Operator A</t>
  </si>
  <si>
    <t>Cello Wrapper Operator A</t>
  </si>
  <si>
    <t>Oven Operator B</t>
  </si>
  <si>
    <t>5257</t>
  </si>
  <si>
    <t>5268</t>
  </si>
  <si>
    <t>5316</t>
  </si>
  <si>
    <t>Double Cello Wrapper Operator</t>
  </si>
  <si>
    <t>5342</t>
  </si>
  <si>
    <t>5352</t>
  </si>
  <si>
    <t>40365</t>
  </si>
  <si>
    <t>40578</t>
  </si>
  <si>
    <t>40150</t>
  </si>
  <si>
    <t>39950</t>
  </si>
  <si>
    <t>Trang Văn Thuộc</t>
  </si>
  <si>
    <t>39953</t>
  </si>
  <si>
    <t>Trịnh Thị Yến Như</t>
  </si>
  <si>
    <t>40637</t>
  </si>
  <si>
    <t>Trần Cẩm Tú</t>
  </si>
  <si>
    <t>40004</t>
  </si>
  <si>
    <t>Tô Nguyễn Bảo Ngân</t>
  </si>
  <si>
    <t>40157</t>
  </si>
  <si>
    <t>Dương Hoài Phương</t>
  </si>
  <si>
    <t>40285</t>
  </si>
  <si>
    <t>Nguyễn Hồng Lam</t>
  </si>
  <si>
    <t>40403</t>
  </si>
  <si>
    <t>Trần Quốc Huy</t>
  </si>
  <si>
    <t>40479</t>
  </si>
  <si>
    <t>Phan Văn Tèo</t>
  </si>
  <si>
    <t>40569</t>
  </si>
  <si>
    <t>Lê Thị Tố Như</t>
  </si>
  <si>
    <t>40593</t>
  </si>
  <si>
    <t>Võ Mỹ Hằng</t>
  </si>
  <si>
    <t>5223</t>
  </si>
  <si>
    <t>5317</t>
  </si>
  <si>
    <t>5328</t>
  </si>
  <si>
    <t>5329</t>
  </si>
  <si>
    <t>40363</t>
  </si>
  <si>
    <t>5392</t>
  </si>
  <si>
    <t xml:space="preserve">CDI Rolling Operator B </t>
  </si>
  <si>
    <t>40699</t>
  </si>
  <si>
    <t>40148</t>
  </si>
  <si>
    <t>5393</t>
  </si>
  <si>
    <t>40635</t>
  </si>
  <si>
    <t>40636</t>
  </si>
  <si>
    <t>40700</t>
  </si>
  <si>
    <t>40701</t>
  </si>
  <si>
    <t>39961</t>
  </si>
  <si>
    <t>39968</t>
  </si>
  <si>
    <t>40009</t>
  </si>
  <si>
    <t>Đặng Thị Thúy Hằng</t>
  </si>
  <si>
    <t>40028</t>
  </si>
  <si>
    <t>Nguyễn Thái Bình</t>
  </si>
  <si>
    <t>5383</t>
  </si>
  <si>
    <t>Hồ Minh Hiếu</t>
  </si>
  <si>
    <t>40224</t>
  </si>
  <si>
    <t>Nguyễn Văn Kiệt</t>
  </si>
  <si>
    <t>40238</t>
  </si>
  <si>
    <t>Nguyễn Hữu Dương</t>
  </si>
  <si>
    <t>40249</t>
  </si>
  <si>
    <t>Nguyễn Hồng Thắm</t>
  </si>
  <si>
    <t>40269</t>
  </si>
  <si>
    <t>Kiều Nữ Hồng Phấn</t>
  </si>
  <si>
    <t>40452</t>
  </si>
  <si>
    <t>Phạm Hồng Thía</t>
  </si>
  <si>
    <t>40541</t>
  </si>
  <si>
    <t>40542</t>
  </si>
  <si>
    <t>Mandrel Straightner B</t>
  </si>
  <si>
    <t>5318</t>
  </si>
  <si>
    <t>5343</t>
  </si>
  <si>
    <t>5351</t>
  </si>
  <si>
    <t>5369</t>
  </si>
  <si>
    <t>Võ Văn Tài</t>
  </si>
  <si>
    <t>40364</t>
  </si>
  <si>
    <t>40442</t>
  </si>
  <si>
    <t>40078</t>
  </si>
  <si>
    <t>40443</t>
  </si>
  <si>
    <t>40444</t>
  </si>
  <si>
    <t>40579</t>
  </si>
  <si>
    <t>Lê Thị Triều</t>
  </si>
  <si>
    <t>40702</t>
  </si>
  <si>
    <t>40098</t>
  </si>
  <si>
    <t>Võ Nguyễn Phương Uyên</t>
  </si>
  <si>
    <t>40378</t>
  </si>
  <si>
    <t>Đinh Thị Thanh Uyên</t>
  </si>
  <si>
    <t>40468</t>
  </si>
  <si>
    <t>40456</t>
  </si>
  <si>
    <t>Lê Văn Pháp</t>
  </si>
  <si>
    <t>40603</t>
  </si>
  <si>
    <t>Trương Thị Mỹ Xuyên</t>
  </si>
  <si>
    <t>40604</t>
  </si>
  <si>
    <t>Lê Thị Hồng Dung</t>
  </si>
  <si>
    <t>40612</t>
  </si>
  <si>
    <t>Thai Sản</t>
  </si>
  <si>
    <t>40613</t>
  </si>
  <si>
    <t>Lư Thị Cẩm Vân</t>
  </si>
  <si>
    <t>40618</t>
  </si>
  <si>
    <t>Bùi Thị Ngọc Duyên</t>
  </si>
  <si>
    <t>5326</t>
  </si>
  <si>
    <t>Trương Thị Mỹ Tiên</t>
  </si>
  <si>
    <t>40496</t>
  </si>
  <si>
    <t>Hà Mỹ Nhân</t>
  </si>
  <si>
    <t>40600</t>
  </si>
  <si>
    <t>Lê Cao Nguyên</t>
  </si>
  <si>
    <t>40677</t>
  </si>
  <si>
    <t>Nguyễn Duy Tấn</t>
  </si>
  <si>
    <t>40708</t>
  </si>
  <si>
    <t>40681</t>
  </si>
  <si>
    <t>Trần Văn Tiệp</t>
  </si>
  <si>
    <t>40610</t>
  </si>
  <si>
    <t>Nguyễn Nghĩa Nhân</t>
  </si>
  <si>
    <t>Máy Soi 
Đầu TIP</t>
  </si>
  <si>
    <t>Máy Mài
Đánh Bóng</t>
  </si>
  <si>
    <t>Máy
 Khắc Laser</t>
  </si>
  <si>
    <t>Máy/Bảng Đo 
Ortho Flex</t>
  </si>
  <si>
    <t xml:space="preserve">Sử Dụng 
Vật Sắc Nhọn </t>
  </si>
  <si>
    <t>Process trainer</t>
  </si>
  <si>
    <t>5110</t>
  </si>
  <si>
    <t>Sander Operator B</t>
  </si>
  <si>
    <t>5224</t>
  </si>
  <si>
    <t>5266</t>
  </si>
  <si>
    <t>Dual Saw Operator</t>
  </si>
  <si>
    <t>40360</t>
  </si>
  <si>
    <t>40696</t>
  </si>
  <si>
    <t>40697</t>
  </si>
  <si>
    <t>40121</t>
  </si>
  <si>
    <t>Mai Hữu Hưng</t>
  </si>
  <si>
    <t>40404</t>
  </si>
  <si>
    <t>Phan Thành Phong</t>
  </si>
  <si>
    <t>40557</t>
  </si>
  <si>
    <t>Cao Hữu Lợi</t>
  </si>
  <si>
    <t>Sander Operator A</t>
  </si>
  <si>
    <t>Tip Grinder Operator B</t>
  </si>
  <si>
    <t>5225</t>
  </si>
  <si>
    <t>5267</t>
  </si>
  <si>
    <t>40629</t>
  </si>
  <si>
    <t>40373</t>
  </si>
  <si>
    <t>Nguyễn Thanh Đạo</t>
  </si>
  <si>
    <t>40435</t>
  </si>
  <si>
    <t>Trần Hưng Đạt</t>
  </si>
  <si>
    <t>40321</t>
  </si>
  <si>
    <t>Nguyễn Minh Trí</t>
  </si>
  <si>
    <t>5213</t>
  </si>
  <si>
    <t>5330</t>
  </si>
  <si>
    <t>5370</t>
  </si>
  <si>
    <t>40391</t>
  </si>
  <si>
    <t>39949</t>
  </si>
  <si>
    <t>40165</t>
  </si>
  <si>
    <t>Trầm Đon</t>
  </si>
  <si>
    <t>5384</t>
  </si>
  <si>
    <t>Nguyễn Văn Phú</t>
  </si>
  <si>
    <t>40341</t>
  </si>
  <si>
    <t>Trần Thanh Vàng</t>
  </si>
  <si>
    <t>40428</t>
  </si>
  <si>
    <t>Nguyễn Văn Trí</t>
  </si>
  <si>
    <t>40614</t>
  </si>
  <si>
    <t>Nguyễn Chí Đức</t>
  </si>
  <si>
    <t>40394</t>
  </si>
  <si>
    <t>40644</t>
  </si>
  <si>
    <t>40651</t>
  </si>
  <si>
    <t>Lê Công Bình</t>
  </si>
  <si>
    <t>40652</t>
  </si>
  <si>
    <t>Cao Hữu Tài</t>
  </si>
  <si>
    <t>40660</t>
  </si>
  <si>
    <t>Lưu Văn Nam</t>
  </si>
  <si>
    <t>40362</t>
  </si>
  <si>
    <t>40711</t>
  </si>
  <si>
    <t>Lê Huỳnh Tiến</t>
  </si>
  <si>
    <t>Buffing Operator B</t>
  </si>
  <si>
    <t>Tip Blast Operator B</t>
  </si>
  <si>
    <t>Tip Blast Operator</t>
  </si>
  <si>
    <t>5294</t>
  </si>
  <si>
    <t>5331</t>
  </si>
  <si>
    <t>Đinh Hải Đăng</t>
  </si>
  <si>
    <t>40393</t>
  </si>
  <si>
    <t>40643</t>
  </si>
  <si>
    <t>Nguyễn Duy Linh</t>
  </si>
  <si>
    <t>39997</t>
  </si>
  <si>
    <t>40103</t>
  </si>
  <si>
    <t>Lê Văn Sỏi</t>
  </si>
  <si>
    <t>40406</t>
  </si>
  <si>
    <t>Phan Văn Vũ Hà</t>
  </si>
  <si>
    <t>40561</t>
  </si>
  <si>
    <t>Nguyễn Văn Tặng Em</t>
  </si>
  <si>
    <t>Cosmetic Repair/ BNT Rebent</t>
  </si>
  <si>
    <t>40641</t>
  </si>
  <si>
    <t>Nguyễn Ngọc Tốt</t>
  </si>
  <si>
    <t>40642</t>
  </si>
  <si>
    <t>Nguyễn Văn Cường</t>
  </si>
  <si>
    <t>5386</t>
  </si>
  <si>
    <t>Nguyễn Văn Hậu</t>
  </si>
  <si>
    <t>40159</t>
  </si>
  <si>
    <t>Nguyễn Phước Xuyên</t>
  </si>
  <si>
    <t>40227</t>
  </si>
  <si>
    <t>Phan Thanh Huy</t>
  </si>
  <si>
    <t>40281</t>
  </si>
  <si>
    <t>Phàng Trương Tuấn</t>
  </si>
  <si>
    <t>40703</t>
  </si>
  <si>
    <t>40402</t>
  </si>
  <si>
    <t>Nguyễn Văn Sơn</t>
  </si>
  <si>
    <t>40598</t>
  </si>
  <si>
    <t>Bùi Văn Bé Tám</t>
  </si>
  <si>
    <t>4662</t>
  </si>
  <si>
    <t>5245</t>
  </si>
  <si>
    <t>5260</t>
  </si>
  <si>
    <t>Lê Hoàng Giang</t>
  </si>
  <si>
    <t>5332</t>
  </si>
  <si>
    <t>Ức Chiến Dương</t>
  </si>
  <si>
    <t>40580</t>
  </si>
  <si>
    <t>Phạm Văn Triều</t>
  </si>
  <si>
    <t>40064</t>
  </si>
  <si>
    <t>Hoàng Văn Định</t>
  </si>
  <si>
    <t>40408</t>
  </si>
  <si>
    <t>40366</t>
  </si>
  <si>
    <t>40298</t>
  </si>
  <si>
    <t>Lữ Văn Thành</t>
  </si>
  <si>
    <t>40648</t>
  </si>
  <si>
    <t>40667</t>
  </si>
  <si>
    <t>40683</t>
  </si>
  <si>
    <t>Hồ Văn Lành</t>
  </si>
  <si>
    <t>40678</t>
  </si>
  <si>
    <t>Phan Văn Giòn</t>
  </si>
  <si>
    <t>40709</t>
  </si>
  <si>
    <t>Lê Minh Phát</t>
  </si>
  <si>
    <t>40615</t>
  </si>
  <si>
    <t>Trần Văn Hồ</t>
  </si>
  <si>
    <t>VỊ TRÍ CÔNG VIỆC</t>
  </si>
  <si>
    <t>4280</t>
  </si>
  <si>
    <t>Nguyễn Văn Tel</t>
  </si>
  <si>
    <t>Paint Dipper A</t>
  </si>
  <si>
    <t>2716</t>
  </si>
  <si>
    <t>Nguyễn Xuân Hỷ</t>
  </si>
  <si>
    <t>4936</t>
  </si>
  <si>
    <t>Nguyễn Văn Phong</t>
  </si>
  <si>
    <t>Paint Dipper B</t>
  </si>
  <si>
    <t>Paint Dipper C</t>
  </si>
  <si>
    <t>4300</t>
  </si>
  <si>
    <t>Spray Machine Operator A</t>
  </si>
  <si>
    <t>5040</t>
  </si>
  <si>
    <t>Lê Hồ Hoài Anh Kiệt</t>
  </si>
  <si>
    <t>Paint Mixer A</t>
  </si>
  <si>
    <t>4830</t>
  </si>
  <si>
    <t>Phạm Duy</t>
  </si>
  <si>
    <t>Spray Machine Operator B</t>
  </si>
  <si>
    <t>5396</t>
  </si>
  <si>
    <t>Nguyễn Hoàng Dương</t>
  </si>
  <si>
    <t>40448</t>
  </si>
  <si>
    <t>Nguyễn Chí Cương</t>
  </si>
  <si>
    <t>40457</t>
  </si>
  <si>
    <t>Trương Minh Bảo Hoàng</t>
  </si>
  <si>
    <t>4671</t>
  </si>
  <si>
    <t>Nguyễn Tuấn Anh</t>
  </si>
  <si>
    <t>4955</t>
  </si>
  <si>
    <t>4958</t>
  </si>
  <si>
    <t>5056</t>
  </si>
  <si>
    <t>Lê Bảo Hạnh</t>
  </si>
  <si>
    <t>5074</t>
  </si>
  <si>
    <t>Trần Văn Vũ Luân</t>
  </si>
  <si>
    <t>5144</t>
  </si>
  <si>
    <t>Ngô Văn Hoàn</t>
  </si>
  <si>
    <t>5143</t>
  </si>
  <si>
    <t>Trần Công Danh</t>
  </si>
  <si>
    <t>5142</t>
  </si>
  <si>
    <t xml:space="preserve">Paint Mixer B </t>
  </si>
  <si>
    <t>5181</t>
  </si>
  <si>
    <t>5193</t>
  </si>
  <si>
    <t>5271</t>
  </si>
  <si>
    <t>Dương Văn Sang</t>
  </si>
  <si>
    <t>5385</t>
  </si>
  <si>
    <t>Dương Hoàng Khang</t>
  </si>
  <si>
    <t>5397</t>
  </si>
  <si>
    <t>Nguyễn Văn Điệp</t>
  </si>
  <si>
    <t>5398</t>
  </si>
  <si>
    <t>Nguyễn Hồng Hào</t>
  </si>
  <si>
    <t>5399</t>
  </si>
  <si>
    <t>Phạm Vĩnh Phúc</t>
  </si>
  <si>
    <t>40459</t>
  </si>
  <si>
    <t>Nguyễn Hoàng Huynh</t>
  </si>
  <si>
    <t>40596</t>
  </si>
  <si>
    <t>Trương Bá Tiến</t>
  </si>
  <si>
    <t>40597</t>
  </si>
  <si>
    <t>Nguyễn Hữu Bi</t>
  </si>
  <si>
    <t>40599</t>
  </si>
  <si>
    <t>Trần Văn Khiêm</t>
  </si>
  <si>
    <t>4832</t>
  </si>
  <si>
    <t>Nguyễn Văn Hà</t>
  </si>
  <si>
    <t>5054</t>
  </si>
  <si>
    <t>5063</t>
  </si>
  <si>
    <t>Lê Minh Cum</t>
  </si>
  <si>
    <t>4827</t>
  </si>
  <si>
    <t>Đào Văn Tuấn Cảnh</t>
  </si>
  <si>
    <t>5259</t>
  </si>
  <si>
    <t>Phạm Duy Khánh</t>
  </si>
  <si>
    <t>5270</t>
  </si>
  <si>
    <t>Hà Chí Vĩ</t>
  </si>
  <si>
    <t>4822</t>
  </si>
  <si>
    <t>5320</t>
  </si>
  <si>
    <t>Ngô Trọng Phúc</t>
  </si>
  <si>
    <t>40698</t>
  </si>
  <si>
    <t>5400</t>
  </si>
  <si>
    <t>Châu Văn Kiệt</t>
  </si>
  <si>
    <t>5404</t>
  </si>
  <si>
    <t>Nguyễn Văn Cành</t>
  </si>
  <si>
    <t>5403</t>
  </si>
  <si>
    <t>Dương Văn Thêm</t>
  </si>
  <si>
    <t>5402</t>
  </si>
  <si>
    <t>40497</t>
  </si>
  <si>
    <t>Thái Phước Thịnh</t>
  </si>
  <si>
    <t>40647</t>
  </si>
  <si>
    <t>Nguyễn Huy Tiến</t>
  </si>
  <si>
    <t>40649</t>
  </si>
  <si>
    <t>Phan Hoàng Phúc</t>
  </si>
  <si>
    <t>40650</t>
  </si>
  <si>
    <t>Lê Thiên Hậu</t>
  </si>
  <si>
    <t>40663</t>
  </si>
  <si>
    <t>Hoàng Văn Sung</t>
  </si>
  <si>
    <t>40669</t>
  </si>
  <si>
    <t>Lê Vỉnh Khang</t>
  </si>
  <si>
    <t>40670</t>
  </si>
  <si>
    <t>Trần Văn Được</t>
  </si>
  <si>
    <t>40673</t>
  </si>
  <si>
    <t>Lê Văn Quý</t>
  </si>
  <si>
    <t>40685</t>
  </si>
  <si>
    <t>Lê Hoàng Duy</t>
  </si>
  <si>
    <t>40686</t>
  </si>
  <si>
    <t>Nguyễn Quí Tài</t>
  </si>
  <si>
    <t>40689</t>
  </si>
  <si>
    <t>Hà Văn Tý</t>
  </si>
  <si>
    <t>40691</t>
  </si>
  <si>
    <t>Lê Nhựt Thanh</t>
  </si>
  <si>
    <t>40692</t>
  </si>
  <si>
    <t>Nguyễn Thanh Tuấn</t>
  </si>
  <si>
    <t>40693</t>
  </si>
  <si>
    <t>Huỳnh Minh Luân</t>
  </si>
  <si>
    <t>40694</t>
  </si>
  <si>
    <t>Dương Anh Phúc</t>
  </si>
  <si>
    <t>40710</t>
  </si>
  <si>
    <t>Sơn Tú Thanh</t>
  </si>
  <si>
    <t>40679</t>
  </si>
  <si>
    <t>Du Tô Bầu</t>
  </si>
  <si>
    <t>40621</t>
  </si>
  <si>
    <t>Nguyễn Thanh Huy</t>
  </si>
  <si>
    <t xml:space="preserve">Sử Dụng Vật 
Sắc Nhọn </t>
  </si>
  <si>
    <t>4383</t>
  </si>
  <si>
    <t>Graphics Inspector/Repair Man</t>
  </si>
  <si>
    <t>Repair Man</t>
  </si>
  <si>
    <t>4289</t>
  </si>
  <si>
    <t>Nguyễn Thị Ngọc Mai</t>
  </si>
  <si>
    <t>Printer B</t>
  </si>
  <si>
    <t>4848</t>
  </si>
  <si>
    <t>Đào Thị Kim Thi</t>
  </si>
  <si>
    <t>5009</t>
  </si>
  <si>
    <t>Trần Thị Mỹ Quỳnh</t>
  </si>
  <si>
    <t>Printer C</t>
  </si>
  <si>
    <t>Decal Operator A</t>
  </si>
  <si>
    <t>Decal Operator</t>
  </si>
  <si>
    <t>Trần Thúy Liễu</t>
  </si>
  <si>
    <t>5179</t>
  </si>
  <si>
    <t>Hoàng Thị Thanh Vân</t>
  </si>
  <si>
    <t>Decal Operator B</t>
  </si>
  <si>
    <t>5303</t>
  </si>
  <si>
    <t>5344</t>
  </si>
  <si>
    <t>Nguyễn My Na</t>
  </si>
  <si>
    <t>5355</t>
  </si>
  <si>
    <t>Đặng Thị Trinh</t>
  </si>
  <si>
    <t>5371</t>
  </si>
  <si>
    <t>Trần Thị Huyền Trang</t>
  </si>
  <si>
    <t>40196</t>
  </si>
  <si>
    <t>Hồ Thị Trang</t>
  </si>
  <si>
    <t>40417</t>
  </si>
  <si>
    <t>Nguyễn Thị Như Yên</t>
  </si>
  <si>
    <t>40516</t>
  </si>
  <si>
    <t>Lê Thị Như Ý</t>
  </si>
  <si>
    <t>5395</t>
  </si>
  <si>
    <t>Nguyễn Hoàng Hưng</t>
  </si>
  <si>
    <t>40594</t>
  </si>
  <si>
    <t>Nguyễn Thị Thùy Uyên</t>
  </si>
  <si>
    <t>5067</t>
  </si>
  <si>
    <t>Nguyễn Thị Diện</t>
  </si>
  <si>
    <t>5128</t>
  </si>
  <si>
    <t>Nguyễn Thị Ẩn</t>
  </si>
  <si>
    <t>Printer A</t>
  </si>
  <si>
    <t>5243</t>
  </si>
  <si>
    <t>Huỳnh Kim Mỵ</t>
  </si>
  <si>
    <t>5282</t>
  </si>
  <si>
    <t>5280</t>
  </si>
  <si>
    <t>Lê Thị Mỹ Tho</t>
  </si>
  <si>
    <t>5333</t>
  </si>
  <si>
    <t>Nguyễn Thị Hiền</t>
  </si>
  <si>
    <t>4741</t>
  </si>
  <si>
    <t>Trần Văn Lợi</t>
  </si>
  <si>
    <t>5372</t>
  </si>
  <si>
    <t>Lê Thị Thu Trang</t>
  </si>
  <si>
    <t>40301</t>
  </si>
  <si>
    <t>Nguyễn Thị Ngọc Hân</t>
  </si>
  <si>
    <t>40399</t>
  </si>
  <si>
    <t>Trần Thị Mỹ Tiên</t>
  </si>
  <si>
    <t>40458</t>
  </si>
  <si>
    <t>Trần Văn Linh</t>
  </si>
  <si>
    <t>40482</t>
  </si>
  <si>
    <t>Trương Thị Thu Yến</t>
  </si>
  <si>
    <t>40506</t>
  </si>
  <si>
    <t>Lý Thanh Phú</t>
  </si>
  <si>
    <t>40184</t>
  </si>
  <si>
    <t>Huỳnh Thị Yến Nhi</t>
  </si>
  <si>
    <t>40395</t>
  </si>
  <si>
    <t>Nguyễn Hoàng Kiệt</t>
  </si>
  <si>
    <t>5394</t>
  </si>
  <si>
    <t>Châu Thoại Mỹ</t>
  </si>
  <si>
    <t>2376</t>
  </si>
  <si>
    <t>Trần Thị Cẩm Giang</t>
  </si>
  <si>
    <t>5222</t>
  </si>
  <si>
    <t>5258</t>
  </si>
  <si>
    <t>Nguyễn Thị Vàng</t>
  </si>
  <si>
    <t>5281</t>
  </si>
  <si>
    <t>4686</t>
  </si>
  <si>
    <t>Trương Cẩm Nguyên</t>
  </si>
  <si>
    <t>5345</t>
  </si>
  <si>
    <t>Nguyễn Kim Thương</t>
  </si>
  <si>
    <t>40631</t>
  </si>
  <si>
    <t>Trần Thị Chanh Đa</t>
  </si>
  <si>
    <t>40630</t>
  </si>
  <si>
    <t>Trần Ngọc Diễm</t>
  </si>
  <si>
    <t>40407</t>
  </si>
  <si>
    <t>Phạm Thị Kim Âu</t>
  </si>
  <si>
    <t>40521</t>
  </si>
  <si>
    <t>Nguyễn Thanh Trúc</t>
  </si>
  <si>
    <t>40540</t>
  </si>
  <si>
    <t>Nguyễn Ngọc Thiện</t>
  </si>
  <si>
    <t>40327</t>
  </si>
  <si>
    <t>Nguyễn Thị Quỳnh Như</t>
  </si>
  <si>
    <t xml:space="preserve">Thai Sản </t>
  </si>
  <si>
    <t>4737</t>
  </si>
  <si>
    <t>Nguyễn Thị Kiều Nghi</t>
  </si>
  <si>
    <t>40653</t>
  </si>
  <si>
    <t>Nguyễn Thị Mai Phương</t>
  </si>
  <si>
    <t>40713</t>
  </si>
  <si>
    <t>Lương Thị Chi</t>
  </si>
  <si>
    <t>40659</t>
  </si>
  <si>
    <t>Phạm Quyền Trang</t>
  </si>
  <si>
    <t>40665</t>
  </si>
  <si>
    <t>Trịnh Xuân Mai</t>
  </si>
  <si>
    <t>40674</t>
  </si>
  <si>
    <t>Đỗ Phương Lợi</t>
  </si>
  <si>
    <t>40611</t>
  </si>
  <si>
    <t>Đinh Thị Diễm</t>
  </si>
  <si>
    <t>Lò sấy nhỏ</t>
  </si>
  <si>
    <t>Zigzag Rolling Operator A</t>
  </si>
  <si>
    <t>2842</t>
  </si>
  <si>
    <t>Mandrel Puller/Extractor</t>
  </si>
  <si>
    <t>1485</t>
  </si>
  <si>
    <t>5263</t>
  </si>
  <si>
    <t>5313</t>
  </si>
  <si>
    <t>5312</t>
  </si>
  <si>
    <t>5327</t>
  </si>
  <si>
    <t>5340</t>
  </si>
  <si>
    <t>Lê Ngọc Thảo</t>
  </si>
  <si>
    <t>Zigzag Rolling Operator B</t>
  </si>
  <si>
    <t>5347</t>
  </si>
  <si>
    <t>Mai Chí Kiệt</t>
  </si>
  <si>
    <t>40268</t>
  </si>
  <si>
    <t>5387</t>
  </si>
  <si>
    <t>Trần Vũ Hảo</t>
  </si>
  <si>
    <t>40510</t>
  </si>
  <si>
    <t>40545</t>
  </si>
  <si>
    <t>Kunh Thia</t>
  </si>
  <si>
    <t>40547</t>
  </si>
  <si>
    <t>Chau Đa Rô</t>
  </si>
  <si>
    <t>40586</t>
  </si>
  <si>
    <t>Trần Hoàng Nhựt</t>
  </si>
  <si>
    <t>4926</t>
  </si>
  <si>
    <t>Gọt Cello</t>
  </si>
  <si>
    <t>5314</t>
  </si>
  <si>
    <t>Lê Văn Hòa</t>
  </si>
  <si>
    <t>5350</t>
  </si>
  <si>
    <t>40437</t>
  </si>
  <si>
    <t>5378</t>
  </si>
  <si>
    <t>Nguyễn Văn Truyền</t>
  </si>
  <si>
    <t>Grinder Operator B</t>
  </si>
  <si>
    <t>40313</t>
  </si>
  <si>
    <t>Phan Thị Mỹ Ngọc</t>
  </si>
  <si>
    <t>5380</t>
  </si>
  <si>
    <t>Nguyễn Văn Thơi</t>
  </si>
  <si>
    <t>40524</t>
  </si>
  <si>
    <t>Nguyễn Chí Nhã</t>
  </si>
  <si>
    <t>40539</t>
  </si>
  <si>
    <t>Bùi Thị Thảo</t>
  </si>
  <si>
    <t>5126</t>
  </si>
  <si>
    <t>Thái Quốc Quang</t>
  </si>
  <si>
    <t>5349</t>
  </si>
  <si>
    <t>Nguyễn Trọng Phúc</t>
  </si>
  <si>
    <t>40461</t>
  </si>
  <si>
    <t>Huỳnh Ngọc Tuấn</t>
  </si>
  <si>
    <t>5218</t>
  </si>
  <si>
    <t xml:space="preserve">Repair/ BNT Rebent </t>
  </si>
  <si>
    <t>Đánh dấu điểm cong</t>
  </si>
  <si>
    <t>Grinder Operator A</t>
  </si>
  <si>
    <t>Dual Saw Opeator</t>
  </si>
  <si>
    <t>5311</t>
  </si>
  <si>
    <t>Ngô Văn Vũ</t>
  </si>
  <si>
    <t>5379</t>
  </si>
  <si>
    <t>Lê Thị Ly</t>
  </si>
  <si>
    <t>40038</t>
  </si>
  <si>
    <t>Nguyễn Mẫn Nghi</t>
  </si>
  <si>
    <t>40079</t>
  </si>
  <si>
    <t>Bùi Thị Hoàng Oanh</t>
  </si>
  <si>
    <t>40092</t>
  </si>
  <si>
    <t>Nguyễn Thị Diễm Xuân</t>
  </si>
  <si>
    <t>40466</t>
  </si>
  <si>
    <t>Đoàn Hữu Khánh</t>
  </si>
  <si>
    <t>40487</t>
  </si>
  <si>
    <t>5212</t>
  </si>
  <si>
    <t>Ice Coater B</t>
  </si>
  <si>
    <t>5239</t>
  </si>
  <si>
    <t>5264</t>
  </si>
  <si>
    <t>4621</t>
  </si>
  <si>
    <t>Trần Thị Nhi</t>
  </si>
  <si>
    <t>5339</t>
  </si>
  <si>
    <t>Nguyễn Văn Lam</t>
  </si>
  <si>
    <t>40465</t>
  </si>
  <si>
    <t>Phan Thị Yến Nhi</t>
  </si>
  <si>
    <t>40571</t>
  </si>
  <si>
    <t>Phạm Thị Thanh Nga</t>
  </si>
  <si>
    <t>3225</t>
  </si>
  <si>
    <t>Trần Thị Hiền</t>
  </si>
  <si>
    <t>5177</t>
  </si>
  <si>
    <t>Nguyễn Công Trí</t>
  </si>
  <si>
    <t>5217</t>
  </si>
  <si>
    <t>5296</t>
  </si>
  <si>
    <t>Lê Thị Quỳnh Như</t>
  </si>
  <si>
    <t>5325</t>
  </si>
  <si>
    <t>Nguyễn Thị Thảo</t>
  </si>
  <si>
    <t>5338</t>
  </si>
  <si>
    <t>Phạm Hoàng Long</t>
  </si>
  <si>
    <t>5368</t>
  </si>
  <si>
    <t>40080</t>
  </si>
  <si>
    <t>Lê Thị Kim Tuyền</t>
  </si>
  <si>
    <t>Tháo băng keo</t>
  </si>
  <si>
    <t>40091</t>
  </si>
  <si>
    <t>40099</t>
  </si>
  <si>
    <t>Quấn băng keo</t>
  </si>
  <si>
    <t>5382</t>
  </si>
  <si>
    <t>Trần Minh Trung</t>
  </si>
  <si>
    <t>40292</t>
  </si>
  <si>
    <t>Trương Thị Kim Ngân</t>
  </si>
  <si>
    <t>5348</t>
  </si>
  <si>
    <t>Đinh Thị Thêm</t>
  </si>
  <si>
    <t>5309</t>
  </si>
  <si>
    <t>40592</t>
  </si>
  <si>
    <t>Lê Thị Huyền Trân</t>
  </si>
  <si>
    <t>40623</t>
  </si>
  <si>
    <t>Trương Hồng Quân</t>
  </si>
  <si>
    <t>40624</t>
  </si>
  <si>
    <t>Xe nâng 
Prepreg</t>
  </si>
  <si>
    <t>5216</t>
  </si>
  <si>
    <t>5231</t>
  </si>
  <si>
    <t>40346</t>
  </si>
  <si>
    <t>Nguyễn Duy Khang</t>
  </si>
  <si>
    <t>40334</t>
  </si>
  <si>
    <t>Trần Nguyễn Hữu Hiệp</t>
  </si>
  <si>
    <t>40485</t>
  </si>
  <si>
    <t>Nguyễn Thành Luật</t>
  </si>
  <si>
    <t>5381</t>
  </si>
  <si>
    <t>Hứa Thành Đại</t>
  </si>
  <si>
    <t>40431</t>
  </si>
  <si>
    <t>Nguyễn Phước Hiếu</t>
  </si>
  <si>
    <t xml:space="preserve">Nguyễn Minh Vương </t>
  </si>
  <si>
    <t>40548</t>
  </si>
  <si>
    <t>Trần Văn Huỳnh</t>
  </si>
  <si>
    <t>40471</t>
  </si>
  <si>
    <t>Phạm Chí Vỹ</t>
  </si>
  <si>
    <t>40616</t>
  </si>
  <si>
    <t>Trần Nguyễn Thanh Nhớ</t>
  </si>
  <si>
    <t>40605</t>
  </si>
  <si>
    <t>Đoàn Minh Khánh</t>
  </si>
  <si>
    <t>40305</t>
  </si>
  <si>
    <t>Dương Văn An</t>
  </si>
  <si>
    <t>40436</t>
  </si>
  <si>
    <t>Nguyễn Phi Hùng</t>
  </si>
  <si>
    <t>Máy Đo 
Độ Võng
 (SPINE)</t>
  </si>
  <si>
    <t>Máy Tìm 
Điểm Cứng 
(SPINE FINDER)</t>
  </si>
  <si>
    <t>Máy Kiểm 
Tra Độ Bền
 (PROOF LOAD)</t>
  </si>
  <si>
    <t>Cân Weight 
Đơn (CG)</t>
  </si>
  <si>
    <t>Cân Weight 
Tự Động 
(CG)</t>
  </si>
  <si>
    <t>Máy Đo 
Độ Cong 
(ZONE)</t>
  </si>
  <si>
    <t>Máy 
Soi Đầu
 TIP - Apple</t>
  </si>
  <si>
    <t>Máy Đo 
OD (Z-Mike)</t>
  </si>
  <si>
    <t>Máy Đo 
Ortho Flex</t>
  </si>
  <si>
    <t>Bảng Đo 
Ortho Flex</t>
  </si>
  <si>
    <t>Máy Kiểm Tra 
Giao Động 
(FREQUENCY)</t>
  </si>
  <si>
    <t>Máy Kiểm Tra 
Độ Gãy 
(BENDING TEST)</t>
  </si>
  <si>
    <t>Máy Kiểm Tra 
Độ Xoắn 
(TORQUE)</t>
  </si>
  <si>
    <t>Máy 
Auto Inspection 
Golf Shaft</t>
  </si>
  <si>
    <t>Máy Đo 
Độ Cong
 3 Điểm</t>
  </si>
  <si>
    <t>Máy Cắt
 Đầu Flex</t>
  </si>
  <si>
    <t>Máy Đo 
HST Flex</t>
  </si>
  <si>
    <t>Máy Kiểm Tra 
Độ Bền Sơn</t>
  </si>
  <si>
    <t>Máy Kiểm Tra 
Độ Bền Sơn 
(RUBTEST)</t>
  </si>
  <si>
    <t>Máy Kiểm Tra 
Độ Bền Sơn 
(FALLING SAND)</t>
  </si>
  <si>
    <t>Máy Đo 
Mandrel</t>
  </si>
  <si>
    <t>In Process QC Inspector B</t>
  </si>
  <si>
    <t>Visual Inspector B</t>
  </si>
  <si>
    <t>Zoning Operator B</t>
  </si>
  <si>
    <t>Phạm Ngọc Lợi</t>
  </si>
  <si>
    <t>Lê Minh Trường</t>
  </si>
  <si>
    <t>QC Helper</t>
  </si>
  <si>
    <t>Trương Anh Vĩnh Thái</t>
  </si>
  <si>
    <t>Arrow QC Graphics</t>
  </si>
  <si>
    <t>Nguyễn Thị Tiền</t>
  </si>
  <si>
    <t>Đỗ Kiều Thương</t>
  </si>
  <si>
    <t>Nguyễn Tấn Phát</t>
  </si>
  <si>
    <t>Đổ Văn Tính</t>
  </si>
  <si>
    <t>Nguyễn Văn Trọng</t>
  </si>
  <si>
    <t>QC Data Staff</t>
  </si>
  <si>
    <t>Material Testing/ IQC Technician A</t>
  </si>
  <si>
    <t>Lê Thị Diễm Thúy</t>
  </si>
  <si>
    <t>Measuring Equipment Operator B</t>
  </si>
  <si>
    <t>Measuring Equipment Operator A</t>
  </si>
  <si>
    <t>Hồ Văn Nhật</t>
  </si>
  <si>
    <t>Phạm Ngọc Trọng</t>
  </si>
  <si>
    <t>Nguyễn Tấn Lên</t>
  </si>
  <si>
    <t>Trần Thị Anh Vi</t>
  </si>
  <si>
    <t>Trần Thị Như Ý</t>
  </si>
  <si>
    <t>Nguyễn Khánh Duy</t>
  </si>
  <si>
    <t>Phan Thị Dung</t>
  </si>
  <si>
    <t>Đinh Thúy Vy</t>
  </si>
  <si>
    <t>Trần Lê Thanh Nghĩa</t>
  </si>
  <si>
    <t>Nguyễn Thị Lệ Thủy</t>
  </si>
  <si>
    <t>Nguyễn Thị Kiều Hạnh</t>
  </si>
  <si>
    <t>Basecoat Inspector/Repair Man</t>
  </si>
  <si>
    <t>Lưu Thị Kim Quyên</t>
  </si>
  <si>
    <t>Phạm Minh Tuyển</t>
  </si>
  <si>
    <t>Visual Inspector A</t>
  </si>
  <si>
    <t>Phạm Thị Ngọc Ánh</t>
  </si>
  <si>
    <t>Trần Thị Kiều Oanh</t>
  </si>
  <si>
    <t>Nguyễn Văn Tuấn</t>
  </si>
  <si>
    <t>Nguyễn Thị Nhí</t>
  </si>
  <si>
    <t>Nguyễn Thị Thanh Thúy</t>
  </si>
  <si>
    <t>Trần Thị Nhung</t>
  </si>
  <si>
    <t>Lâm Nhựt Quang</t>
  </si>
  <si>
    <t>Trần Mộng Nghi</t>
  </si>
  <si>
    <t>Kim Thái Việt</t>
  </si>
  <si>
    <t>Nguyễn Hoàng Vũ</t>
  </si>
  <si>
    <t>Trần Tấn Hưng</t>
  </si>
  <si>
    <t>Nguyễn Bảo Duy</t>
  </si>
  <si>
    <t>Đinh Quốc Khánh</t>
  </si>
  <si>
    <t>Dương Kim Nguyên</t>
  </si>
  <si>
    <t>Trần Văn Cương</t>
  </si>
  <si>
    <t>Huỳnh Thị Thúy Kiều</t>
  </si>
  <si>
    <t>Phạm Minh Tuấn</t>
  </si>
  <si>
    <t>Nguyễn Thị Thúy</t>
  </si>
  <si>
    <t>Nguyễn Trần Trọng Phúc</t>
  </si>
  <si>
    <t>Phạm Thị Thúy Nhi</t>
  </si>
  <si>
    <t>Ngô Tuấn Kiệt</t>
  </si>
  <si>
    <t>Dương Thị Mai Đào</t>
  </si>
  <si>
    <t>Vũ Thanh Hảo</t>
  </si>
  <si>
    <t>Trần Thị Thu Hoài</t>
  </si>
  <si>
    <t>Nguyễn Tấn Khang</t>
  </si>
  <si>
    <t>OQC Leader</t>
  </si>
  <si>
    <t>Trần Ngọc Nguyên</t>
  </si>
  <si>
    <t>Quality Measurement Technician</t>
  </si>
  <si>
    <t>OQC Visual inspector B</t>
  </si>
  <si>
    <t>OQC Visual inspector A</t>
  </si>
  <si>
    <t>OQC Visual Inspector B</t>
  </si>
  <si>
    <t>Huỳnh Thị Khả Vi</t>
  </si>
  <si>
    <t>Huỳnh Minh Đương</t>
  </si>
  <si>
    <t>Huỳnh Quốc Khánh</t>
  </si>
  <si>
    <t>No.</t>
  </si>
  <si>
    <t>Joint Date</t>
  </si>
  <si>
    <t>ID</t>
  </si>
  <si>
    <t>Full Name</t>
  </si>
  <si>
    <t xml:space="preserve">Job Tittle </t>
  </si>
  <si>
    <t>Dept.</t>
  </si>
  <si>
    <t>Shift</t>
  </si>
  <si>
    <t>Update: 06/08/2026</t>
  </si>
  <si>
    <t>TS home</t>
  </si>
  <si>
    <t>Đang nghỉ thai sản 2/1/2026-2/7/2026</t>
  </si>
  <si>
    <t>Đang nghỉ thai sản 2/2/2026-&gt;31/7/2026</t>
  </si>
  <si>
    <t>Đang nghỉ thai sản 23/2/2026-&gt;23/8/2026</t>
  </si>
  <si>
    <t>Đang nghỉ thai sản 13/3/2026-13/9/2026</t>
  </si>
  <si>
    <t>5365</t>
  </si>
  <si>
    <t>Huỳnh Trần Thanh Bình</t>
  </si>
  <si>
    <t>Manufacturing Manager</t>
  </si>
  <si>
    <t>Manufacturing</t>
  </si>
  <si>
    <t>NS</t>
  </si>
  <si>
    <t>4361</t>
  </si>
  <si>
    <t>Manufacturing Assistant Manager</t>
  </si>
  <si>
    <t>0015</t>
  </si>
  <si>
    <t>Võ Hùng Anh</t>
  </si>
  <si>
    <t>3087</t>
  </si>
  <si>
    <t>Trần Văn Lập</t>
  </si>
  <si>
    <t>4456</t>
  </si>
  <si>
    <t>Nguyễn Chí Thạnh</t>
  </si>
  <si>
    <t>Manufacturing Trainer</t>
  </si>
  <si>
    <t>S1</t>
  </si>
  <si>
    <t>3955</t>
  </si>
  <si>
    <t>Nguyễn Thị Thanh Thủy</t>
  </si>
  <si>
    <t>Data Entry Clerk</t>
  </si>
  <si>
    <t>4516</t>
  </si>
  <si>
    <t>Huỳnh Thị Kim Phụng</t>
  </si>
  <si>
    <t>Production Entry Staff</t>
  </si>
  <si>
    <t>3704</t>
  </si>
  <si>
    <t>Nguyễn Thị Yến Ngân</t>
  </si>
  <si>
    <t>Manufacturing Golf Supervisor</t>
  </si>
  <si>
    <t>S3</t>
  </si>
  <si>
    <t>1517</t>
  </si>
  <si>
    <t>Lưu Đức Dũng</t>
  </si>
  <si>
    <t>5250</t>
  </si>
  <si>
    <t>Lê Phát Tiến</t>
  </si>
  <si>
    <t>S2</t>
  </si>
  <si>
    <t>2098</t>
  </si>
  <si>
    <t>Nguyễn Chí Long</t>
  </si>
  <si>
    <t>Chuyển chức danh mới 11.2024</t>
  </si>
  <si>
    <t>Chuyển chức danh mới 3.2025</t>
  </si>
  <si>
    <t>Chuyển chức danh mới 10.2025</t>
  </si>
  <si>
    <t>Chuyển chức danh mới 5.2026</t>
  </si>
  <si>
    <t>Chuyển chức danh mới 2.2026</t>
  </si>
  <si>
    <t>S4</t>
  </si>
  <si>
    <t>Thai sản vào 18/4/2026</t>
  </si>
  <si>
    <t>Chuyển chức danh mới 7.2025</t>
  </si>
  <si>
    <t>Đi ca thai sản 28/5</t>
  </si>
  <si>
    <t>Thai sản vào 3/4/2026</t>
  </si>
  <si>
    <t>39970</t>
  </si>
  <si>
    <t>Nguyễn Thị Loan</t>
  </si>
  <si>
    <t>Chuyển chức danh mới 5.2025</t>
  </si>
  <si>
    <t>4366</t>
  </si>
  <si>
    <t>Phan Văn Quyết</t>
  </si>
  <si>
    <t>0604</t>
  </si>
  <si>
    <t>Nguyễn Văn Lục</t>
  </si>
  <si>
    <t>5082</t>
  </si>
  <si>
    <t>Nguyễn Thanh Nam</t>
  </si>
  <si>
    <t>Đi ca hành chánh</t>
  </si>
  <si>
    <t>5221</t>
  </si>
  <si>
    <t>Trịnh Thị Kiều Anh</t>
  </si>
  <si>
    <t>Tip Blast Operator A</t>
  </si>
  <si>
    <t>Buffing Operator A</t>
  </si>
  <si>
    <t>Thai sản vào làm lại 9/2/2026</t>
  </si>
  <si>
    <t>Nhận từ ENG ngày 1/1/2026</t>
  </si>
  <si>
    <t>Đi ca thai sản ngày 21/5</t>
  </si>
  <si>
    <t>Inventory Clerk-VW</t>
  </si>
  <si>
    <t>Rework WO Clerk</t>
  </si>
  <si>
    <t>S8</t>
  </si>
  <si>
    <t>4809</t>
  </si>
  <si>
    <t>Nguyễn Hữu Sáng</t>
  </si>
  <si>
    <t>Manufacturing Arrow Supervisor</t>
  </si>
  <si>
    <t>5366</t>
  </si>
  <si>
    <t>Khưu Khánh Tường</t>
  </si>
  <si>
    <t>4940</t>
  </si>
  <si>
    <t>Liêu Kim Tuyến</t>
  </si>
  <si>
    <t>TS</t>
  </si>
  <si>
    <t>Thai sản vào làm lại 17/1/2026</t>
  </si>
  <si>
    <t>STOP 30/6</t>
  </si>
  <si>
    <t>Đang đi ca thai sản ngày 31/5/2026</t>
  </si>
  <si>
    <t>4941</t>
  </si>
  <si>
    <t>Nguyễn Thị Hoàn Oanh</t>
  </si>
  <si>
    <t>Inventory Clerk-AZ/AW</t>
  </si>
  <si>
    <t>40171</t>
  </si>
  <si>
    <t>Nguyễn Bá Quang</t>
  </si>
  <si>
    <t>40400</t>
  </si>
  <si>
    <t>Lã Văn Tuấn</t>
  </si>
  <si>
    <t>Female</t>
  </si>
  <si>
    <t>Male</t>
  </si>
  <si>
    <t>Seasonal Female</t>
  </si>
  <si>
    <t>Seasonal Male</t>
  </si>
  <si>
    <t>Tô màu mã số nhân viên</t>
  </si>
  <si>
    <t>Màu xanh ngọc:  công nhân chuyển từ thời vụ qua chính thức vào mỗi tháng</t>
  </si>
  <si>
    <t>Màu vàng: công nhân đổi mã số ID hàng tháng</t>
  </si>
  <si>
    <t>Màu tím : công nhân thời vụ</t>
  </si>
  <si>
    <t>Màu xanh dương: Team, Leader</t>
  </si>
  <si>
    <t>Màu cam: công nhân mới nhận việc trong tháng</t>
  </si>
  <si>
    <t>Màu xám: công nhân nghỉ thai sản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</si>
</sst>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[$-101042A]d\ mmm\ yy;@"/>
    <numFmt numFmtId="165" formatCode="[$-409]d\-mmm\-yy;@"/>
    <numFmt numFmtId="166" formatCode="[$-409]dd\-mmm\-yy;@"/>
    <numFmt numFmtId="167" formatCode="mm/dd/yy;@"/>
    <numFmt numFmtId="168" formatCode="_-* #,##0_-;\-* #,##0_-;_-* &quot;-&quot;_-;_-@_-"/>
    <numFmt numFmtId="169" formatCode="_-* #,##0.00_-;\-* #,##0.00_-;_-* &quot;-&quot;??_-;_-@_-"/>
    <numFmt numFmtId="170" formatCode="\$#,##0\ ;\(\$#,##0\)"/>
    <numFmt numFmtId="171" formatCode="_([$€-2]* #,##0.00_);_([$€-2]* \(#,##0.00\);_([$€-2]* &quot;-&quot;??_)"/>
    <numFmt numFmtId="172" formatCode="#,##0\ &quot;$&quot;_);[Red]\(#,##0\ &quot;$&quot;\)"/>
    <numFmt numFmtId="173" formatCode="&quot;$&quot;###,0&quot;.&quot;00_);[Red]\(&quot;$&quot;###,0&quot;.&quot;00\)"/>
    <numFmt numFmtId="174" formatCode="&quot;\&quot;#,##0;[Red]&quot;\&quot;&quot;\&quot;\-#,##0"/>
    <numFmt numFmtId="175" formatCode="&quot;\&quot;#,##0.00;[Red]&quot;\&quot;&quot;\&quot;&quot;\&quot;&quot;\&quot;&quot;\&quot;&quot;\&quot;\-#,##0.00"/>
    <numFmt numFmtId="176" formatCode="&quot;\&quot;#,##0.00;[Red]&quot;\&quot;\-#,##0.00"/>
    <numFmt numFmtId="177" formatCode="&quot;\&quot;#,##0;[Red]&quot;\&quot;\-#,##0"/>
    <numFmt numFmtId="178" formatCode="_-&quot;$&quot;* #,##0_-;\-&quot;$&quot;* #,##0_-;_-&quot;$&quot;* &quot;-&quot;_-;_-@_-"/>
    <numFmt numFmtId="179" formatCode="&quot;$&quot;#,##0;[Red]\-&quot;$&quot;#,##0"/>
    <numFmt numFmtId="180" formatCode="_-&quot;$&quot;* #,##0.00_-;\-&quot;$&quot;* #,##0.00_-;_-&quot;$&quot;* &quot;-&quot;??_-;_-@_-"/>
  </numFmts>
  <fonts count="66">
    <font>
      <sz val="11"/>
      <color theme="1"/>
      <name val="Calibri"/>
      <family val="2"/>
      <scheme val="minor"/>
    </font>
    <font>
      <b/>
      <sz val="2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Wingdings"/>
      <charset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FF0000"/>
      <name val="Arial"/>
      <family val="2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indexed="8"/>
      <name val="Times New Roman"/>
      <family val="1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sz val="10"/>
      <name val="Calibri"/>
      <family val="2"/>
      <scheme val="minor"/>
    </font>
    <font>
      <sz val="10"/>
      <color rgb="FFEE0000"/>
      <name val="Arial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3"/>
      <name val="Wingdings"/>
      <charset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i/>
      <sz val="11"/>
      <color theme="3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3"/>
      <name val="Aptos Narrow"/>
      <family val="2"/>
    </font>
    <font>
      <sz val="10"/>
      <name val="Arial"/>
      <family val="2"/>
      <charset val="163"/>
    </font>
    <font>
      <sz val="10"/>
      <name val="MS Sans Serif"/>
      <family val="2"/>
    </font>
    <font>
      <sz val="10"/>
      <name val=" "/>
      <family val="1"/>
      <charset val="136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sz val="9"/>
      <name val="Arial"/>
      <family val="2"/>
    </font>
    <font>
      <sz val="12"/>
      <name val="新細明體"/>
      <charset val="136"/>
    </font>
    <font>
      <sz val="12"/>
      <name val="Courier"/>
      <family val="3"/>
    </font>
    <font>
      <sz val="10"/>
      <name val="VNTime"/>
      <charset val="136"/>
    </font>
    <font>
      <sz val="8"/>
      <color indexed="8"/>
      <name val="Tahoma"/>
      <family val="2"/>
    </font>
    <font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95B3D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5">
    <xf numFmtId="0" fontId="0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5" fillId="0" borderId="0"/>
    <xf numFmtId="0" fontId="5" fillId="0" borderId="0"/>
    <xf numFmtId="9" fontId="11" fillId="0" borderId="0" applyFont="0" applyFill="0" applyBorder="0" applyAlignment="0" applyProtection="0"/>
    <xf numFmtId="0" fontId="50" fillId="0" borderId="0"/>
    <xf numFmtId="43" fontId="50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26" fillId="0" borderId="31" applyNumberFormat="0" applyAlignment="0" applyProtection="0">
      <alignment horizontal="left" vertical="center"/>
    </xf>
    <xf numFmtId="0" fontId="26" fillId="0" borderId="4">
      <alignment horizontal="left" vertical="center"/>
    </xf>
    <xf numFmtId="38" fontId="51" fillId="0" borderId="0" applyFont="0" applyFill="0" applyBorder="0" applyAlignment="0" applyProtection="0"/>
    <xf numFmtId="40" fontId="51" fillId="0" borderId="0" applyFont="0" applyFill="0" applyBorder="0" applyAlignment="0" applyProtection="0"/>
    <xf numFmtId="172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0" fontId="22" fillId="0" borderId="0" applyNumberFormat="0" applyFont="0" applyFill="0" applyAlignment="0"/>
    <xf numFmtId="0" fontId="51" fillId="0" borderId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9" fillId="0" borderId="0">
      <alignment vertical="center"/>
    </xf>
    <xf numFmtId="40" fontId="53" fillId="0" borderId="0" applyFont="0" applyFill="0" applyBorder="0" applyAlignment="0" applyProtection="0"/>
    <xf numFmtId="38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55" fillId="0" borderId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0" fontId="57" fillId="0" borderId="0"/>
    <xf numFmtId="0" fontId="58" fillId="0" borderId="0" applyProtection="0"/>
    <xf numFmtId="168" fontId="59" fillId="0" borderId="0" applyFont="0" applyFill="0" applyBorder="0" applyAlignment="0" applyProtection="0"/>
    <xf numFmtId="40" fontId="60" fillId="0" borderId="0" applyFont="0" applyFill="0" applyBorder="0" applyAlignment="0" applyProtection="0"/>
    <xf numFmtId="178" fontId="59" fillId="0" borderId="0" applyFont="0" applyFill="0" applyBorder="0" applyAlignment="0" applyProtection="0"/>
    <xf numFmtId="179" fontId="60" fillId="0" borderId="0" applyFont="0" applyFill="0" applyBorder="0" applyAlignment="0" applyProtection="0"/>
    <xf numFmtId="180" fontId="59" fillId="0" borderId="0" applyFont="0" applyFill="0" applyBorder="0" applyAlignment="0" applyProtection="0"/>
    <xf numFmtId="0" fontId="5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169" fontId="6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62" fillId="0" borderId="0"/>
    <xf numFmtId="0" fontId="11" fillId="0" borderId="0"/>
    <xf numFmtId="43" fontId="63" fillId="0" borderId="0" applyFont="0" applyFill="0" applyBorder="0" applyAlignment="0" applyProtection="0"/>
    <xf numFmtId="0" fontId="5" fillId="0" borderId="0"/>
    <xf numFmtId="0" fontId="5" fillId="0" borderId="0"/>
    <xf numFmtId="0" fontId="50" fillId="0" borderId="0"/>
    <xf numFmtId="166" fontId="11" fillId="0" borderId="0"/>
    <xf numFmtId="0" fontId="62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</cellStyleXfs>
  <cellXfs count="375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textRotation="180" wrapText="1"/>
    </xf>
    <xf numFmtId="0" fontId="2" fillId="0" borderId="1" xfId="0" applyFont="1" applyBorder="1" applyAlignment="1">
      <alignment horizontal="center" vertical="center" textRotation="180"/>
    </xf>
    <xf numFmtId="164" fontId="2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164" fontId="5" fillId="2" borderId="1" xfId="0" applyNumberFormat="1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4" fontId="13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49" fontId="13" fillId="2" borderId="1" xfId="0" applyNumberFormat="1" applyFont="1" applyFill="1" applyBorder="1" applyAlignment="1">
      <alignment horizontal="left" vertical="center" wrapText="1"/>
    </xf>
    <xf numFmtId="49" fontId="13" fillId="2" borderId="6" xfId="0" applyNumberFormat="1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/>
    </xf>
    <xf numFmtId="49" fontId="13" fillId="2" borderId="7" xfId="0" applyNumberFormat="1" applyFont="1" applyFill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14" fontId="13" fillId="3" borderId="1" xfId="0" applyNumberFormat="1" applyFont="1" applyFill="1" applyBorder="1" applyAlignment="1">
      <alignment horizontal="left" vertical="center" wrapText="1"/>
    </xf>
    <xf numFmtId="14" fontId="13" fillId="2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5" borderId="0" xfId="0" applyFont="1" applyFill="1" applyAlignment="1">
      <alignment vertical="center"/>
    </xf>
    <xf numFmtId="0" fontId="13" fillId="2" borderId="8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left"/>
    </xf>
    <xf numFmtId="0" fontId="20" fillId="0" borderId="1" xfId="0" applyFont="1" applyBorder="1"/>
    <xf numFmtId="14" fontId="19" fillId="0" borderId="1" xfId="0" applyNumberFormat="1" applyFont="1" applyBorder="1" applyAlignment="1">
      <alignment horizontal="left" vertical="center"/>
    </xf>
    <xf numFmtId="0" fontId="19" fillId="0" borderId="1" xfId="0" applyFont="1" applyBorder="1" applyAlignment="1">
      <alignment horizontal="left"/>
    </xf>
    <xf numFmtId="0" fontId="19" fillId="0" borderId="9" xfId="0" applyFont="1" applyBorder="1" applyAlignment="1">
      <alignment horizontal="left"/>
    </xf>
    <xf numFmtId="49" fontId="22" fillId="2" borderId="1" xfId="0" applyNumberFormat="1" applyFont="1" applyFill="1" applyBorder="1" applyAlignment="1">
      <alignment horizontal="left" wrapText="1"/>
    </xf>
    <xf numFmtId="49" fontId="22" fillId="2" borderId="1" xfId="0" quotePrefix="1" applyNumberFormat="1" applyFont="1" applyFill="1" applyBorder="1" applyAlignment="1">
      <alignment horizontal="left" wrapText="1"/>
    </xf>
    <xf numFmtId="49" fontId="22" fillId="2" borderId="6" xfId="0" applyNumberFormat="1" applyFont="1" applyFill="1" applyBorder="1" applyAlignment="1">
      <alignment horizontal="left" wrapText="1"/>
    </xf>
    <xf numFmtId="0" fontId="19" fillId="0" borderId="1" xfId="0" quotePrefix="1" applyFont="1" applyBorder="1" applyAlignment="1">
      <alignment horizontal="left"/>
    </xf>
    <xf numFmtId="14" fontId="19" fillId="0" borderId="1" xfId="0" applyNumberFormat="1" applyFont="1" applyBorder="1"/>
    <xf numFmtId="0" fontId="23" fillId="2" borderId="1" xfId="0" quotePrefix="1" applyFont="1" applyFill="1" applyBorder="1" applyAlignment="1">
      <alignment horizontal="left"/>
    </xf>
    <xf numFmtId="0" fontId="23" fillId="2" borderId="1" xfId="0" applyFont="1" applyFill="1" applyBorder="1" applyAlignment="1">
      <alignment horizontal="left"/>
    </xf>
    <xf numFmtId="49" fontId="22" fillId="2" borderId="6" xfId="0" quotePrefix="1" applyNumberFormat="1" applyFont="1" applyFill="1" applyBorder="1" applyAlignment="1">
      <alignment horizontal="left" wrapText="1"/>
    </xf>
    <xf numFmtId="49" fontId="22" fillId="2" borderId="7" xfId="0" applyNumberFormat="1" applyFont="1" applyFill="1" applyBorder="1" applyAlignment="1">
      <alignment horizontal="left" wrapText="1"/>
    </xf>
    <xf numFmtId="49" fontId="22" fillId="2" borderId="0" xfId="0" applyNumberFormat="1" applyFont="1" applyFill="1" applyAlignment="1">
      <alignment horizontal="left" wrapText="1"/>
    </xf>
    <xf numFmtId="49" fontId="22" fillId="2" borderId="0" xfId="0" quotePrefix="1" applyNumberFormat="1" applyFont="1" applyFill="1" applyAlignment="1">
      <alignment horizontal="left" wrapText="1"/>
    </xf>
    <xf numFmtId="49" fontId="22" fillId="0" borderId="1" xfId="0" quotePrefix="1" applyNumberFormat="1" applyFont="1" applyBorder="1" applyAlignment="1">
      <alignment horizontal="left" wrapText="1"/>
    </xf>
    <xf numFmtId="49" fontId="22" fillId="0" borderId="1" xfId="0" applyNumberFormat="1" applyFont="1" applyBorder="1" applyAlignment="1">
      <alignment horizontal="left" wrapText="1"/>
    </xf>
    <xf numFmtId="0" fontId="22" fillId="0" borderId="1" xfId="0" applyFont="1" applyBorder="1" applyAlignment="1">
      <alignment horizontal="left"/>
    </xf>
    <xf numFmtId="14" fontId="22" fillId="0" borderId="1" xfId="0" applyNumberFormat="1" applyFont="1" applyBorder="1" applyAlignment="1">
      <alignment horizontal="left" wrapText="1"/>
    </xf>
    <xf numFmtId="0" fontId="23" fillId="3" borderId="1" xfId="0" quotePrefix="1" applyFont="1" applyFill="1" applyBorder="1" applyAlignment="1">
      <alignment horizontal="left"/>
    </xf>
    <xf numFmtId="0" fontId="23" fillId="3" borderId="1" xfId="0" applyFont="1" applyFill="1" applyBorder="1" applyAlignment="1">
      <alignment horizontal="left" wrapText="1"/>
    </xf>
    <xf numFmtId="14" fontId="22" fillId="0" borderId="1" xfId="0" applyNumberFormat="1" applyFont="1" applyBorder="1"/>
    <xf numFmtId="0" fontId="22" fillId="0" borderId="1" xfId="0" quotePrefix="1" applyFont="1" applyBorder="1" applyAlignment="1">
      <alignment horizontal="left"/>
    </xf>
    <xf numFmtId="0" fontId="22" fillId="2" borderId="1" xfId="0" quotePrefix="1" applyFont="1" applyFill="1" applyBorder="1" applyAlignment="1">
      <alignment horizontal="left"/>
    </xf>
    <xf numFmtId="14" fontId="22" fillId="2" borderId="1" xfId="0" applyNumberFormat="1" applyFont="1" applyFill="1" applyBorder="1"/>
    <xf numFmtId="0" fontId="23" fillId="0" borderId="1" xfId="0" quotePrefix="1" applyFont="1" applyBorder="1" applyAlignment="1">
      <alignment horizontal="left"/>
    </xf>
    <xf numFmtId="0" fontId="23" fillId="0" borderId="1" xfId="0" applyFont="1" applyBorder="1"/>
    <xf numFmtId="0" fontId="22" fillId="0" borderId="1" xfId="1" quotePrefix="1" applyFont="1" applyBorder="1" applyAlignment="1">
      <alignment horizontal="left"/>
    </xf>
    <xf numFmtId="0" fontId="23" fillId="0" borderId="1" xfId="1" applyFont="1" applyBorder="1"/>
    <xf numFmtId="0" fontId="23" fillId="2" borderId="1" xfId="0" applyFont="1" applyFill="1" applyBorder="1"/>
    <xf numFmtId="0" fontId="23" fillId="2" borderId="1" xfId="3" quotePrefix="1" applyFont="1" applyFill="1" applyBorder="1" applyAlignment="1">
      <alignment horizontal="left"/>
    </xf>
    <xf numFmtId="0" fontId="23" fillId="2" borderId="1" xfId="3" applyFont="1" applyFill="1" applyBorder="1"/>
    <xf numFmtId="2" fontId="22" fillId="2" borderId="1" xfId="0" applyNumberFormat="1" applyFont="1" applyFill="1" applyBorder="1" applyAlignment="1">
      <alignment horizontal="left"/>
    </xf>
    <xf numFmtId="0" fontId="22" fillId="2" borderId="1" xfId="0" applyFont="1" applyFill="1" applyBorder="1" applyAlignment="1">
      <alignment horizontal="left"/>
    </xf>
    <xf numFmtId="0" fontId="23" fillId="2" borderId="1" xfId="1" quotePrefix="1" applyFont="1" applyFill="1" applyBorder="1" applyAlignment="1">
      <alignment horizontal="left"/>
    </xf>
    <xf numFmtId="0" fontId="23" fillId="2" borderId="1" xfId="1" applyFont="1" applyFill="1" applyBorder="1"/>
    <xf numFmtId="1" fontId="19" fillId="0" borderId="1" xfId="0" applyNumberFormat="1" applyFont="1" applyBorder="1" applyAlignment="1">
      <alignment horizontal="left"/>
    </xf>
    <xf numFmtId="0" fontId="19" fillId="0" borderId="1" xfId="0" applyFont="1" applyBorder="1"/>
    <xf numFmtId="2" fontId="19" fillId="0" borderId="1" xfId="0" applyNumberFormat="1" applyFont="1" applyBorder="1" applyAlignment="1">
      <alignment horizontal="left"/>
    </xf>
    <xf numFmtId="0" fontId="20" fillId="2" borderId="1" xfId="0" applyFont="1" applyFill="1" applyBorder="1" applyAlignment="1">
      <alignment horizontal="left"/>
    </xf>
    <xf numFmtId="0" fontId="20" fillId="2" borderId="1" xfId="0" applyFont="1" applyFill="1" applyBorder="1"/>
    <xf numFmtId="0" fontId="20" fillId="2" borderId="1" xfId="0" quotePrefix="1" applyFont="1" applyFill="1" applyBorder="1" applyAlignment="1">
      <alignment horizontal="left"/>
    </xf>
    <xf numFmtId="0" fontId="19" fillId="2" borderId="1" xfId="0" applyFont="1" applyFill="1" applyBorder="1" applyAlignment="1">
      <alignment horizontal="left"/>
    </xf>
    <xf numFmtId="14" fontId="19" fillId="2" borderId="1" xfId="0" applyNumberFormat="1" applyFont="1" applyFill="1" applyBorder="1"/>
    <xf numFmtId="0" fontId="20" fillId="2" borderId="1" xfId="3" quotePrefix="1" applyFont="1" applyFill="1" applyBorder="1" applyAlignment="1">
      <alignment horizontal="left"/>
    </xf>
    <xf numFmtId="0" fontId="20" fillId="2" borderId="1" xfId="3" applyFont="1" applyFill="1" applyBorder="1"/>
    <xf numFmtId="0" fontId="19" fillId="0" borderId="1" xfId="1" quotePrefix="1" applyFont="1" applyBorder="1" applyAlignment="1">
      <alignment horizontal="left"/>
    </xf>
    <xf numFmtId="0" fontId="20" fillId="0" borderId="1" xfId="1" applyFont="1" applyBorder="1"/>
    <xf numFmtId="0" fontId="18" fillId="0" borderId="1" xfId="0" quotePrefix="1" applyFont="1" applyBorder="1" applyAlignment="1">
      <alignment horizontal="left"/>
    </xf>
    <xf numFmtId="14" fontId="19" fillId="0" borderId="1" xfId="0" applyNumberFormat="1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4" fontId="19" fillId="2" borderId="1" xfId="0" applyNumberFormat="1" applyFont="1" applyFill="1" applyBorder="1" applyAlignment="1">
      <alignment horizontal="left"/>
    </xf>
    <xf numFmtId="0" fontId="20" fillId="0" borderId="1" xfId="6" quotePrefix="1" applyFont="1" applyBorder="1" applyAlignment="1">
      <alignment horizontal="left"/>
    </xf>
    <xf numFmtId="0" fontId="19" fillId="0" borderId="8" xfId="6" applyFont="1" applyBorder="1" applyAlignment="1">
      <alignment horizontal="left"/>
    </xf>
    <xf numFmtId="0" fontId="19" fillId="2" borderId="1" xfId="0" quotePrefix="1" applyFont="1" applyFill="1" applyBorder="1" applyAlignment="1">
      <alignment horizontal="left"/>
    </xf>
    <xf numFmtId="0" fontId="19" fillId="0" borderId="8" xfId="0" applyFont="1" applyBorder="1" applyAlignment="1">
      <alignment horizontal="left"/>
    </xf>
    <xf numFmtId="1" fontId="20" fillId="2" borderId="1" xfId="0" quotePrefix="1" applyNumberFormat="1" applyFont="1" applyFill="1" applyBorder="1" applyAlignment="1">
      <alignment horizontal="left"/>
    </xf>
    <xf numFmtId="0" fontId="19" fillId="2" borderId="8" xfId="0" applyFont="1" applyFill="1" applyBorder="1" applyAlignment="1">
      <alignment horizontal="left"/>
    </xf>
    <xf numFmtId="0" fontId="24" fillId="2" borderId="1" xfId="0" applyFont="1" applyFill="1" applyBorder="1" applyAlignment="1">
      <alignment horizontal="left"/>
    </xf>
    <xf numFmtId="0" fontId="18" fillId="6" borderId="1" xfId="0" applyFont="1" applyFill="1" applyBorder="1" applyAlignment="1">
      <alignment horizontal="left"/>
    </xf>
    <xf numFmtId="0" fontId="18" fillId="0" borderId="1" xfId="0" applyFont="1" applyBorder="1"/>
    <xf numFmtId="0" fontId="20" fillId="0" borderId="1" xfId="7" quotePrefix="1" applyFont="1" applyBorder="1" applyAlignment="1">
      <alignment horizontal="left"/>
    </xf>
    <xf numFmtId="0" fontId="20" fillId="0" borderId="1" xfId="7" applyFont="1" applyBorder="1"/>
    <xf numFmtId="0" fontId="23" fillId="0" borderId="0" xfId="0" applyFont="1" applyAlignment="1">
      <alignment horizontal="left"/>
    </xf>
    <xf numFmtId="0" fontId="23" fillId="0" borderId="0" xfId="0" applyFont="1"/>
    <xf numFmtId="0" fontId="20" fillId="0" borderId="1" xfId="8" quotePrefix="1" applyFont="1" applyBorder="1" applyAlignment="1">
      <alignment horizontal="left"/>
    </xf>
    <xf numFmtId="0" fontId="20" fillId="0" borderId="1" xfId="8" applyFont="1" applyBorder="1"/>
    <xf numFmtId="0" fontId="22" fillId="2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49" fontId="22" fillId="7" borderId="1" xfId="0" applyNumberFormat="1" applyFont="1" applyFill="1" applyBorder="1" applyAlignment="1">
      <alignment horizontal="left" wrapText="1"/>
    </xf>
    <xf numFmtId="49" fontId="13" fillId="7" borderId="1" xfId="0" applyNumberFormat="1" applyFont="1" applyFill="1" applyBorder="1" applyAlignment="1">
      <alignment horizontal="left" vertical="center" wrapText="1"/>
    </xf>
    <xf numFmtId="164" fontId="5" fillId="7" borderId="1" xfId="0" applyNumberFormat="1" applyFont="1" applyFill="1" applyBorder="1" applyAlignment="1">
      <alignment horizontal="left" vertical="center" wrapText="1" indent="1"/>
    </xf>
    <xf numFmtId="0" fontId="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4" fillId="0" borderId="1" xfId="0" applyFont="1" applyBorder="1" applyAlignment="1">
      <alignment horizontal="center"/>
    </xf>
    <xf numFmtId="166" fontId="4" fillId="0" borderId="10" xfId="0" applyNumberFormat="1" applyFont="1" applyBorder="1" applyAlignment="1">
      <alignment horizontal="left"/>
    </xf>
    <xf numFmtId="0" fontId="5" fillId="9" borderId="10" xfId="0" applyFont="1" applyFill="1" applyBorder="1" applyAlignment="1">
      <alignment horizontal="center"/>
    </xf>
    <xf numFmtId="0" fontId="5" fillId="9" borderId="10" xfId="0" applyFont="1" applyFill="1" applyBorder="1"/>
    <xf numFmtId="0" fontId="5" fillId="9" borderId="11" xfId="0" applyFont="1" applyFill="1" applyBorder="1" applyAlignment="1">
      <alignment horizontal="left"/>
    </xf>
    <xf numFmtId="165" fontId="5" fillId="9" borderId="10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left"/>
    </xf>
    <xf numFmtId="166" fontId="5" fillId="0" borderId="10" xfId="0" applyNumberFormat="1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 applyAlignment="1">
      <alignment horizontal="left"/>
    </xf>
    <xf numFmtId="165" fontId="5" fillId="0" borderId="10" xfId="0" applyNumberFormat="1" applyFont="1" applyBorder="1" applyAlignment="1">
      <alignment horizontal="center"/>
    </xf>
    <xf numFmtId="165" fontId="5" fillId="0" borderId="11" xfId="0" applyNumberFormat="1" applyFont="1" applyBorder="1" applyAlignment="1">
      <alignment horizontal="left"/>
    </xf>
    <xf numFmtId="0" fontId="5" fillId="0" borderId="10" xfId="0" applyFont="1" applyBorder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 applyAlignment="1">
      <alignment horizontal="left"/>
    </xf>
    <xf numFmtId="1" fontId="5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166" fontId="5" fillId="0" borderId="10" xfId="0" applyNumberFormat="1" applyFont="1" applyBorder="1" applyAlignment="1">
      <alignment horizontal="left" wrapText="1"/>
    </xf>
    <xf numFmtId="0" fontId="5" fillId="0" borderId="12" xfId="0" applyFont="1" applyBorder="1" applyAlignment="1">
      <alignment horizontal="center" wrapText="1"/>
    </xf>
    <xf numFmtId="166" fontId="5" fillId="0" borderId="10" xfId="9" applyNumberFormat="1" applyBorder="1" applyAlignment="1">
      <alignment horizontal="left"/>
    </xf>
    <xf numFmtId="0" fontId="27" fillId="10" borderId="10" xfId="0" applyFont="1" applyFill="1" applyBorder="1" applyAlignment="1">
      <alignment horizontal="center"/>
    </xf>
    <xf numFmtId="0" fontId="27" fillId="10" borderId="10" xfId="10" applyFont="1" applyFill="1" applyBorder="1" applyAlignment="1">
      <alignment horizontal="left"/>
    </xf>
    <xf numFmtId="165" fontId="27" fillId="10" borderId="11" xfId="0" applyNumberFormat="1" applyFont="1" applyFill="1" applyBorder="1" applyAlignment="1">
      <alignment horizontal="left"/>
    </xf>
    <xf numFmtId="0" fontId="27" fillId="10" borderId="10" xfId="0" applyFont="1" applyFill="1" applyBorder="1"/>
    <xf numFmtId="0" fontId="27" fillId="10" borderId="10" xfId="0" applyFont="1" applyFill="1" applyBorder="1" applyAlignment="1">
      <alignment horizontal="center" wrapText="1"/>
    </xf>
    <xf numFmtId="0" fontId="27" fillId="10" borderId="12" xfId="0" applyFont="1" applyFill="1" applyBorder="1" applyAlignment="1">
      <alignment horizontal="center"/>
    </xf>
    <xf numFmtId="0" fontId="5" fillId="0" borderId="11" xfId="0" applyFont="1" applyBorder="1"/>
    <xf numFmtId="0" fontId="27" fillId="10" borderId="10" xfId="0" applyFont="1" applyFill="1" applyBorder="1" applyAlignment="1">
      <alignment horizontal="left"/>
    </xf>
    <xf numFmtId="0" fontId="28" fillId="10" borderId="10" xfId="0" applyFont="1" applyFill="1" applyBorder="1" applyAlignment="1">
      <alignment horizontal="center"/>
    </xf>
    <xf numFmtId="0" fontId="28" fillId="10" borderId="11" xfId="0" applyFont="1" applyFill="1" applyBorder="1"/>
    <xf numFmtId="0" fontId="5" fillId="0" borderId="12" xfId="0" applyFont="1" applyBorder="1" applyAlignment="1">
      <alignment horizontal="center"/>
    </xf>
    <xf numFmtId="167" fontId="5" fillId="0" borderId="11" xfId="0" applyNumberFormat="1" applyFont="1" applyBorder="1" applyAlignment="1">
      <alignment horizontal="left"/>
    </xf>
    <xf numFmtId="166" fontId="5" fillId="0" borderId="11" xfId="0" applyNumberFormat="1" applyFont="1" applyBorder="1" applyAlignment="1">
      <alignment horizontal="left"/>
    </xf>
    <xf numFmtId="167" fontId="5" fillId="0" borderId="12" xfId="0" quotePrefix="1" applyNumberFormat="1" applyFont="1" applyBorder="1" applyAlignment="1">
      <alignment horizontal="center"/>
    </xf>
    <xf numFmtId="0" fontId="5" fillId="0" borderId="12" xfId="0" quotePrefix="1" applyFont="1" applyBorder="1" applyAlignment="1">
      <alignment horizontal="center"/>
    </xf>
    <xf numFmtId="165" fontId="5" fillId="0" borderId="12" xfId="0" applyNumberFormat="1" applyFont="1" applyBorder="1" applyAlignment="1">
      <alignment horizontal="center"/>
    </xf>
    <xf numFmtId="167" fontId="5" fillId="0" borderId="12" xfId="0" applyNumberFormat="1" applyFont="1" applyBorder="1" applyAlignment="1">
      <alignment horizontal="center"/>
    </xf>
    <xf numFmtId="0" fontId="5" fillId="11" borderId="10" xfId="0" applyFont="1" applyFill="1" applyBorder="1"/>
    <xf numFmtId="165" fontId="5" fillId="11" borderId="12" xfId="0" applyNumberFormat="1" applyFont="1" applyFill="1" applyBorder="1" applyAlignment="1">
      <alignment horizontal="center"/>
    </xf>
    <xf numFmtId="165" fontId="4" fillId="11" borderId="12" xfId="0" applyNumberFormat="1" applyFont="1" applyFill="1" applyBorder="1" applyAlignment="1">
      <alignment horizontal="center"/>
    </xf>
    <xf numFmtId="0" fontId="4" fillId="11" borderId="10" xfId="0" applyFont="1" applyFill="1" applyBorder="1"/>
    <xf numFmtId="0" fontId="5" fillId="11" borderId="12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165" fontId="5" fillId="11" borderId="12" xfId="0" quotePrefix="1" applyNumberFormat="1" applyFont="1" applyFill="1" applyBorder="1" applyAlignment="1">
      <alignment horizontal="center"/>
    </xf>
    <xf numFmtId="0" fontId="5" fillId="11" borderId="12" xfId="0" quotePrefix="1" applyFont="1" applyFill="1" applyBorder="1" applyAlignment="1">
      <alignment horizontal="center"/>
    </xf>
    <xf numFmtId="0" fontId="27" fillId="10" borderId="11" xfId="0" applyFont="1" applyFill="1" applyBorder="1" applyAlignment="1">
      <alignment horizontal="left"/>
    </xf>
    <xf numFmtId="1" fontId="5" fillId="13" borderId="10" xfId="0" applyNumberFormat="1" applyFont="1" applyFill="1" applyBorder="1" applyAlignment="1">
      <alignment horizontal="center"/>
    </xf>
    <xf numFmtId="0" fontId="29" fillId="0" borderId="10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25" fillId="0" borderId="0" xfId="0" applyFont="1"/>
    <xf numFmtId="0" fontId="5" fillId="0" borderId="13" xfId="0" applyFont="1" applyBorder="1" applyAlignment="1">
      <alignment horizontal="center"/>
    </xf>
    <xf numFmtId="166" fontId="5" fillId="0" borderId="10" xfId="10" applyNumberFormat="1" applyBorder="1" applyAlignment="1">
      <alignment horizontal="left"/>
    </xf>
    <xf numFmtId="0" fontId="5" fillId="0" borderId="10" xfId="10" applyBorder="1"/>
    <xf numFmtId="167" fontId="5" fillId="0" borderId="10" xfId="0" applyNumberFormat="1" applyFont="1" applyBorder="1" applyAlignment="1">
      <alignment horizontal="center"/>
    </xf>
    <xf numFmtId="165" fontId="5" fillId="0" borderId="12" xfId="0" quotePrefix="1" applyNumberFormat="1" applyFont="1" applyBorder="1" applyAlignment="1">
      <alignment horizontal="center"/>
    </xf>
    <xf numFmtId="0" fontId="5" fillId="11" borderId="12" xfId="0" applyFont="1" applyFill="1" applyBorder="1"/>
    <xf numFmtId="167" fontId="5" fillId="11" borderId="12" xfId="0" applyNumberFormat="1" applyFont="1" applyFill="1" applyBorder="1" applyAlignment="1">
      <alignment horizontal="center"/>
    </xf>
    <xf numFmtId="0" fontId="4" fillId="0" borderId="11" xfId="0" applyFont="1" applyBorder="1"/>
    <xf numFmtId="0" fontId="29" fillId="0" borderId="11" xfId="0" applyFont="1" applyBorder="1"/>
    <xf numFmtId="167" fontId="5" fillId="11" borderId="10" xfId="0" applyNumberFormat="1" applyFont="1" applyFill="1" applyBorder="1" applyAlignment="1">
      <alignment horizontal="center"/>
    </xf>
    <xf numFmtId="166" fontId="30" fillId="0" borderId="10" xfId="0" applyNumberFormat="1" applyFont="1" applyBorder="1" applyAlignment="1">
      <alignment horizontal="left"/>
    </xf>
    <xf numFmtId="0" fontId="30" fillId="0" borderId="10" xfId="0" quotePrefix="1" applyFont="1" applyBorder="1" applyAlignment="1">
      <alignment horizontal="center"/>
    </xf>
    <xf numFmtId="0" fontId="30" fillId="0" borderId="10" xfId="0" applyFont="1" applyBorder="1"/>
    <xf numFmtId="0" fontId="30" fillId="0" borderId="11" xfId="0" applyFont="1" applyBorder="1" applyAlignment="1">
      <alignment horizontal="left"/>
    </xf>
    <xf numFmtId="0" fontId="30" fillId="0" borderId="10" xfId="0" applyFont="1" applyBorder="1" applyAlignment="1">
      <alignment horizontal="center"/>
    </xf>
    <xf numFmtId="1" fontId="5" fillId="0" borderId="11" xfId="0" applyNumberFormat="1" applyFont="1" applyBorder="1" applyAlignment="1">
      <alignment horizontal="left"/>
    </xf>
    <xf numFmtId="0" fontId="5" fillId="0" borderId="10" xfId="10" applyBorder="1" applyAlignment="1">
      <alignment horizontal="left"/>
    </xf>
    <xf numFmtId="0" fontId="5" fillId="0" borderId="12" xfId="0" applyFont="1" applyBorder="1"/>
    <xf numFmtId="165" fontId="5" fillId="0" borderId="10" xfId="0" applyNumberFormat="1" applyFont="1" applyBorder="1" applyAlignment="1">
      <alignment horizontal="left"/>
    </xf>
    <xf numFmtId="0" fontId="27" fillId="10" borderId="11" xfId="0" applyFont="1" applyFill="1" applyBorder="1" applyAlignment="1">
      <alignment horizontal="center"/>
    </xf>
    <xf numFmtId="0" fontId="32" fillId="0" borderId="10" xfId="0" applyFont="1" applyBorder="1" applyAlignment="1">
      <alignment horizontal="left"/>
    </xf>
    <xf numFmtId="0" fontId="5" fillId="0" borderId="16" xfId="0" applyFont="1" applyBorder="1" applyAlignment="1">
      <alignment horizontal="center"/>
    </xf>
    <xf numFmtId="0" fontId="26" fillId="0" borderId="2" xfId="0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/>
    </xf>
    <xf numFmtId="2" fontId="26" fillId="8" borderId="1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2" fontId="27" fillId="10" borderId="12" xfId="0" applyNumberFormat="1" applyFont="1" applyFill="1" applyBorder="1" applyAlignment="1">
      <alignment horizontal="center"/>
    </xf>
    <xf numFmtId="49" fontId="27" fillId="10" borderId="11" xfId="0" applyNumberFormat="1" applyFont="1" applyFill="1" applyBorder="1" applyAlignment="1">
      <alignment horizontal="left" wrapText="1"/>
    </xf>
    <xf numFmtId="165" fontId="4" fillId="0" borderId="15" xfId="0" applyNumberFormat="1" applyFont="1" applyBorder="1" applyAlignment="1">
      <alignment horizontal="center"/>
    </xf>
    <xf numFmtId="0" fontId="27" fillId="10" borderId="12" xfId="0" applyFont="1" applyFill="1" applyBorder="1"/>
    <xf numFmtId="166" fontId="4" fillId="0" borderId="11" xfId="0" applyNumberFormat="1" applyFont="1" applyBorder="1" applyAlignment="1">
      <alignment horizontal="left"/>
    </xf>
    <xf numFmtId="2" fontId="4" fillId="0" borderId="12" xfId="0" applyNumberFormat="1" applyFont="1" applyBorder="1" applyAlignment="1">
      <alignment horizontal="center"/>
    </xf>
    <xf numFmtId="0" fontId="4" fillId="0" borderId="12" xfId="0" applyFont="1" applyBorder="1"/>
    <xf numFmtId="2" fontId="5" fillId="0" borderId="12" xfId="0" applyNumberFormat="1" applyFont="1" applyBorder="1" applyAlignment="1">
      <alignment horizontal="center"/>
    </xf>
    <xf numFmtId="2" fontId="5" fillId="11" borderId="12" xfId="0" applyNumberFormat="1" applyFont="1" applyFill="1" applyBorder="1" applyAlignment="1">
      <alignment horizontal="center"/>
    </xf>
    <xf numFmtId="0" fontId="5" fillId="11" borderId="11" xfId="0" applyFont="1" applyFill="1" applyBorder="1"/>
    <xf numFmtId="0" fontId="5" fillId="0" borderId="12" xfId="0" applyFont="1" applyBorder="1" applyAlignment="1">
      <alignment horizontal="left"/>
    </xf>
    <xf numFmtId="2" fontId="5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2" fontId="30" fillId="0" borderId="12" xfId="0" applyNumberFormat="1" applyFont="1" applyBorder="1" applyAlignment="1">
      <alignment horizontal="center"/>
    </xf>
    <xf numFmtId="0" fontId="30" fillId="0" borderId="10" xfId="0" applyFont="1" applyBorder="1" applyAlignment="1">
      <alignment horizontal="left"/>
    </xf>
    <xf numFmtId="2" fontId="4" fillId="11" borderId="12" xfId="0" applyNumberFormat="1" applyFont="1" applyFill="1" applyBorder="1" applyAlignment="1">
      <alignment horizontal="center"/>
    </xf>
    <xf numFmtId="0" fontId="32" fillId="0" borderId="11" xfId="0" applyFont="1" applyBorder="1" applyAlignment="1">
      <alignment horizontal="left"/>
    </xf>
    <xf numFmtId="0" fontId="28" fillId="10" borderId="10" xfId="0" applyFont="1" applyFill="1" applyBorder="1"/>
    <xf numFmtId="0" fontId="4" fillId="11" borderId="11" xfId="0" applyFont="1" applyFill="1" applyBorder="1"/>
    <xf numFmtId="166" fontId="30" fillId="0" borderId="11" xfId="0" applyNumberFormat="1" applyFont="1" applyBorder="1" applyAlignment="1">
      <alignment horizontal="left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28" fillId="0" borderId="1" xfId="0" applyFont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33" fillId="0" borderId="0" xfId="0" applyFont="1" applyAlignment="1">
      <alignment horizontal="center"/>
    </xf>
    <xf numFmtId="0" fontId="25" fillId="8" borderId="0" xfId="0" applyFont="1" applyFill="1" applyAlignment="1">
      <alignment horizontal="center"/>
    </xf>
    <xf numFmtId="0" fontId="25" fillId="5" borderId="0" xfId="0" applyFont="1" applyFill="1" applyAlignment="1">
      <alignment horizontal="center"/>
    </xf>
    <xf numFmtId="0" fontId="25" fillId="11" borderId="0" xfId="0" applyFont="1" applyFill="1" applyAlignment="1">
      <alignment horizontal="center"/>
    </xf>
    <xf numFmtId="0" fontId="25" fillId="10" borderId="0" xfId="0" applyFont="1" applyFill="1" applyAlignment="1">
      <alignment horizontal="center"/>
    </xf>
    <xf numFmtId="0" fontId="25" fillId="12" borderId="0" xfId="0" applyFont="1" applyFill="1" applyAlignment="1">
      <alignment horizontal="center"/>
    </xf>
    <xf numFmtId="0" fontId="25" fillId="9" borderId="0" xfId="0" applyFont="1" applyFill="1" applyAlignment="1">
      <alignment horizontal="center"/>
    </xf>
    <xf numFmtId="0" fontId="5" fillId="11" borderId="10" xfId="0" quotePrefix="1" applyFont="1" applyFill="1" applyBorder="1" applyAlignment="1">
      <alignment horizontal="center"/>
    </xf>
    <xf numFmtId="0" fontId="5" fillId="0" borderId="14" xfId="0" applyFont="1" applyBorder="1" applyAlignment="1">
      <alignment horizontal="left"/>
    </xf>
    <xf numFmtId="165" fontId="5" fillId="13" borderId="10" xfId="0" applyNumberFormat="1" applyFont="1" applyFill="1" applyBorder="1" applyAlignment="1">
      <alignment horizontal="center"/>
    </xf>
    <xf numFmtId="0" fontId="31" fillId="0" borderId="0" xfId="0" applyFont="1"/>
    <xf numFmtId="0" fontId="5" fillId="0" borderId="15" xfId="0" applyFont="1" applyBorder="1" applyAlignment="1">
      <alignment horizontal="center"/>
    </xf>
    <xf numFmtId="0" fontId="5" fillId="0" borderId="13" xfId="0" applyFont="1" applyBorder="1"/>
    <xf numFmtId="0" fontId="5" fillId="0" borderId="10" xfId="0" applyFont="1" applyBorder="1" applyAlignment="1">
      <alignment horizontal="left" vertical="center"/>
    </xf>
    <xf numFmtId="0" fontId="5" fillId="0" borderId="17" xfId="0" applyFont="1" applyBorder="1"/>
    <xf numFmtId="0" fontId="36" fillId="0" borderId="18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0" xfId="0" applyFont="1"/>
    <xf numFmtId="0" fontId="39" fillId="0" borderId="0" xfId="0" applyFont="1"/>
    <xf numFmtId="0" fontId="0" fillId="0" borderId="0" xfId="0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40" fillId="14" borderId="18" xfId="0" applyFont="1" applyFill="1" applyBorder="1" applyAlignment="1">
      <alignment horizontal="center" vertical="center"/>
    </xf>
    <xf numFmtId="0" fontId="0" fillId="0" borderId="0" xfId="0" applyAlignment="1">
      <alignment horizontal="center" textRotation="90"/>
    </xf>
    <xf numFmtId="0" fontId="0" fillId="16" borderId="23" xfId="0" applyFill="1" applyBorder="1" applyAlignment="1">
      <alignment horizontal="center" textRotation="90"/>
    </xf>
    <xf numFmtId="0" fontId="0" fillId="17" borderId="23" xfId="0" applyFill="1" applyBorder="1" applyAlignment="1">
      <alignment horizontal="center" textRotation="90"/>
    </xf>
    <xf numFmtId="0" fontId="0" fillId="15" borderId="23" xfId="0" applyFill="1" applyBorder="1" applyAlignment="1">
      <alignment horizontal="center" textRotation="90"/>
    </xf>
    <xf numFmtId="0" fontId="0" fillId="18" borderId="23" xfId="0" applyFill="1" applyBorder="1" applyAlignment="1">
      <alignment horizontal="center" textRotation="90"/>
    </xf>
    <xf numFmtId="0" fontId="0" fillId="19" borderId="23" xfId="0" applyFill="1" applyBorder="1" applyAlignment="1">
      <alignment horizontal="center" textRotation="90"/>
    </xf>
    <xf numFmtId="0" fontId="0" fillId="7" borderId="23" xfId="0" applyFill="1" applyBorder="1" applyAlignment="1">
      <alignment horizontal="center" textRotation="90"/>
    </xf>
    <xf numFmtId="0" fontId="0" fillId="4" borderId="23" xfId="0" applyFill="1" applyBorder="1" applyAlignment="1">
      <alignment horizontal="center" textRotation="90"/>
    </xf>
    <xf numFmtId="0" fontId="0" fillId="20" borderId="23" xfId="0" applyFill="1" applyBorder="1" applyAlignment="1">
      <alignment horizontal="center" textRotation="90"/>
    </xf>
    <xf numFmtId="0" fontId="41" fillId="0" borderId="0" xfId="0" applyFont="1" applyAlignment="1">
      <alignment horizontal="center" vertical="center"/>
    </xf>
    <xf numFmtId="0" fontId="41" fillId="0" borderId="24" xfId="0" applyFont="1" applyBorder="1" applyAlignment="1">
      <alignment horizontal="center" vertical="center"/>
    </xf>
    <xf numFmtId="0" fontId="36" fillId="0" borderId="19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18" xfId="11" applyFont="1" applyBorder="1" applyAlignment="1">
      <alignment horizontal="center" vertical="center"/>
    </xf>
    <xf numFmtId="0" fontId="38" fillId="0" borderId="18" xfId="0" applyFont="1" applyBorder="1" applyProtection="1">
      <protection locked="0"/>
    </xf>
    <xf numFmtId="0" fontId="38" fillId="0" borderId="0" xfId="0" applyFont="1" applyProtection="1">
      <protection locked="0"/>
    </xf>
    <xf numFmtId="0" fontId="43" fillId="0" borderId="0" xfId="0" applyFont="1"/>
    <xf numFmtId="0" fontId="44" fillId="0" borderId="0" xfId="0" applyFont="1"/>
    <xf numFmtId="0" fontId="42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41" fillId="21" borderId="0" xfId="0" applyFont="1" applyFill="1" applyAlignment="1">
      <alignment horizontal="center" vertical="center" wrapText="1"/>
    </xf>
    <xf numFmtId="165" fontId="4" fillId="13" borderId="15" xfId="0" applyNumberFormat="1" applyFont="1" applyFill="1" applyBorder="1" applyAlignment="1">
      <alignment horizontal="center"/>
    </xf>
    <xf numFmtId="165" fontId="5" fillId="0" borderId="10" xfId="9" applyNumberFormat="1" applyBorder="1" applyAlignment="1">
      <alignment horizontal="left"/>
    </xf>
    <xf numFmtId="0" fontId="47" fillId="0" borderId="0" xfId="0" applyFont="1" applyAlignment="1">
      <alignment horizontal="left" vertical="center"/>
    </xf>
    <xf numFmtId="0" fontId="48" fillId="16" borderId="18" xfId="0" applyFont="1" applyFill="1" applyBorder="1" applyAlignment="1">
      <alignment horizontal="center" vertical="center"/>
    </xf>
    <xf numFmtId="0" fontId="48" fillId="17" borderId="18" xfId="0" applyFont="1" applyFill="1" applyBorder="1" applyAlignment="1">
      <alignment horizontal="center" vertical="center"/>
    </xf>
    <xf numFmtId="0" fontId="48" fillId="15" borderId="18" xfId="0" applyFont="1" applyFill="1" applyBorder="1" applyAlignment="1">
      <alignment horizontal="center" vertical="center"/>
    </xf>
    <xf numFmtId="0" fontId="48" fillId="18" borderId="18" xfId="0" applyFont="1" applyFill="1" applyBorder="1" applyAlignment="1">
      <alignment horizontal="center" vertical="center"/>
    </xf>
    <xf numFmtId="0" fontId="48" fillId="19" borderId="18" xfId="0" applyFont="1" applyFill="1" applyBorder="1" applyAlignment="1">
      <alignment horizontal="center" vertical="center"/>
    </xf>
    <xf numFmtId="0" fontId="48" fillId="7" borderId="18" xfId="0" applyFont="1" applyFill="1" applyBorder="1" applyAlignment="1">
      <alignment horizontal="center" vertical="center"/>
    </xf>
    <xf numFmtId="0" fontId="48" fillId="4" borderId="18" xfId="0" applyFont="1" applyFill="1" applyBorder="1" applyAlignment="1">
      <alignment horizontal="center" vertical="center"/>
    </xf>
    <xf numFmtId="0" fontId="48" fillId="20" borderId="18" xfId="0" applyFont="1" applyFill="1" applyBorder="1" applyAlignment="1">
      <alignment horizontal="center" vertical="center"/>
    </xf>
    <xf numFmtId="0" fontId="48" fillId="22" borderId="18" xfId="0" applyFont="1" applyFill="1" applyBorder="1" applyAlignment="1">
      <alignment horizontal="center" vertical="center"/>
    </xf>
    <xf numFmtId="0" fontId="0" fillId="22" borderId="23" xfId="0" applyFill="1" applyBorder="1" applyAlignment="1">
      <alignment horizontal="center" textRotation="90"/>
    </xf>
    <xf numFmtId="0" fontId="0" fillId="23" borderId="23" xfId="0" applyFill="1" applyBorder="1" applyAlignment="1">
      <alignment horizontal="center" textRotation="90"/>
    </xf>
    <xf numFmtId="0" fontId="48" fillId="23" borderId="18" xfId="0" applyFont="1" applyFill="1" applyBorder="1" applyAlignment="1">
      <alignment horizontal="center" vertical="center"/>
    </xf>
    <xf numFmtId="0" fontId="48" fillId="23" borderId="18" xfId="0" applyFont="1" applyFill="1" applyBorder="1" applyAlignment="1">
      <alignment horizontal="center" vertical="center" wrapText="1"/>
    </xf>
    <xf numFmtId="0" fontId="38" fillId="0" borderId="0" xfId="0" applyFont="1" applyAlignment="1" applyProtection="1">
      <alignment horizont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vertical="center"/>
      <protection locked="0"/>
    </xf>
    <xf numFmtId="0" fontId="35" fillId="0" borderId="18" xfId="0" applyFont="1" applyBorder="1" applyAlignment="1" applyProtection="1">
      <alignment horizontal="center" vertical="center"/>
      <protection locked="0"/>
    </xf>
    <xf numFmtId="0" fontId="38" fillId="0" borderId="18" xfId="0" applyFont="1" applyBorder="1" applyAlignment="1" applyProtection="1">
      <alignment horizontal="center"/>
      <protection locked="0"/>
    </xf>
    <xf numFmtId="14" fontId="38" fillId="0" borderId="0" xfId="0" applyNumberFormat="1" applyFont="1" applyProtection="1">
      <protection locked="0"/>
    </xf>
    <xf numFmtId="0" fontId="35" fillId="0" borderId="22" xfId="0" applyFont="1" applyBorder="1" applyAlignment="1" applyProtection="1">
      <alignment horizontal="center" vertical="center" wrapText="1"/>
      <protection locked="0"/>
    </xf>
    <xf numFmtId="14" fontId="38" fillId="0" borderId="18" xfId="0" applyNumberFormat="1" applyFont="1" applyBorder="1" applyProtection="1">
      <protection locked="0"/>
    </xf>
    <xf numFmtId="0" fontId="38" fillId="0" borderId="19" xfId="0" applyFont="1" applyBorder="1" applyProtection="1">
      <protection locked="0"/>
    </xf>
    <xf numFmtId="0" fontId="38" fillId="0" borderId="20" xfId="0" applyFont="1" applyBorder="1" applyProtection="1">
      <protection locked="0"/>
    </xf>
    <xf numFmtId="0" fontId="38" fillId="0" borderId="21" xfId="0" applyFont="1" applyBorder="1" applyProtection="1">
      <protection locked="0"/>
    </xf>
    <xf numFmtId="0" fontId="35" fillId="0" borderId="18" xfId="0" applyFont="1" applyBorder="1" applyAlignment="1" applyProtection="1">
      <alignment horizontal="center" vertical="center" wrapText="1"/>
      <protection locked="0"/>
    </xf>
    <xf numFmtId="0" fontId="37" fillId="0" borderId="0" xfId="0" applyFont="1" applyProtection="1">
      <protection locked="0"/>
    </xf>
    <xf numFmtId="14" fontId="37" fillId="0" borderId="0" xfId="0" applyNumberFormat="1" applyFont="1" applyProtection="1">
      <protection locked="0"/>
    </xf>
    <xf numFmtId="14" fontId="37" fillId="0" borderId="0" xfId="0" applyNumberFormat="1" applyFont="1" applyAlignment="1" applyProtection="1">
      <alignment horizontal="left"/>
      <protection locked="0"/>
    </xf>
    <xf numFmtId="0" fontId="37" fillId="0" borderId="24" xfId="0" applyFont="1" applyBorder="1" applyAlignment="1" applyProtection="1">
      <alignment horizontal="left"/>
      <protection locked="0"/>
    </xf>
    <xf numFmtId="14" fontId="37" fillId="0" borderId="24" xfId="0" applyNumberFormat="1" applyFont="1" applyBorder="1" applyAlignment="1" applyProtection="1">
      <alignment horizontal="left"/>
      <protection locked="0"/>
    </xf>
    <xf numFmtId="0" fontId="37" fillId="0" borderId="20" xfId="0" applyFont="1" applyBorder="1" applyProtection="1">
      <protection locked="0"/>
    </xf>
    <xf numFmtId="0" fontId="37" fillId="0" borderId="21" xfId="0" applyFont="1" applyBorder="1" applyProtection="1">
      <protection locked="0"/>
    </xf>
    <xf numFmtId="0" fontId="37" fillId="0" borderId="0" xfId="0" applyFont="1" applyAlignment="1" applyProtection="1">
      <alignment horizontal="left"/>
      <protection locked="0"/>
    </xf>
    <xf numFmtId="0" fontId="35" fillId="0" borderId="20" xfId="0" applyFont="1" applyBorder="1" applyAlignment="1" applyProtection="1">
      <alignment vertical="center"/>
      <protection locked="0"/>
    </xf>
    <xf numFmtId="0" fontId="34" fillId="0" borderId="18" xfId="0" applyFont="1" applyBorder="1" applyProtection="1">
      <protection locked="0"/>
    </xf>
    <xf numFmtId="14" fontId="35" fillId="0" borderId="0" xfId="0" applyNumberFormat="1" applyFont="1" applyAlignment="1" applyProtection="1">
      <alignment vertical="center"/>
      <protection locked="0"/>
    </xf>
    <xf numFmtId="0" fontId="37" fillId="0" borderId="18" xfId="0" applyFont="1" applyBorder="1" applyProtection="1">
      <protection locked="0"/>
    </xf>
    <xf numFmtId="0" fontId="35" fillId="0" borderId="19" xfId="0" applyFont="1" applyBorder="1" applyAlignment="1" applyProtection="1">
      <alignment horizontal="center" vertical="center" wrapText="1"/>
      <protection locked="0"/>
    </xf>
    <xf numFmtId="0" fontId="38" fillId="0" borderId="27" xfId="0" applyFont="1" applyBorder="1" applyProtection="1">
      <protection locked="0"/>
    </xf>
    <xf numFmtId="0" fontId="38" fillId="0" borderId="26" xfId="0" applyFont="1" applyBorder="1" applyProtection="1">
      <protection locked="0"/>
    </xf>
    <xf numFmtId="0" fontId="0" fillId="0" borderId="0" xfId="0" applyProtection="1">
      <protection locked="0"/>
    </xf>
    <xf numFmtId="0" fontId="38" fillId="0" borderId="25" xfId="0" applyFont="1" applyBorder="1" applyProtection="1">
      <protection locked="0"/>
    </xf>
    <xf numFmtId="0" fontId="38" fillId="0" borderId="28" xfId="0" applyFont="1" applyBorder="1" applyProtection="1">
      <protection locked="0"/>
    </xf>
    <xf numFmtId="0" fontId="38" fillId="0" borderId="29" xfId="0" applyFont="1" applyBorder="1" applyProtection="1">
      <protection locked="0"/>
    </xf>
    <xf numFmtId="165" fontId="5" fillId="0" borderId="10" xfId="0" applyNumberFormat="1" applyFont="1" applyBorder="1" applyAlignment="1">
      <alignment horizontal="left" vertical="center"/>
    </xf>
    <xf numFmtId="14" fontId="35" fillId="0" borderId="18" xfId="0" applyNumberFormat="1" applyFont="1" applyBorder="1" applyAlignment="1" applyProtection="1">
      <alignment horizontal="center" vertical="center" wrapText="1"/>
      <protection locked="0"/>
    </xf>
    <xf numFmtId="14" fontId="0" fillId="0" borderId="0" xfId="0" applyNumberFormat="1" applyProtection="1">
      <protection locked="0"/>
    </xf>
    <xf numFmtId="14" fontId="0" fillId="0" borderId="18" xfId="0" applyNumberFormat="1" applyBorder="1" applyProtection="1">
      <protection locked="0"/>
    </xf>
    <xf numFmtId="0" fontId="5" fillId="12" borderId="12" xfId="0" quotePrefix="1" applyFont="1" applyFill="1" applyBorder="1" applyAlignment="1">
      <alignment horizontal="center"/>
    </xf>
    <xf numFmtId="0" fontId="5" fillId="12" borderId="12" xfId="0" applyFont="1" applyFill="1" applyBorder="1" applyAlignment="1">
      <alignment horizontal="center"/>
    </xf>
    <xf numFmtId="166" fontId="29" fillId="0" borderId="10" xfId="0" applyNumberFormat="1" applyFont="1" applyBorder="1" applyAlignment="1">
      <alignment horizontal="left"/>
    </xf>
    <xf numFmtId="0" fontId="29" fillId="0" borderId="10" xfId="0" applyFont="1" applyBorder="1"/>
    <xf numFmtId="0" fontId="29" fillId="0" borderId="11" xfId="0" applyFont="1" applyBorder="1" applyAlignment="1">
      <alignment horizontal="left"/>
    </xf>
    <xf numFmtId="0" fontId="48" fillId="22" borderId="29" xfId="0" applyFont="1" applyFill="1" applyBorder="1" applyAlignment="1">
      <alignment horizontal="center" vertical="center"/>
    </xf>
    <xf numFmtId="0" fontId="48" fillId="22" borderId="23" xfId="0" applyFont="1" applyFill="1" applyBorder="1" applyAlignment="1">
      <alignment horizontal="center" vertical="center"/>
    </xf>
    <xf numFmtId="0" fontId="48" fillId="23" borderId="23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textRotation="90"/>
    </xf>
    <xf numFmtId="0" fontId="41" fillId="0" borderId="18" xfId="0" applyFont="1" applyBorder="1" applyAlignment="1">
      <alignment horizontal="center" vertical="center"/>
    </xf>
    <xf numFmtId="0" fontId="41" fillId="16" borderId="18" xfId="0" applyFont="1" applyFill="1" applyBorder="1" applyAlignment="1">
      <alignment horizontal="center" vertical="center"/>
    </xf>
    <xf numFmtId="0" fontId="41" fillId="17" borderId="18" xfId="0" applyFont="1" applyFill="1" applyBorder="1" applyAlignment="1">
      <alignment horizontal="center" vertical="center"/>
    </xf>
    <xf numFmtId="0" fontId="41" fillId="15" borderId="18" xfId="0" applyFont="1" applyFill="1" applyBorder="1" applyAlignment="1">
      <alignment horizontal="center" vertical="center"/>
    </xf>
    <xf numFmtId="0" fontId="41" fillId="18" borderId="18" xfId="0" applyFont="1" applyFill="1" applyBorder="1" applyAlignment="1">
      <alignment horizontal="center" vertical="center"/>
    </xf>
    <xf numFmtId="0" fontId="41" fillId="19" borderId="18" xfId="0" applyFont="1" applyFill="1" applyBorder="1" applyAlignment="1">
      <alignment horizontal="center" vertical="center"/>
    </xf>
    <xf numFmtId="0" fontId="41" fillId="7" borderId="18" xfId="0" applyFont="1" applyFill="1" applyBorder="1" applyAlignment="1">
      <alignment horizontal="center" vertical="center"/>
    </xf>
    <xf numFmtId="0" fontId="41" fillId="4" borderId="18" xfId="0" applyFont="1" applyFill="1" applyBorder="1" applyAlignment="1">
      <alignment horizontal="center" vertical="center"/>
    </xf>
    <xf numFmtId="0" fontId="41" fillId="20" borderId="18" xfId="0" applyFont="1" applyFill="1" applyBorder="1" applyAlignment="1">
      <alignment horizontal="center" vertical="center"/>
    </xf>
    <xf numFmtId="0" fontId="41" fillId="22" borderId="18" xfId="0" applyFont="1" applyFill="1" applyBorder="1" applyAlignment="1">
      <alignment horizontal="center" vertical="center"/>
    </xf>
    <xf numFmtId="0" fontId="41" fillId="22" borderId="23" xfId="0" applyFont="1" applyFill="1" applyBorder="1" applyAlignment="1">
      <alignment horizontal="center" vertical="center"/>
    </xf>
    <xf numFmtId="2" fontId="29" fillId="0" borderId="12" xfId="0" applyNumberFormat="1" applyFont="1" applyBorder="1" applyAlignment="1">
      <alignment horizontal="center"/>
    </xf>
    <xf numFmtId="0" fontId="29" fillId="0" borderId="0" xfId="0" applyFont="1" applyAlignment="1">
      <alignment horizontal="left"/>
    </xf>
    <xf numFmtId="0" fontId="64" fillId="0" borderId="0" xfId="0" applyFont="1"/>
    <xf numFmtId="0" fontId="65" fillId="0" borderId="30" xfId="0" applyFont="1" applyBorder="1" applyAlignment="1">
      <alignment horizontal="left" vertical="center"/>
    </xf>
    <xf numFmtId="165" fontId="5" fillId="8" borderId="12" xfId="0" quotePrefix="1" applyNumberFormat="1" applyFont="1" applyFill="1" applyBorder="1" applyAlignment="1">
      <alignment horizontal="center"/>
    </xf>
    <xf numFmtId="165" fontId="4" fillId="0" borderId="12" xfId="0" applyNumberFormat="1" applyFont="1" applyBorder="1" applyAlignment="1">
      <alignment horizontal="center"/>
    </xf>
    <xf numFmtId="165" fontId="5" fillId="5" borderId="12" xfId="0" applyNumberFormat="1" applyFont="1" applyFill="1" applyBorder="1" applyAlignment="1">
      <alignment horizontal="center"/>
    </xf>
    <xf numFmtId="0" fontId="35" fillId="0" borderId="18" xfId="0" applyFont="1" applyBorder="1" applyProtection="1">
      <protection locked="0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6" fillId="0" borderId="4" xfId="0" quotePrefix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1" fillId="0" borderId="24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20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35" fillId="0" borderId="23" xfId="0" applyFont="1" applyBorder="1" applyAlignment="1" applyProtection="1">
      <alignment horizontal="center" vertical="center"/>
      <protection locked="0"/>
    </xf>
    <xf numFmtId="0" fontId="35" fillId="0" borderId="22" xfId="0" applyFont="1" applyBorder="1" applyAlignment="1" applyProtection="1">
      <alignment horizontal="center" vertical="center"/>
      <protection locked="0"/>
    </xf>
    <xf numFmtId="14" fontId="35" fillId="0" borderId="23" xfId="0" applyNumberFormat="1" applyFont="1" applyBorder="1" applyAlignment="1" applyProtection="1">
      <alignment horizontal="center" vertical="center" wrapText="1"/>
      <protection locked="0"/>
    </xf>
    <xf numFmtId="14" fontId="35" fillId="0" borderId="22" xfId="0" applyNumberFormat="1" applyFont="1" applyBorder="1" applyAlignment="1" applyProtection="1">
      <alignment horizontal="center" vertical="center" wrapText="1"/>
      <protection locked="0"/>
    </xf>
    <xf numFmtId="0" fontId="35" fillId="0" borderId="23" xfId="0" applyFont="1" applyBorder="1" applyAlignment="1" applyProtection="1">
      <alignment horizontal="center" vertical="center" wrapText="1"/>
      <protection locked="0"/>
    </xf>
    <xf numFmtId="0" fontId="35" fillId="0" borderId="22" xfId="0" applyFont="1" applyBorder="1" applyAlignment="1" applyProtection="1">
      <alignment horizontal="center" vertical="center" wrapText="1"/>
      <protection locked="0"/>
    </xf>
    <xf numFmtId="0" fontId="35" fillId="0" borderId="18" xfId="0" applyFont="1" applyBorder="1" applyAlignment="1" applyProtection="1">
      <alignment horizontal="center" vertical="center"/>
      <protection locked="0"/>
    </xf>
  </cellXfs>
  <cellStyles count="85">
    <cellStyle name="Comma 2" xfId="13" xr:uid="{A2ACAB61-C763-440E-85B3-3252FC3CAAFD}"/>
    <cellStyle name="Comma 2 2 4" xfId="55" xr:uid="{8D67CA82-5FAA-4FE3-8C36-F6EF020F3F5C}"/>
    <cellStyle name="Comma 5" xfId="66" xr:uid="{A801E557-5835-4A6E-BE22-AE83F14B69BF}"/>
    <cellStyle name="Comma0" xfId="14" xr:uid="{F0D737CC-9AD9-447B-8368-0ADA405CC396}"/>
    <cellStyle name="Currency0" xfId="15" xr:uid="{A1538BEC-91D3-4522-B54D-B793C2199A4A}"/>
    <cellStyle name="Date" xfId="16" xr:uid="{3912DC70-0B89-4946-BB60-A385918BA7E6}"/>
    <cellStyle name="Euro" xfId="17" xr:uid="{30D12872-2318-4709-A40F-608579258377}"/>
    <cellStyle name="Fixed" xfId="18" xr:uid="{DBC37021-09C4-455A-B972-4ECB96E109E9}"/>
    <cellStyle name="Header1" xfId="19" xr:uid="{64E5D474-5AA3-4E43-9DB4-67325F39DE0A}"/>
    <cellStyle name="Header2" xfId="20" xr:uid="{46C53096-9574-408A-ACC4-88BDF8056C77}"/>
    <cellStyle name="Millares [0]_Well Timing" xfId="21" xr:uid="{36257546-2798-4EC2-BF1E-CD7BFE1DA757}"/>
    <cellStyle name="Millares_Well Timing" xfId="22" xr:uid="{A8207FA3-F81A-4AAF-8B60-F8237993B44B}"/>
    <cellStyle name="Moneda [0]_Well Timing" xfId="23" xr:uid="{5924756D-80E8-41F8-82E5-2F6210036198}"/>
    <cellStyle name="Moneda_Well Timing" xfId="24" xr:uid="{1E0609FC-111B-4A8A-BB68-2BAC897CB31D}"/>
    <cellStyle name="n" xfId="25" xr:uid="{E903E91D-62E7-451F-9372-DBB68BBBE005}"/>
    <cellStyle name="Normal" xfId="0" builtinId="0"/>
    <cellStyle name="Normal - Style1" xfId="67" xr:uid="{D9B5BCBB-3F9E-4D2F-AED4-F40C6477AD2F}"/>
    <cellStyle name="Normal 10" xfId="76" xr:uid="{681A6104-C92E-41D3-BE48-AE65915DAB3F}"/>
    <cellStyle name="Normal 10 7" xfId="54" xr:uid="{B89E1456-FD8A-4E2E-99FE-DBCDFA1B1365}"/>
    <cellStyle name="Normal 10 7 2" xfId="56" xr:uid="{A153B438-AF23-4375-9640-D500BD63CA5D}"/>
    <cellStyle name="Normal 11" xfId="77" xr:uid="{ECF159D7-A6D8-4311-8CA2-E91B28F44801}"/>
    <cellStyle name="Normal 12" xfId="78" xr:uid="{FDB50765-742E-4B24-8C7F-913E4D17ECA8}"/>
    <cellStyle name="Normal 13" xfId="80" xr:uid="{7A9D0627-5B54-4CFC-881C-FBC76EC71944}"/>
    <cellStyle name="Normal 14" xfId="81" xr:uid="{4BBD87A7-3923-4198-B894-8F37705B2DC0}"/>
    <cellStyle name="Normal 15" xfId="82" xr:uid="{FEB91999-4C50-403E-B51B-ACABC427C3E8}"/>
    <cellStyle name="Normal 16" xfId="83" xr:uid="{9AC0D378-D8F6-4E37-AFCA-C369240797E2}"/>
    <cellStyle name="Normal 17" xfId="84" xr:uid="{2C1ACD5B-E7D9-40B1-B3B6-79BA21A20DA0}"/>
    <cellStyle name="Normal 18" xfId="1" xr:uid="{8F136B6D-9D46-40B0-B2D3-6B336E14C9F3}"/>
    <cellStyle name="Normal 19" xfId="8" xr:uid="{FAF57D98-EC91-43F6-A4C4-621A254D2601}"/>
    <cellStyle name="Normal 2" xfId="12" xr:uid="{3D566BCA-B38F-4B82-8A45-2B199C382A72}"/>
    <cellStyle name="Normal 2 2" xfId="10" xr:uid="{0DB52E4A-74E4-41DA-9CB7-24DC7D481B63}"/>
    <cellStyle name="Normal 2 2 2" xfId="57" xr:uid="{DEA21145-2D2D-4DF9-B2D5-94ECB754A8C3}"/>
    <cellStyle name="Normal 2 2 3" xfId="68" xr:uid="{FEC73C2B-59E9-455C-86DB-83279F2E354C}"/>
    <cellStyle name="Normal 2 2 4" xfId="50" xr:uid="{09CB7CFA-8C0C-425D-93C6-94C77D01D132}"/>
    <cellStyle name="Normal 2 5" xfId="69" xr:uid="{32467CBE-2F35-4FDE-B25D-800DC1382825}"/>
    <cellStyle name="Normal 2 7" xfId="58" xr:uid="{AD7A089F-7F13-4DF4-B9AE-18E5378C0CEA}"/>
    <cellStyle name="Normal 295" xfId="70" xr:uid="{7956D4CA-12E5-4E36-A18B-07554C80ECE6}"/>
    <cellStyle name="Normal 3" xfId="7" xr:uid="{D381C14D-A1D6-4DBB-B410-0FDA449FD972}"/>
    <cellStyle name="Normal 3 2" xfId="71" xr:uid="{BA166854-4036-4F43-9CAD-4B9FEBE0DE9D}"/>
    <cellStyle name="Normal 3 3" xfId="47" xr:uid="{851D3273-CCD1-4CD6-B385-3D2F1BE13AB4}"/>
    <cellStyle name="Normal 4" xfId="49" xr:uid="{A85CE429-8E67-401C-90E5-A619189AC3FA}"/>
    <cellStyle name="Normal 4 2" xfId="53" xr:uid="{33C1F0F2-26E0-4322-95F2-73F97E6A24F5}"/>
    <cellStyle name="Normal 4 3" xfId="59" xr:uid="{660475CD-4801-4338-B3E0-72692799D2BD}"/>
    <cellStyle name="Normal 5" xfId="48" xr:uid="{12D8F5CC-1CC1-4896-B395-E7292B651276}"/>
    <cellStyle name="Normal 5 2" xfId="51" xr:uid="{7A195FCA-2AAE-49A3-BF28-38BC8AC8BE94}"/>
    <cellStyle name="Normal 5 2 2" xfId="61" xr:uid="{65E32BE8-A6F2-413C-B750-F05D4A5806A9}"/>
    <cellStyle name="Normal 5 2 2 2" xfId="79" xr:uid="{50CD473B-E7C6-4F3A-A3BB-0FEEC1F15EAF}"/>
    <cellStyle name="Normal 5 3" xfId="60" xr:uid="{DC00F880-A98F-471B-87A9-7C97EB807488}"/>
    <cellStyle name="Normal 5 4" xfId="72" xr:uid="{142A5A42-7565-491B-B73A-0FB9FE2C3C6A}"/>
    <cellStyle name="Normal 6" xfId="9" xr:uid="{4203C8AC-6158-442E-A420-CDEDFA8C312E}"/>
    <cellStyle name="Normal 6 2" xfId="62" xr:uid="{0CA2A684-EDCC-450E-BBD7-0FA4B308BB2D}"/>
    <cellStyle name="Normal 6 3" xfId="73" xr:uid="{1A43FFFC-FEF2-4409-A029-C67401ABB6B5}"/>
    <cellStyle name="Normal 6 4" xfId="52" xr:uid="{33EF96F5-FF5B-46A6-8119-FF1A3DAC1A61}"/>
    <cellStyle name="Normal 65" xfId="63" xr:uid="{C7388D8B-6A7C-4FCB-A06F-3F440301F15D}"/>
    <cellStyle name="Normal 7" xfId="64" xr:uid="{7F81B1D5-B4A3-4C5D-AF57-2CB975DC3C8A}"/>
    <cellStyle name="Normal 7 3" xfId="74" xr:uid="{012306B2-E25C-49E3-B236-8273B5D67AB5}"/>
    <cellStyle name="Normal 8" xfId="65" xr:uid="{430C6FE0-2B59-4648-943E-C988D6C6DEF9}"/>
    <cellStyle name="Normal 86" xfId="3" xr:uid="{70E76838-4EB8-405D-868E-7E60C88940E3}"/>
    <cellStyle name="Normal 87" xfId="2" xr:uid="{122E5971-9430-4FBF-9A6D-37D69320DB6C}"/>
    <cellStyle name="Normal 9" xfId="75" xr:uid="{C7F59626-87E5-4464-B226-F31D17530204}"/>
    <cellStyle name="Normal 90" xfId="4" xr:uid="{2AA4D2F0-6015-4858-8CEB-CFE84AA3CDB6}"/>
    <cellStyle name="Normal 91" xfId="5" xr:uid="{7602A2D1-34F3-4BB8-82D8-674A466723BB}"/>
    <cellStyle name="Normal 93" xfId="6" xr:uid="{C97DB5A1-CDF0-4ABA-8C82-114C95610D12}"/>
    <cellStyle name="Percent" xfId="11" builtinId="5"/>
    <cellStyle name="Style 1" xfId="26" xr:uid="{8F09289F-10A9-48A9-A42C-34665960463C}"/>
    <cellStyle name=" [0.00]_ Att. 1- Cover" xfId="27" xr:uid="{FA57EC5D-EC7B-4081-8AEA-8218D86143AD}"/>
    <cellStyle name="_ Att. 1- Cover" xfId="28" xr:uid="{192ABF5B-6FC3-4976-9002-D92676A64287}"/>
    <cellStyle name="?_ Att. 1- Cover" xfId="29" xr:uid="{34841BF0-3078-464F-A4FC-8C5266506864}"/>
    <cellStyle name="똿뗦먛귟 [0.00]_PRODUCT DETAIL Q1" xfId="30" xr:uid="{476C2F4E-3180-4921-96DD-BDF91C776FDE}"/>
    <cellStyle name="똿뗦먛귟_PRODUCT DETAIL Q1" xfId="31" xr:uid="{32F1AF9E-7CC7-45E1-A323-2344F4AF2D17}"/>
    <cellStyle name="믅됞 [0.00]_PRODUCT DETAIL Q1" xfId="32" xr:uid="{D7BDAC12-54CD-48CC-9E10-360B9E4F48BB}"/>
    <cellStyle name="믅됞_PRODUCT DETAIL Q1" xfId="33" xr:uid="{E666C7B3-FE29-4D14-AACB-E4F122ED1EED}"/>
    <cellStyle name="백분율_95" xfId="34" xr:uid="{01578254-9C2C-4C18-AD66-E7E30E989080}"/>
    <cellStyle name="뷭?_BOOKSHIP" xfId="35" xr:uid="{6386E5EE-F166-439E-9751-5EA770327472}"/>
    <cellStyle name="콤마 [0]_1202" xfId="36" xr:uid="{476CD2CF-10A2-4D0D-9A25-2D633F173BDE}"/>
    <cellStyle name="콤마_1202" xfId="37" xr:uid="{A8BD9DA4-0C92-43A6-9426-C37DCE812E52}"/>
    <cellStyle name="통화 [0]_1202" xfId="38" xr:uid="{AF08EEE6-FFF8-4284-A0E5-A49377ACBC2A}"/>
    <cellStyle name="통화_1202" xfId="39" xr:uid="{D2033220-6C9B-48F6-9B3A-E74F76397B3D}"/>
    <cellStyle name="표준_(정보부문)월별인원계획" xfId="40" xr:uid="{9C1974C2-6D82-444C-9F5A-3FE5A2726C66}"/>
    <cellStyle name="一般_99Q3647-ALL-CAS2" xfId="41" xr:uid="{D968A10F-A92A-4CFF-83FE-C542E76960BD}"/>
    <cellStyle name="千分位[0]_Book1" xfId="42" xr:uid="{33165C9A-1695-4132-9947-15A90CBE571E}"/>
    <cellStyle name="千分位_99Q3647-ALL-CAS2" xfId="43" xr:uid="{499D554E-59C0-4F94-9525-4806463E9742}"/>
    <cellStyle name="貨幣 [0]_Book1" xfId="44" xr:uid="{2ABA0CC7-32AF-4313-9625-A5BA81343275}"/>
    <cellStyle name="貨幣[0]_BRE" xfId="45" xr:uid="{9326ED0C-1D85-445B-9F89-517AD121A4F6}"/>
    <cellStyle name="貨幣_Book1" xfId="46" xr:uid="{30FDD1C8-6AB8-41EF-A3C6-FBAF18ECB281}"/>
  </cellStyles>
  <dxfs count="153">
    <dxf>
      <fill>
        <patternFill>
          <bgColor indexed="10"/>
        </patternFill>
      </fill>
    </dxf>
    <dxf>
      <font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10"/>
      </font>
    </dxf>
    <dxf>
      <fill>
        <patternFill>
          <bgColor rgb="FFFF0000"/>
        </patternFill>
      </fill>
    </dxf>
    <dxf>
      <font>
        <color auto="1"/>
      </font>
      <fill>
        <patternFill>
          <bgColor theme="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1/relationships/FeaturePropertyBag" Target="featurePropertyBag/featurePropertyBag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KẾT</a:t>
            </a:r>
            <a:r>
              <a:rPr lang="en-US" sz="1200" b="1" baseline="0"/>
              <a:t> QUẢ ĐÁNH GIÁ VẬN HÀNH HÀNG THÁNG</a:t>
            </a:r>
            <a:endParaRPr lang="en-US" sz="1200" b="1"/>
          </a:p>
        </c:rich>
      </c:tx>
      <c:layout>
        <c:manualLayout>
          <c:xMode val="edge"/>
          <c:yMode val="edge"/>
          <c:x val="0.51286128970390055"/>
          <c:y val="1.90476190476190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Data!$N$1</c:f>
              <c:strCache>
                <c:ptCount val="1"/>
                <c:pt idx="0">
                  <c:v>G_Cutting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Data!$M$2:$M$12</c:f>
              <c:strCache>
                <c:ptCount val="11"/>
                <c:pt idx="0">
                  <c:v>2025-T07</c:v>
                </c:pt>
                <c:pt idx="1">
                  <c:v>2025-T08</c:v>
                </c:pt>
                <c:pt idx="2">
                  <c:v>2025-T10</c:v>
                </c:pt>
                <c:pt idx="3">
                  <c:v>2025-T11</c:v>
                </c:pt>
                <c:pt idx="4">
                  <c:v>2025-T12</c:v>
                </c:pt>
                <c:pt idx="5">
                  <c:v>2026-T01</c:v>
                </c:pt>
                <c:pt idx="6">
                  <c:v>2026-T02</c:v>
                </c:pt>
                <c:pt idx="7">
                  <c:v>2026-T03</c:v>
                </c:pt>
                <c:pt idx="8">
                  <c:v>2026-T04</c:v>
                </c:pt>
                <c:pt idx="9">
                  <c:v>2026-T05</c:v>
                </c:pt>
                <c:pt idx="10">
                  <c:v>2026-T06</c:v>
                </c:pt>
              </c:strCache>
            </c:strRef>
          </c:cat>
          <c:val>
            <c:numRef>
              <c:f>Data!$N$2:$N$12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8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21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1-487D-A90D-FCA46FFFD41A}"/>
            </c:ext>
          </c:extLst>
        </c:ser>
        <c:ser>
          <c:idx val="1"/>
          <c:order val="1"/>
          <c:tx>
            <c:strRef>
              <c:f>Data!$O$1</c:f>
              <c:strCache>
                <c:ptCount val="1"/>
                <c:pt idx="0">
                  <c:v>G_Rolling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Data!$M$2:$M$12</c:f>
              <c:strCache>
                <c:ptCount val="11"/>
                <c:pt idx="0">
                  <c:v>2025-T07</c:v>
                </c:pt>
                <c:pt idx="1">
                  <c:v>2025-T08</c:v>
                </c:pt>
                <c:pt idx="2">
                  <c:v>2025-T10</c:v>
                </c:pt>
                <c:pt idx="3">
                  <c:v>2025-T11</c:v>
                </c:pt>
                <c:pt idx="4">
                  <c:v>2025-T12</c:v>
                </c:pt>
                <c:pt idx="5">
                  <c:v>2026-T01</c:v>
                </c:pt>
                <c:pt idx="6">
                  <c:v>2026-T02</c:v>
                </c:pt>
                <c:pt idx="7">
                  <c:v>2026-T03</c:v>
                </c:pt>
                <c:pt idx="8">
                  <c:v>2026-T04</c:v>
                </c:pt>
                <c:pt idx="9">
                  <c:v>2026-T05</c:v>
                </c:pt>
                <c:pt idx="10">
                  <c:v>2026-T06</c:v>
                </c:pt>
              </c:strCache>
            </c:strRef>
          </c:cat>
          <c:val>
            <c:numRef>
              <c:f>Data!$O$2:$O$12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8</c:v>
                </c:pt>
                <c:pt idx="8">
                  <c:v>27</c:v>
                </c:pt>
                <c:pt idx="9">
                  <c:v>6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A1-487D-A90D-FCA46FFFD41A}"/>
            </c:ext>
          </c:extLst>
        </c:ser>
        <c:ser>
          <c:idx val="2"/>
          <c:order val="2"/>
          <c:tx>
            <c:strRef>
              <c:f>Data!$P$1</c:f>
              <c:strCache>
                <c:ptCount val="1"/>
                <c:pt idx="0">
                  <c:v>G_Finishing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Data!$M$2:$M$12</c:f>
              <c:strCache>
                <c:ptCount val="11"/>
                <c:pt idx="0">
                  <c:v>2025-T07</c:v>
                </c:pt>
                <c:pt idx="1">
                  <c:v>2025-T08</c:v>
                </c:pt>
                <c:pt idx="2">
                  <c:v>2025-T10</c:v>
                </c:pt>
                <c:pt idx="3">
                  <c:v>2025-T11</c:v>
                </c:pt>
                <c:pt idx="4">
                  <c:v>2025-T12</c:v>
                </c:pt>
                <c:pt idx="5">
                  <c:v>2026-T01</c:v>
                </c:pt>
                <c:pt idx="6">
                  <c:v>2026-T02</c:v>
                </c:pt>
                <c:pt idx="7">
                  <c:v>2026-T03</c:v>
                </c:pt>
                <c:pt idx="8">
                  <c:v>2026-T04</c:v>
                </c:pt>
                <c:pt idx="9">
                  <c:v>2026-T05</c:v>
                </c:pt>
                <c:pt idx="10">
                  <c:v>2026-T06</c:v>
                </c:pt>
              </c:strCache>
            </c:strRef>
          </c:cat>
          <c:val>
            <c:numRef>
              <c:f>Data!$P$2:$P$12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A1-487D-A90D-FCA46FFFD41A}"/>
            </c:ext>
          </c:extLst>
        </c:ser>
        <c:ser>
          <c:idx val="3"/>
          <c:order val="3"/>
          <c:tx>
            <c:strRef>
              <c:f>Data!$Q$1</c:f>
              <c:strCache>
                <c:ptCount val="1"/>
                <c:pt idx="0">
                  <c:v>G_Buffing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Data!$M$2:$M$12</c:f>
              <c:strCache>
                <c:ptCount val="11"/>
                <c:pt idx="0">
                  <c:v>2025-T07</c:v>
                </c:pt>
                <c:pt idx="1">
                  <c:v>2025-T08</c:v>
                </c:pt>
                <c:pt idx="2">
                  <c:v>2025-T10</c:v>
                </c:pt>
                <c:pt idx="3">
                  <c:v>2025-T11</c:v>
                </c:pt>
                <c:pt idx="4">
                  <c:v>2025-T12</c:v>
                </c:pt>
                <c:pt idx="5">
                  <c:v>2026-T01</c:v>
                </c:pt>
                <c:pt idx="6">
                  <c:v>2026-T02</c:v>
                </c:pt>
                <c:pt idx="7">
                  <c:v>2026-T03</c:v>
                </c:pt>
                <c:pt idx="8">
                  <c:v>2026-T04</c:v>
                </c:pt>
                <c:pt idx="9">
                  <c:v>2026-T05</c:v>
                </c:pt>
                <c:pt idx="10">
                  <c:v>2026-T06</c:v>
                </c:pt>
              </c:strCache>
            </c:strRef>
          </c:cat>
          <c:val>
            <c:numRef>
              <c:f>Data!$Q$2:$Q$12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8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7</c:v>
                </c:pt>
                <c:pt idx="9">
                  <c:v>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A1-487D-A90D-FCA46FFFD41A}"/>
            </c:ext>
          </c:extLst>
        </c:ser>
        <c:ser>
          <c:idx val="4"/>
          <c:order val="4"/>
          <c:tx>
            <c:strRef>
              <c:f>Data!$R$1</c:f>
              <c:strCache>
                <c:ptCount val="1"/>
                <c:pt idx="0">
                  <c:v>G_Dipping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Data!$M$2:$M$12</c:f>
              <c:strCache>
                <c:ptCount val="11"/>
                <c:pt idx="0">
                  <c:v>2025-T07</c:v>
                </c:pt>
                <c:pt idx="1">
                  <c:v>2025-T08</c:v>
                </c:pt>
                <c:pt idx="2">
                  <c:v>2025-T10</c:v>
                </c:pt>
                <c:pt idx="3">
                  <c:v>2025-T11</c:v>
                </c:pt>
                <c:pt idx="4">
                  <c:v>2025-T12</c:v>
                </c:pt>
                <c:pt idx="5">
                  <c:v>2026-T01</c:v>
                </c:pt>
                <c:pt idx="6">
                  <c:v>2026-T02</c:v>
                </c:pt>
                <c:pt idx="7">
                  <c:v>2026-T03</c:v>
                </c:pt>
                <c:pt idx="8">
                  <c:v>2026-T04</c:v>
                </c:pt>
                <c:pt idx="9">
                  <c:v>2026-T05</c:v>
                </c:pt>
                <c:pt idx="10">
                  <c:v>2026-T06</c:v>
                </c:pt>
              </c:strCache>
            </c:strRef>
          </c:cat>
          <c:val>
            <c:numRef>
              <c:f>Data!$R$2:$R$12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7</c:v>
                </c:pt>
                <c:pt idx="8">
                  <c:v>6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A1-487D-A90D-FCA46FFFD41A}"/>
            </c:ext>
          </c:extLst>
        </c:ser>
        <c:ser>
          <c:idx val="5"/>
          <c:order val="5"/>
          <c:tx>
            <c:strRef>
              <c:f>Data!$S$1</c:f>
              <c:strCache>
                <c:ptCount val="1"/>
                <c:pt idx="0">
                  <c:v>G_Graphics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Data!$M$2:$M$12</c:f>
              <c:strCache>
                <c:ptCount val="11"/>
                <c:pt idx="0">
                  <c:v>2025-T07</c:v>
                </c:pt>
                <c:pt idx="1">
                  <c:v>2025-T08</c:v>
                </c:pt>
                <c:pt idx="2">
                  <c:v>2025-T10</c:v>
                </c:pt>
                <c:pt idx="3">
                  <c:v>2025-T11</c:v>
                </c:pt>
                <c:pt idx="4">
                  <c:v>2025-T12</c:v>
                </c:pt>
                <c:pt idx="5">
                  <c:v>2026-T01</c:v>
                </c:pt>
                <c:pt idx="6">
                  <c:v>2026-T02</c:v>
                </c:pt>
                <c:pt idx="7">
                  <c:v>2026-T03</c:v>
                </c:pt>
                <c:pt idx="8">
                  <c:v>2026-T04</c:v>
                </c:pt>
                <c:pt idx="9">
                  <c:v>2026-T05</c:v>
                </c:pt>
                <c:pt idx="10">
                  <c:v>2026-T06</c:v>
                </c:pt>
              </c:strCache>
            </c:strRef>
          </c:cat>
          <c:val>
            <c:numRef>
              <c:f>Data!$S$2:$S$12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A1-487D-A90D-FCA46FFFD41A}"/>
            </c:ext>
          </c:extLst>
        </c:ser>
        <c:ser>
          <c:idx val="6"/>
          <c:order val="6"/>
          <c:tx>
            <c:strRef>
              <c:f>Data!$T$1</c:f>
              <c:strCache>
                <c:ptCount val="1"/>
                <c:pt idx="0">
                  <c:v>A_Blank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Data!$M$2:$M$12</c:f>
              <c:strCache>
                <c:ptCount val="11"/>
                <c:pt idx="0">
                  <c:v>2025-T07</c:v>
                </c:pt>
                <c:pt idx="1">
                  <c:v>2025-T08</c:v>
                </c:pt>
                <c:pt idx="2">
                  <c:v>2025-T10</c:v>
                </c:pt>
                <c:pt idx="3">
                  <c:v>2025-T11</c:v>
                </c:pt>
                <c:pt idx="4">
                  <c:v>2025-T12</c:v>
                </c:pt>
                <c:pt idx="5">
                  <c:v>2026-T01</c:v>
                </c:pt>
                <c:pt idx="6">
                  <c:v>2026-T02</c:v>
                </c:pt>
                <c:pt idx="7">
                  <c:v>2026-T03</c:v>
                </c:pt>
                <c:pt idx="8">
                  <c:v>2026-T04</c:v>
                </c:pt>
                <c:pt idx="9">
                  <c:v>2026-T05</c:v>
                </c:pt>
                <c:pt idx="10">
                  <c:v>2026-T06</c:v>
                </c:pt>
              </c:strCache>
            </c:strRef>
          </c:cat>
          <c:val>
            <c:numRef>
              <c:f>Data!$T$2:$T$12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18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A1-487D-A90D-FCA46FFFD41A}"/>
            </c:ext>
          </c:extLst>
        </c:ser>
        <c:ser>
          <c:idx val="7"/>
          <c:order val="7"/>
          <c:tx>
            <c:strRef>
              <c:f>Data!$U$1</c:f>
              <c:strCache>
                <c:ptCount val="1"/>
                <c:pt idx="0">
                  <c:v>A_Graphics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Data!$M$2:$M$12</c:f>
              <c:strCache>
                <c:ptCount val="11"/>
                <c:pt idx="0">
                  <c:v>2025-T07</c:v>
                </c:pt>
                <c:pt idx="1">
                  <c:v>2025-T08</c:v>
                </c:pt>
                <c:pt idx="2">
                  <c:v>2025-T10</c:v>
                </c:pt>
                <c:pt idx="3">
                  <c:v>2025-T11</c:v>
                </c:pt>
                <c:pt idx="4">
                  <c:v>2025-T12</c:v>
                </c:pt>
                <c:pt idx="5">
                  <c:v>2026-T01</c:v>
                </c:pt>
                <c:pt idx="6">
                  <c:v>2026-T02</c:v>
                </c:pt>
                <c:pt idx="7">
                  <c:v>2026-T03</c:v>
                </c:pt>
                <c:pt idx="8">
                  <c:v>2026-T04</c:v>
                </c:pt>
                <c:pt idx="9">
                  <c:v>2026-T05</c:v>
                </c:pt>
                <c:pt idx="10">
                  <c:v>2026-T06</c:v>
                </c:pt>
              </c:strCache>
            </c:strRef>
          </c:cat>
          <c:val>
            <c:numRef>
              <c:f>Data!$U$2:$U$12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A1-487D-A90D-FCA46FFFD41A}"/>
            </c:ext>
          </c:extLst>
        </c:ser>
        <c:ser>
          <c:idx val="8"/>
          <c:order val="8"/>
          <c:tx>
            <c:strRef>
              <c:f>Data!$V$1</c:f>
              <c:strCache>
                <c:ptCount val="1"/>
                <c:pt idx="0">
                  <c:v>Kayak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Data!$M$2:$M$12</c:f>
              <c:strCache>
                <c:ptCount val="11"/>
                <c:pt idx="0">
                  <c:v>2025-T07</c:v>
                </c:pt>
                <c:pt idx="1">
                  <c:v>2025-T08</c:v>
                </c:pt>
                <c:pt idx="2">
                  <c:v>2025-T10</c:v>
                </c:pt>
                <c:pt idx="3">
                  <c:v>2025-T11</c:v>
                </c:pt>
                <c:pt idx="4">
                  <c:v>2025-T12</c:v>
                </c:pt>
                <c:pt idx="5">
                  <c:v>2026-T01</c:v>
                </c:pt>
                <c:pt idx="6">
                  <c:v>2026-T02</c:v>
                </c:pt>
                <c:pt idx="7">
                  <c:v>2026-T03</c:v>
                </c:pt>
                <c:pt idx="8">
                  <c:v>2026-T04</c:v>
                </c:pt>
                <c:pt idx="9">
                  <c:v>2026-T05</c:v>
                </c:pt>
                <c:pt idx="10">
                  <c:v>2026-T06</c:v>
                </c:pt>
              </c:strCache>
            </c:strRef>
          </c:cat>
          <c:val>
            <c:numRef>
              <c:f>Data!$V$2:$V$12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8</c:v>
                </c:pt>
                <c:pt idx="9">
                  <c:v>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A1-487D-A90D-FCA46FFFD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936246495"/>
        <c:axId val="936246975"/>
      </c:barChart>
      <c:lineChart>
        <c:grouping val="standard"/>
        <c:varyColors val="0"/>
        <c:ser>
          <c:idx val="9"/>
          <c:order val="9"/>
          <c:tx>
            <c:strRef>
              <c:f>Data!$W$1</c:f>
              <c:strCache>
                <c:ptCount val="1"/>
                <c:pt idx="0">
                  <c:v>Total</c:v>
                </c:pt>
              </c:strCache>
            </c:strRef>
          </c:tx>
          <c:spPr>
            <a:ln w="31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Data!$W$2:$W$12</c:f>
              <c:numCache>
                <c:formatCode>General</c:formatCode>
                <c:ptCount val="11"/>
                <c:pt idx="0">
                  <c:v>3</c:v>
                </c:pt>
                <c:pt idx="1">
                  <c:v>1</c:v>
                </c:pt>
                <c:pt idx="2">
                  <c:v>10</c:v>
                </c:pt>
                <c:pt idx="3">
                  <c:v>8</c:v>
                </c:pt>
                <c:pt idx="4">
                  <c:v>24</c:v>
                </c:pt>
                <c:pt idx="5">
                  <c:v>8</c:v>
                </c:pt>
                <c:pt idx="6">
                  <c:v>8</c:v>
                </c:pt>
                <c:pt idx="7">
                  <c:v>27</c:v>
                </c:pt>
                <c:pt idx="8">
                  <c:v>90</c:v>
                </c:pt>
                <c:pt idx="9">
                  <c:v>51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C-4CA5-B2B2-D203BD67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246495"/>
        <c:axId val="936246975"/>
      </c:lineChart>
      <c:catAx>
        <c:axId val="93624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246975"/>
        <c:crosses val="autoZero"/>
        <c:auto val="1"/>
        <c:lblAlgn val="ctr"/>
        <c:lblOffset val="100"/>
        <c:noMultiLvlLbl val="0"/>
      </c:catAx>
      <c:valAx>
        <c:axId val="93624697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246495"/>
        <c:crosses val="autoZero"/>
        <c:crossBetween val="between"/>
        <c:majorUnit val="10"/>
        <c:minorUnit val="1"/>
      </c:valAx>
      <c:dTable>
        <c:showHorzBorder val="1"/>
        <c:showVertBorder val="1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38101</xdr:colOff>
      <xdr:row>3</xdr:row>
      <xdr:rowOff>0</xdr:rowOff>
    </xdr:from>
    <xdr:to>
      <xdr:col>18</xdr:col>
      <xdr:colOff>304800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B75044-7356-4F2B-9033-58F862063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6D71-07A0-4B22-9DBC-88C57C42BCF5}">
  <sheetPr>
    <pageSetUpPr fitToPage="1"/>
  </sheetPr>
  <dimension ref="A1:CPD563"/>
  <sheetViews>
    <sheetView zoomScale="70" zoomScaleNormal="70" zoomScaleSheetLayoutView="70" workbookViewId="0">
      <pane xSplit="3" ySplit="8" topLeftCell="D9" activePane="bottomRight" state="frozen"/>
      <selection pane="bottomRight" activeCell="G18" sqref="G18"/>
      <selection pane="bottomLeft" activeCell="A5" sqref="A5:CZ8"/>
      <selection pane="topRight" activeCell="A5" sqref="A5:CZ8"/>
    </sheetView>
  </sheetViews>
  <sheetFormatPr defaultColWidth="9.140625" defaultRowHeight="15"/>
  <cols>
    <col min="1" max="1" width="4.85546875" style="3" customWidth="1"/>
    <col min="2" max="2" width="9.28515625" style="99" customWidth="1"/>
    <col min="3" max="3" width="28.7109375" style="100" bestFit="1" customWidth="1"/>
    <col min="4" max="4" width="21.7109375" style="30" bestFit="1" customWidth="1"/>
    <col min="5" max="5" width="12.85546875" style="6" customWidth="1"/>
    <col min="6" max="103" width="4.7109375" style="1" customWidth="1"/>
    <col min="104" max="104" width="7.5703125" style="1" customWidth="1"/>
    <col min="105" max="105" width="9.140625" style="1"/>
    <col min="106" max="106" width="17.42578125" style="1" customWidth="1"/>
    <col min="107" max="16384" width="9.140625" style="1"/>
  </cols>
  <sheetData>
    <row r="1" spans="1:105">
      <c r="A1" s="360" t="s">
        <v>0</v>
      </c>
      <c r="B1" s="360"/>
      <c r="C1" s="360"/>
      <c r="D1" s="360"/>
      <c r="E1" s="360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  <c r="AR1" s="360"/>
      <c r="AS1" s="360"/>
      <c r="AT1" s="360"/>
      <c r="AU1" s="360"/>
      <c r="AV1" s="360"/>
      <c r="AW1" s="360"/>
      <c r="AX1" s="360"/>
      <c r="AY1" s="360"/>
      <c r="AZ1" s="360"/>
      <c r="BA1" s="360"/>
      <c r="BB1" s="360"/>
      <c r="BC1" s="360"/>
      <c r="BD1" s="360"/>
      <c r="BE1" s="360"/>
      <c r="BF1" s="360"/>
      <c r="BG1" s="360"/>
      <c r="BH1" s="360"/>
      <c r="BI1" s="360"/>
      <c r="BJ1" s="360"/>
      <c r="BK1" s="360"/>
      <c r="BL1" s="360"/>
      <c r="BM1" s="360"/>
      <c r="BN1" s="360"/>
      <c r="BO1" s="360"/>
      <c r="BP1" s="360"/>
      <c r="BQ1" s="360"/>
      <c r="BR1" s="360"/>
      <c r="BS1" s="360"/>
      <c r="BT1" s="360"/>
      <c r="BU1" s="360"/>
      <c r="BV1" s="360"/>
      <c r="BW1" s="360"/>
      <c r="BX1" s="360"/>
      <c r="BY1" s="360"/>
      <c r="BZ1" s="360"/>
      <c r="CA1" s="360"/>
      <c r="CB1" s="360"/>
      <c r="CC1" s="360"/>
      <c r="CD1" s="360"/>
      <c r="CE1" s="360"/>
      <c r="CF1" s="360"/>
      <c r="CG1" s="360"/>
      <c r="CH1" s="360"/>
      <c r="CI1" s="360"/>
      <c r="CJ1" s="360"/>
      <c r="CK1" s="360"/>
      <c r="CL1" s="360"/>
      <c r="CM1" s="360"/>
      <c r="CN1" s="361" t="s">
        <v>1</v>
      </c>
      <c r="CO1" s="361"/>
      <c r="CP1" s="361"/>
      <c r="CQ1" s="361"/>
      <c r="CR1" s="361"/>
      <c r="CS1" s="361"/>
      <c r="CT1" s="361"/>
      <c r="CU1" s="361"/>
      <c r="CV1" s="361"/>
      <c r="CW1" s="361"/>
      <c r="CX1" s="361"/>
      <c r="CY1" s="361"/>
      <c r="CZ1" s="361"/>
    </row>
    <row r="2" spans="1:105">
      <c r="A2" s="360"/>
      <c r="B2" s="360"/>
      <c r="C2" s="360"/>
      <c r="D2" s="360"/>
      <c r="E2" s="360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60"/>
      <c r="AO2" s="360"/>
      <c r="AP2" s="360"/>
      <c r="AQ2" s="360"/>
      <c r="AR2" s="360"/>
      <c r="AS2" s="360"/>
      <c r="AT2" s="360"/>
      <c r="AU2" s="360"/>
      <c r="AV2" s="360"/>
      <c r="AW2" s="360"/>
      <c r="AX2" s="360"/>
      <c r="AY2" s="360"/>
      <c r="AZ2" s="360"/>
      <c r="BA2" s="360"/>
      <c r="BB2" s="360"/>
      <c r="BC2" s="360"/>
      <c r="BD2" s="360"/>
      <c r="BE2" s="360"/>
      <c r="BF2" s="360"/>
      <c r="BG2" s="360"/>
      <c r="BH2" s="360"/>
      <c r="BI2" s="360"/>
      <c r="BJ2" s="360"/>
      <c r="BK2" s="360"/>
      <c r="BL2" s="360"/>
      <c r="BM2" s="360"/>
      <c r="BN2" s="360"/>
      <c r="BO2" s="360"/>
      <c r="BP2" s="360"/>
      <c r="BQ2" s="360"/>
      <c r="BR2" s="360"/>
      <c r="BS2" s="360"/>
      <c r="BT2" s="360"/>
      <c r="BU2" s="360"/>
      <c r="BV2" s="360"/>
      <c r="BW2" s="360"/>
      <c r="BX2" s="360"/>
      <c r="BY2" s="360"/>
      <c r="BZ2" s="360"/>
      <c r="CA2" s="360"/>
      <c r="CB2" s="360"/>
      <c r="CC2" s="360"/>
      <c r="CD2" s="360"/>
      <c r="CE2" s="360"/>
      <c r="CF2" s="360"/>
      <c r="CG2" s="360"/>
      <c r="CH2" s="360"/>
      <c r="CI2" s="360"/>
      <c r="CJ2" s="360"/>
      <c r="CK2" s="360"/>
      <c r="CL2" s="360"/>
      <c r="CM2" s="360"/>
      <c r="CN2" s="361" t="s">
        <v>2</v>
      </c>
      <c r="CO2" s="361"/>
      <c r="CP2" s="361"/>
      <c r="CQ2" s="361"/>
      <c r="CR2" s="361"/>
      <c r="CS2" s="361"/>
      <c r="CT2" s="361"/>
      <c r="CU2" s="361"/>
      <c r="CV2" s="361"/>
      <c r="CW2" s="361"/>
      <c r="CX2" s="361"/>
      <c r="CY2" s="361"/>
      <c r="CZ2" s="361"/>
    </row>
    <row r="3" spans="1:105">
      <c r="A3" s="360"/>
      <c r="B3" s="360"/>
      <c r="C3" s="360"/>
      <c r="D3" s="360"/>
      <c r="E3" s="360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0"/>
      <c r="AN3" s="360"/>
      <c r="AO3" s="360"/>
      <c r="AP3" s="360"/>
      <c r="AQ3" s="360"/>
      <c r="AR3" s="360"/>
      <c r="AS3" s="360"/>
      <c r="AT3" s="360"/>
      <c r="AU3" s="360"/>
      <c r="AV3" s="360"/>
      <c r="AW3" s="360"/>
      <c r="AX3" s="360"/>
      <c r="AY3" s="360"/>
      <c r="AZ3" s="360"/>
      <c r="BA3" s="360"/>
      <c r="BB3" s="360"/>
      <c r="BC3" s="360"/>
      <c r="BD3" s="360"/>
      <c r="BE3" s="360"/>
      <c r="BF3" s="360"/>
      <c r="BG3" s="360"/>
      <c r="BH3" s="360"/>
      <c r="BI3" s="360"/>
      <c r="BJ3" s="360"/>
      <c r="BK3" s="360"/>
      <c r="BL3" s="360"/>
      <c r="BM3" s="360"/>
      <c r="BN3" s="360"/>
      <c r="BO3" s="360"/>
      <c r="BP3" s="360"/>
      <c r="BQ3" s="360"/>
      <c r="BR3" s="360"/>
      <c r="BS3" s="360"/>
      <c r="BT3" s="360"/>
      <c r="BU3" s="360"/>
      <c r="BV3" s="360"/>
      <c r="BW3" s="360"/>
      <c r="BX3" s="360"/>
      <c r="BY3" s="360"/>
      <c r="BZ3" s="360"/>
      <c r="CA3" s="360"/>
      <c r="CB3" s="360"/>
      <c r="CC3" s="360"/>
      <c r="CD3" s="360"/>
      <c r="CE3" s="360"/>
      <c r="CF3" s="360"/>
      <c r="CG3" s="360"/>
      <c r="CH3" s="360"/>
      <c r="CI3" s="360"/>
      <c r="CJ3" s="360"/>
      <c r="CK3" s="360"/>
      <c r="CL3" s="360"/>
      <c r="CM3" s="360"/>
      <c r="CN3" s="361" t="s">
        <v>3</v>
      </c>
      <c r="CO3" s="361"/>
      <c r="CP3" s="361"/>
      <c r="CQ3" s="361"/>
      <c r="CR3" s="361"/>
      <c r="CS3" s="361"/>
      <c r="CT3" s="361"/>
      <c r="CU3" s="361"/>
      <c r="CV3" s="361"/>
      <c r="CW3" s="361"/>
      <c r="CX3" s="361"/>
      <c r="CY3" s="361"/>
      <c r="CZ3" s="361"/>
    </row>
    <row r="4" spans="1:105">
      <c r="A4" s="360"/>
      <c r="B4" s="360"/>
      <c r="C4" s="360"/>
      <c r="D4" s="360"/>
      <c r="E4" s="360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60"/>
      <c r="Q4" s="360"/>
      <c r="R4" s="360"/>
      <c r="S4" s="360"/>
      <c r="T4" s="360"/>
      <c r="U4" s="360"/>
      <c r="V4" s="360"/>
      <c r="W4" s="360"/>
      <c r="X4" s="360"/>
      <c r="Y4" s="360"/>
      <c r="Z4" s="360"/>
      <c r="AA4" s="360"/>
      <c r="AB4" s="360"/>
      <c r="AC4" s="360"/>
      <c r="AD4" s="360"/>
      <c r="AE4" s="360"/>
      <c r="AF4" s="360"/>
      <c r="AG4" s="360"/>
      <c r="AH4" s="360"/>
      <c r="AI4" s="360"/>
      <c r="AJ4" s="360"/>
      <c r="AK4" s="360"/>
      <c r="AL4" s="360"/>
      <c r="AM4" s="360"/>
      <c r="AN4" s="360"/>
      <c r="AO4" s="360"/>
      <c r="AP4" s="360"/>
      <c r="AQ4" s="360"/>
      <c r="AR4" s="360"/>
      <c r="AS4" s="360"/>
      <c r="AT4" s="360"/>
      <c r="AU4" s="360"/>
      <c r="AV4" s="360"/>
      <c r="AW4" s="360"/>
      <c r="AX4" s="360"/>
      <c r="AY4" s="360"/>
      <c r="AZ4" s="360"/>
      <c r="BA4" s="360"/>
      <c r="BB4" s="360"/>
      <c r="BC4" s="360"/>
      <c r="BD4" s="360"/>
      <c r="BE4" s="360"/>
      <c r="BF4" s="360"/>
      <c r="BG4" s="360"/>
      <c r="BH4" s="360"/>
      <c r="BI4" s="360"/>
      <c r="BJ4" s="360"/>
      <c r="BK4" s="360"/>
      <c r="BL4" s="360"/>
      <c r="BM4" s="360"/>
      <c r="BN4" s="360"/>
      <c r="BO4" s="360"/>
      <c r="BP4" s="360"/>
      <c r="BQ4" s="360"/>
      <c r="BR4" s="360"/>
      <c r="BS4" s="360"/>
      <c r="BT4" s="360"/>
      <c r="BU4" s="360"/>
      <c r="BV4" s="360"/>
      <c r="BW4" s="360"/>
      <c r="BX4" s="360"/>
      <c r="BY4" s="360"/>
      <c r="BZ4" s="360"/>
      <c r="CA4" s="360"/>
      <c r="CB4" s="360"/>
      <c r="CC4" s="360"/>
      <c r="CD4" s="360"/>
      <c r="CE4" s="360"/>
      <c r="CF4" s="360"/>
      <c r="CG4" s="360"/>
      <c r="CH4" s="360"/>
      <c r="CI4" s="360"/>
      <c r="CJ4" s="360"/>
      <c r="CK4" s="360"/>
      <c r="CL4" s="360"/>
      <c r="CM4" s="360"/>
      <c r="CN4" s="361" t="s">
        <v>4</v>
      </c>
      <c r="CO4" s="361"/>
      <c r="CP4" s="361"/>
      <c r="CQ4" s="361"/>
      <c r="CR4" s="361"/>
      <c r="CS4" s="361"/>
      <c r="CT4" s="361"/>
      <c r="CU4" s="361"/>
      <c r="CV4" s="361"/>
      <c r="CW4" s="361"/>
      <c r="CX4" s="361"/>
      <c r="CY4" s="361"/>
      <c r="CZ4" s="361"/>
    </row>
    <row r="5" spans="1:105" ht="9" customHeight="1">
      <c r="A5" s="359"/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 s="359"/>
      <c r="Q5" s="359"/>
      <c r="R5" s="359"/>
      <c r="S5" s="359"/>
      <c r="T5" s="359"/>
      <c r="U5" s="359"/>
      <c r="V5" s="359"/>
      <c r="W5" s="359"/>
      <c r="X5" s="359"/>
      <c r="Y5" s="359"/>
      <c r="Z5" s="359"/>
      <c r="AA5" s="359"/>
      <c r="AB5" s="359"/>
      <c r="AC5" s="359"/>
      <c r="AD5" s="359"/>
      <c r="AE5" s="359"/>
      <c r="AF5" s="359"/>
      <c r="AG5" s="359"/>
      <c r="AH5" s="359"/>
      <c r="AI5" s="359"/>
      <c r="AJ5" s="359"/>
      <c r="AK5" s="359"/>
      <c r="AL5" s="359"/>
      <c r="AM5" s="359"/>
      <c r="AN5" s="359"/>
      <c r="AO5" s="359"/>
      <c r="AP5" s="359"/>
      <c r="AQ5" s="359"/>
      <c r="AR5" s="359"/>
      <c r="AS5" s="359"/>
      <c r="AT5" s="359"/>
      <c r="AU5" s="359"/>
      <c r="AV5" s="359"/>
      <c r="AW5" s="359"/>
      <c r="AX5" s="359"/>
      <c r="AY5" s="359"/>
      <c r="AZ5" s="359"/>
      <c r="BA5" s="359"/>
      <c r="BB5" s="359"/>
      <c r="BC5" s="359"/>
      <c r="BD5" s="359"/>
      <c r="BE5" s="359"/>
      <c r="BF5" s="359"/>
      <c r="BG5" s="359"/>
      <c r="BH5" s="359"/>
      <c r="BI5" s="359"/>
      <c r="BJ5" s="359"/>
      <c r="BK5" s="359"/>
      <c r="BL5" s="359"/>
      <c r="BM5" s="359"/>
      <c r="BN5" s="359"/>
      <c r="BO5" s="359"/>
      <c r="BP5" s="359"/>
      <c r="BQ5" s="359"/>
      <c r="BR5" s="359"/>
      <c r="BS5" s="359"/>
      <c r="BT5" s="359"/>
      <c r="BU5" s="359"/>
      <c r="BV5" s="359"/>
      <c r="BW5" s="359"/>
      <c r="BX5" s="359"/>
      <c r="BY5" s="359"/>
      <c r="BZ5" s="359"/>
      <c r="CA5" s="359"/>
      <c r="CB5" s="359"/>
      <c r="CC5" s="359"/>
      <c r="CD5" s="359"/>
      <c r="CE5" s="359"/>
      <c r="CF5" s="359"/>
      <c r="CG5" s="359"/>
      <c r="CH5" s="359"/>
      <c r="CI5" s="359"/>
      <c r="CJ5" s="359"/>
      <c r="CK5" s="359"/>
      <c r="CL5" s="359"/>
      <c r="CM5" s="359"/>
      <c r="CN5" s="359"/>
      <c r="CO5" s="359"/>
      <c r="CP5" s="359"/>
      <c r="CQ5" s="359"/>
      <c r="CR5" s="359"/>
      <c r="CS5" s="359"/>
      <c r="CT5" s="359"/>
      <c r="CU5" s="359"/>
      <c r="CV5" s="359"/>
      <c r="CW5" s="359"/>
      <c r="CX5" s="359"/>
      <c r="CY5" s="359"/>
      <c r="CZ5" s="359"/>
    </row>
    <row r="6" spans="1:105" s="3" customFormat="1" ht="20.25" customHeight="1">
      <c r="A6" s="350" t="s">
        <v>5</v>
      </c>
      <c r="B6" s="352" t="s">
        <v>6</v>
      </c>
      <c r="C6" s="353" t="s">
        <v>7</v>
      </c>
      <c r="D6" s="354" t="s">
        <v>8</v>
      </c>
      <c r="E6" s="355" t="s">
        <v>9</v>
      </c>
      <c r="F6" s="351" t="s">
        <v>10</v>
      </c>
      <c r="G6" s="351"/>
      <c r="H6" s="351"/>
      <c r="I6" s="351"/>
      <c r="J6" s="351"/>
      <c r="K6" s="351"/>
      <c r="L6" s="351"/>
      <c r="M6" s="351"/>
      <c r="N6" s="351"/>
      <c r="O6" s="351"/>
      <c r="P6" s="351"/>
      <c r="Q6" s="351"/>
      <c r="R6" s="351"/>
      <c r="S6" s="351"/>
      <c r="T6" s="351"/>
      <c r="U6" s="351"/>
      <c r="V6" s="351"/>
      <c r="W6" s="351"/>
      <c r="X6" s="351"/>
      <c r="Y6" s="351"/>
      <c r="Z6" s="351"/>
      <c r="AA6" s="351"/>
      <c r="AB6" s="351"/>
      <c r="AC6" s="351"/>
      <c r="AD6" s="351"/>
      <c r="AE6" s="351"/>
      <c r="AF6" s="351"/>
      <c r="AG6" s="351"/>
      <c r="AH6" s="351"/>
      <c r="AI6" s="351"/>
      <c r="AJ6" s="351"/>
      <c r="AK6" s="351"/>
      <c r="AL6" s="351"/>
      <c r="AM6" s="351"/>
      <c r="AN6" s="351"/>
      <c r="AO6" s="351"/>
      <c r="AP6" s="351"/>
      <c r="AQ6" s="351"/>
      <c r="AR6" s="351"/>
      <c r="AS6" s="351"/>
      <c r="AT6" s="351"/>
      <c r="AU6" s="351"/>
      <c r="AV6" s="351"/>
      <c r="AW6" s="351"/>
      <c r="AX6" s="351"/>
      <c r="AY6" s="351"/>
      <c r="AZ6" s="351"/>
      <c r="BA6" s="351"/>
      <c r="BB6" s="351"/>
      <c r="BC6" s="351"/>
      <c r="BD6" s="351"/>
      <c r="BE6" s="351"/>
      <c r="BF6" s="351"/>
      <c r="BG6" s="351"/>
      <c r="BH6" s="351"/>
      <c r="BI6" s="351"/>
      <c r="BJ6" s="351"/>
      <c r="BK6" s="351"/>
      <c r="BL6" s="351"/>
      <c r="BM6" s="351"/>
      <c r="BN6" s="351"/>
      <c r="BO6" s="351"/>
      <c r="BP6" s="351"/>
      <c r="BQ6" s="351"/>
      <c r="BR6" s="351"/>
      <c r="BS6" s="351"/>
      <c r="BT6" s="351"/>
      <c r="BU6" s="351"/>
      <c r="BV6" s="351"/>
      <c r="BW6" s="351"/>
      <c r="BX6" s="351"/>
      <c r="BY6" s="351"/>
      <c r="BZ6" s="351"/>
      <c r="CA6" s="351"/>
      <c r="CB6" s="351"/>
      <c r="CC6" s="351"/>
      <c r="CD6" s="351"/>
      <c r="CE6" s="351"/>
      <c r="CF6" s="351"/>
      <c r="CG6" s="351"/>
      <c r="CH6" s="351"/>
      <c r="CI6" s="351"/>
      <c r="CJ6" s="351"/>
      <c r="CK6" s="351"/>
      <c r="CL6" s="351"/>
      <c r="CM6" s="351"/>
      <c r="CN6" s="351"/>
      <c r="CO6" s="351"/>
      <c r="CP6" s="351"/>
      <c r="CQ6" s="351"/>
      <c r="CR6" s="351"/>
      <c r="CS6" s="351"/>
      <c r="CT6" s="351"/>
      <c r="CU6" s="351"/>
      <c r="CV6" s="351"/>
      <c r="CW6" s="351"/>
      <c r="CX6" s="351"/>
      <c r="CY6" s="351"/>
      <c r="CZ6" s="350"/>
    </row>
    <row r="7" spans="1:105" s="3" customFormat="1" ht="20.25" customHeight="1">
      <c r="A7" s="350"/>
      <c r="B7" s="352"/>
      <c r="C7" s="353"/>
      <c r="D7" s="354"/>
      <c r="E7" s="355"/>
      <c r="F7" s="350" t="s">
        <v>11</v>
      </c>
      <c r="G7" s="350"/>
      <c r="H7" s="350"/>
      <c r="I7" s="350"/>
      <c r="J7" s="350"/>
      <c r="K7" s="350"/>
      <c r="L7" s="350"/>
      <c r="M7" s="350"/>
      <c r="N7" s="350"/>
      <c r="O7" s="350"/>
      <c r="P7" s="350" t="s">
        <v>12</v>
      </c>
      <c r="Q7" s="350"/>
      <c r="R7" s="350"/>
      <c r="S7" s="350"/>
      <c r="T7" s="350"/>
      <c r="U7" s="350"/>
      <c r="V7" s="350"/>
      <c r="W7" s="350" t="s">
        <v>13</v>
      </c>
      <c r="X7" s="350"/>
      <c r="Y7" s="350"/>
      <c r="Z7" s="350"/>
      <c r="AA7" s="350"/>
      <c r="AB7" s="350"/>
      <c r="AC7" s="350"/>
      <c r="AD7" s="350"/>
      <c r="AE7" s="350"/>
      <c r="AF7" s="350"/>
      <c r="AG7" s="350"/>
      <c r="AH7" s="350" t="s">
        <v>14</v>
      </c>
      <c r="AI7" s="350"/>
      <c r="AJ7" s="350"/>
      <c r="AK7" s="350"/>
      <c r="AL7" s="350"/>
      <c r="AM7" s="350"/>
      <c r="AN7" s="350"/>
      <c r="AO7" s="356" t="s">
        <v>15</v>
      </c>
      <c r="AP7" s="357"/>
      <c r="AQ7" s="357"/>
      <c r="AR7" s="357"/>
      <c r="AS7" s="357"/>
      <c r="AT7" s="357"/>
      <c r="AU7" s="357"/>
      <c r="AV7" s="357"/>
      <c r="AW7" s="358"/>
      <c r="AX7" s="350" t="s">
        <v>16</v>
      </c>
      <c r="AY7" s="350"/>
      <c r="AZ7" s="350"/>
      <c r="BA7" s="350"/>
      <c r="BB7" s="350"/>
      <c r="BC7" s="350"/>
      <c r="BD7" s="350"/>
      <c r="BE7" s="350" t="s">
        <v>17</v>
      </c>
      <c r="BF7" s="350"/>
      <c r="BG7" s="350"/>
      <c r="BH7" s="350"/>
      <c r="BI7" s="350"/>
      <c r="BJ7" s="350"/>
      <c r="BK7" s="350"/>
      <c r="BL7" s="350"/>
      <c r="BM7" s="350"/>
      <c r="BN7" s="350"/>
      <c r="BO7" s="350"/>
      <c r="BP7" s="350"/>
      <c r="BQ7" s="350"/>
      <c r="BR7" s="350" t="s">
        <v>18</v>
      </c>
      <c r="BS7" s="350"/>
      <c r="BT7" s="350"/>
      <c r="BU7" s="350" t="s">
        <v>19</v>
      </c>
      <c r="BV7" s="350"/>
      <c r="BW7" s="350"/>
      <c r="BX7" s="350"/>
      <c r="BY7" s="350"/>
      <c r="BZ7" s="350"/>
      <c r="CA7" s="350"/>
      <c r="CB7" s="350"/>
      <c r="CC7" s="350"/>
      <c r="CD7" s="350"/>
      <c r="CE7" s="350"/>
      <c r="CF7" s="350"/>
      <c r="CG7" s="350"/>
      <c r="CH7" s="350" t="s">
        <v>20</v>
      </c>
      <c r="CI7" s="350"/>
      <c r="CJ7" s="350"/>
      <c r="CK7" s="350"/>
      <c r="CL7" s="350"/>
      <c r="CM7" s="350" t="s">
        <v>21</v>
      </c>
      <c r="CN7" s="350"/>
      <c r="CO7" s="350"/>
      <c r="CP7" s="350"/>
      <c r="CQ7" s="350"/>
      <c r="CR7" s="350" t="s">
        <v>22</v>
      </c>
      <c r="CS7" s="350"/>
      <c r="CT7" s="350"/>
      <c r="CU7" s="350"/>
      <c r="CV7" s="350"/>
      <c r="CW7" s="350" t="s">
        <v>23</v>
      </c>
      <c r="CX7" s="350"/>
      <c r="CY7" s="350"/>
      <c r="CZ7" s="350"/>
      <c r="DA7" s="3" t="s">
        <v>24</v>
      </c>
    </row>
    <row r="8" spans="1:105" s="3" customFormat="1" ht="145.5" customHeight="1">
      <c r="A8" s="350"/>
      <c r="B8" s="352"/>
      <c r="C8" s="353"/>
      <c r="D8" s="354"/>
      <c r="E8" s="355"/>
      <c r="F8" s="4" t="s">
        <v>25</v>
      </c>
      <c r="G8" s="4" t="s">
        <v>26</v>
      </c>
      <c r="H8" s="5" t="s">
        <v>27</v>
      </c>
      <c r="I8" s="5" t="s">
        <v>28</v>
      </c>
      <c r="J8" s="5" t="s">
        <v>29</v>
      </c>
      <c r="K8" s="5" t="s">
        <v>30</v>
      </c>
      <c r="L8" s="5" t="s">
        <v>31</v>
      </c>
      <c r="M8" s="5" t="s">
        <v>32</v>
      </c>
      <c r="N8" s="5" t="s">
        <v>33</v>
      </c>
      <c r="O8" s="5" t="s">
        <v>34</v>
      </c>
      <c r="P8" s="5" t="s">
        <v>35</v>
      </c>
      <c r="Q8" s="5" t="s">
        <v>36</v>
      </c>
      <c r="R8" s="5" t="s">
        <v>37</v>
      </c>
      <c r="S8" s="5" t="s">
        <v>38</v>
      </c>
      <c r="T8" s="5" t="s">
        <v>39</v>
      </c>
      <c r="U8" s="5" t="s">
        <v>40</v>
      </c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  <c r="AH8" s="5" t="s">
        <v>53</v>
      </c>
      <c r="AI8" s="5" t="s">
        <v>54</v>
      </c>
      <c r="AJ8" s="4" t="s">
        <v>55</v>
      </c>
      <c r="AK8" s="5" t="s">
        <v>56</v>
      </c>
      <c r="AL8" s="5" t="s">
        <v>57</v>
      </c>
      <c r="AM8" s="5" t="s">
        <v>58</v>
      </c>
      <c r="AN8" s="5" t="s">
        <v>59</v>
      </c>
      <c r="AO8" s="5" t="s">
        <v>60</v>
      </c>
      <c r="AP8" s="5" t="s">
        <v>61</v>
      </c>
      <c r="AQ8" s="5" t="s">
        <v>62</v>
      </c>
      <c r="AR8" s="5" t="s">
        <v>63</v>
      </c>
      <c r="AS8" s="5" t="s">
        <v>64</v>
      </c>
      <c r="AT8" s="5" t="s">
        <v>65</v>
      </c>
      <c r="AU8" s="5" t="s">
        <v>66</v>
      </c>
      <c r="AV8" s="5" t="s">
        <v>67</v>
      </c>
      <c r="AW8" s="5" t="s">
        <v>68</v>
      </c>
      <c r="AX8" s="5" t="s">
        <v>69</v>
      </c>
      <c r="AY8" s="5" t="s">
        <v>70</v>
      </c>
      <c r="AZ8" s="5" t="s">
        <v>71</v>
      </c>
      <c r="BA8" s="5" t="s">
        <v>72</v>
      </c>
      <c r="BB8" s="5" t="s">
        <v>73</v>
      </c>
      <c r="BC8" s="5" t="s">
        <v>57</v>
      </c>
      <c r="BD8" s="5" t="s">
        <v>74</v>
      </c>
      <c r="BE8" s="5" t="s">
        <v>43</v>
      </c>
      <c r="BF8" s="5" t="s">
        <v>44</v>
      </c>
      <c r="BG8" s="5" t="s">
        <v>47</v>
      </c>
      <c r="BH8" s="5" t="s">
        <v>49</v>
      </c>
      <c r="BI8" s="5" t="s">
        <v>75</v>
      </c>
      <c r="BJ8" s="5" t="s">
        <v>76</v>
      </c>
      <c r="BK8" s="5" t="s">
        <v>56</v>
      </c>
      <c r="BL8" s="5" t="s">
        <v>77</v>
      </c>
      <c r="BM8" s="5" t="s">
        <v>57</v>
      </c>
      <c r="BN8" s="5" t="s">
        <v>78</v>
      </c>
      <c r="BO8" s="5" t="s">
        <v>79</v>
      </c>
      <c r="BP8" s="5" t="s">
        <v>80</v>
      </c>
      <c r="BQ8" s="5" t="s">
        <v>81</v>
      </c>
      <c r="BR8" s="5" t="s">
        <v>82</v>
      </c>
      <c r="BS8" s="5" t="s">
        <v>83</v>
      </c>
      <c r="BT8" s="5" t="s">
        <v>69</v>
      </c>
      <c r="BU8" s="5" t="s">
        <v>84</v>
      </c>
      <c r="BV8" s="5" t="s">
        <v>85</v>
      </c>
      <c r="BW8" s="5" t="s">
        <v>86</v>
      </c>
      <c r="BX8" s="5" t="s">
        <v>77</v>
      </c>
      <c r="BY8" s="5" t="s">
        <v>43</v>
      </c>
      <c r="BZ8" s="5" t="s">
        <v>47</v>
      </c>
      <c r="CA8" s="5" t="s">
        <v>48</v>
      </c>
      <c r="CB8" s="5" t="s">
        <v>87</v>
      </c>
      <c r="CC8" s="5" t="s">
        <v>88</v>
      </c>
      <c r="CD8" s="5" t="s">
        <v>89</v>
      </c>
      <c r="CE8" s="5" t="s">
        <v>49</v>
      </c>
      <c r="CF8" s="5" t="s">
        <v>90</v>
      </c>
      <c r="CG8" s="5" t="s">
        <v>56</v>
      </c>
      <c r="CH8" s="5" t="s">
        <v>91</v>
      </c>
      <c r="CI8" s="5" t="s">
        <v>92</v>
      </c>
      <c r="CJ8" s="5" t="s">
        <v>93</v>
      </c>
      <c r="CK8" s="5" t="s">
        <v>94</v>
      </c>
      <c r="CL8" s="5" t="s">
        <v>95</v>
      </c>
      <c r="CM8" s="5" t="s">
        <v>96</v>
      </c>
      <c r="CN8" s="5" t="s">
        <v>97</v>
      </c>
      <c r="CO8" s="5" t="s">
        <v>98</v>
      </c>
      <c r="CP8" s="5" t="s">
        <v>99</v>
      </c>
      <c r="CQ8" s="5" t="s">
        <v>100</v>
      </c>
      <c r="CR8" s="5" t="s">
        <v>101</v>
      </c>
      <c r="CS8" s="5" t="s">
        <v>102</v>
      </c>
      <c r="CT8" s="5" t="s">
        <v>103</v>
      </c>
      <c r="CU8" s="5" t="s">
        <v>104</v>
      </c>
      <c r="CV8" s="5" t="s">
        <v>105</v>
      </c>
      <c r="CW8" s="5" t="s">
        <v>106</v>
      </c>
      <c r="CX8" s="5" t="s">
        <v>107</v>
      </c>
      <c r="CY8" s="5" t="s">
        <v>108</v>
      </c>
      <c r="CZ8" s="2" t="s">
        <v>109</v>
      </c>
    </row>
    <row r="9" spans="1:105" s="11" customFormat="1" ht="21.75" customHeight="1">
      <c r="A9" s="13">
        <v>1</v>
      </c>
      <c r="B9" s="40" t="s">
        <v>110</v>
      </c>
      <c r="C9" s="40" t="s">
        <v>111</v>
      </c>
      <c r="D9" s="21" t="s">
        <v>112</v>
      </c>
      <c r="E9" s="9">
        <v>45659</v>
      </c>
      <c r="F9" s="12" t="s">
        <v>113</v>
      </c>
      <c r="G9" s="12"/>
      <c r="H9" s="10"/>
      <c r="I9" s="10"/>
      <c r="J9" s="10"/>
      <c r="K9" s="10"/>
      <c r="L9" s="10"/>
      <c r="M9" s="10"/>
      <c r="N9" s="12" t="s">
        <v>113</v>
      </c>
      <c r="O9" s="12" t="s">
        <v>113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>
        <f>IF(COUNTIF(F9:CY9,"ü")&lt;=0,0,1)</f>
        <v>1</v>
      </c>
      <c r="DA9" s="11" t="s">
        <v>114</v>
      </c>
    </row>
    <row r="10" spans="1:105" s="11" customFormat="1" ht="21.75" customHeight="1">
      <c r="A10" s="13">
        <v>2</v>
      </c>
      <c r="B10" s="40" t="s">
        <v>115</v>
      </c>
      <c r="C10" s="40" t="s">
        <v>116</v>
      </c>
      <c r="D10" s="21" t="s">
        <v>117</v>
      </c>
      <c r="E10" s="9">
        <v>45770</v>
      </c>
      <c r="F10" s="12" t="s">
        <v>113</v>
      </c>
      <c r="G10" s="12"/>
      <c r="H10" s="10"/>
      <c r="I10" s="10"/>
      <c r="J10" s="10"/>
      <c r="K10" s="10"/>
      <c r="L10" s="10"/>
      <c r="M10" s="10"/>
      <c r="N10" s="10"/>
      <c r="O10" s="12" t="s">
        <v>113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>
        <f t="shared" ref="CZ10:CZ23" si="0">IF(COUNTIF(F10:CY10,"ü")&lt;=0,0,1)</f>
        <v>1</v>
      </c>
      <c r="DA10" s="11" t="s">
        <v>114</v>
      </c>
    </row>
    <row r="11" spans="1:105" s="11" customFormat="1" ht="21.75" customHeight="1">
      <c r="A11" s="13">
        <v>3</v>
      </c>
      <c r="B11" s="40" t="s">
        <v>118</v>
      </c>
      <c r="C11" s="40" t="s">
        <v>119</v>
      </c>
      <c r="D11" s="21" t="s">
        <v>120</v>
      </c>
      <c r="E11" s="9">
        <v>45807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2" t="s">
        <v>113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2" t="s">
        <v>113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2" t="s">
        <v>113</v>
      </c>
      <c r="BS11" s="12" t="s">
        <v>113</v>
      </c>
      <c r="BT11" s="12" t="s">
        <v>113</v>
      </c>
      <c r="BU11" s="12"/>
      <c r="BV11" s="12"/>
      <c r="BW11" s="12"/>
      <c r="BX11" s="12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>
        <f t="shared" si="0"/>
        <v>1</v>
      </c>
      <c r="DA11" s="11" t="s">
        <v>114</v>
      </c>
    </row>
    <row r="12" spans="1:105" s="11" customFormat="1" ht="21.75" customHeight="1">
      <c r="A12" s="13">
        <v>4</v>
      </c>
      <c r="B12" s="40" t="s">
        <v>121</v>
      </c>
      <c r="C12" s="40" t="s">
        <v>122</v>
      </c>
      <c r="D12" s="21" t="s">
        <v>123</v>
      </c>
      <c r="E12" s="9">
        <v>45442</v>
      </c>
      <c r="F12" s="10"/>
      <c r="G12" s="12" t="s">
        <v>113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2" t="s">
        <v>113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2" t="s">
        <v>113</v>
      </c>
      <c r="BF12" s="12" t="s">
        <v>113</v>
      </c>
      <c r="BG12" s="12" t="s">
        <v>113</v>
      </c>
      <c r="BH12" s="10"/>
      <c r="BI12" s="10"/>
      <c r="BJ12" s="10"/>
      <c r="BK12" s="10"/>
      <c r="BL12" s="10"/>
      <c r="BM12" s="10"/>
      <c r="BN12" s="10"/>
      <c r="BO12" s="10"/>
      <c r="BP12" s="10"/>
      <c r="BQ12" s="12" t="s">
        <v>113</v>
      </c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>
        <f t="shared" si="0"/>
        <v>1</v>
      </c>
      <c r="DA12" s="11" t="s">
        <v>114</v>
      </c>
    </row>
    <row r="13" spans="1:105" s="11" customFormat="1" ht="21.75" customHeight="1">
      <c r="A13" s="13">
        <v>5</v>
      </c>
      <c r="B13" s="40" t="s">
        <v>124</v>
      </c>
      <c r="C13" s="40" t="s">
        <v>125</v>
      </c>
      <c r="D13" s="21" t="s">
        <v>123</v>
      </c>
      <c r="E13" s="9">
        <v>45807</v>
      </c>
      <c r="F13" s="10"/>
      <c r="G13" s="12" t="s">
        <v>113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2" t="s">
        <v>113</v>
      </c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2" t="s">
        <v>113</v>
      </c>
      <c r="BI13" s="12" t="s">
        <v>113</v>
      </c>
      <c r="BJ13" s="12" t="s">
        <v>113</v>
      </c>
      <c r="BK13" s="12" t="s">
        <v>113</v>
      </c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>
        <f t="shared" si="0"/>
        <v>1</v>
      </c>
      <c r="DA13" s="11" t="s">
        <v>114</v>
      </c>
    </row>
    <row r="14" spans="1:105" s="11" customFormat="1" ht="21.75" customHeight="1">
      <c r="A14" s="13">
        <v>6</v>
      </c>
      <c r="B14" s="40" t="s">
        <v>126</v>
      </c>
      <c r="C14" s="40" t="s">
        <v>127</v>
      </c>
      <c r="D14" s="21" t="s">
        <v>128</v>
      </c>
      <c r="E14" s="9">
        <v>45442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2" t="s">
        <v>113</v>
      </c>
      <c r="CI14" s="12" t="s">
        <v>113</v>
      </c>
      <c r="CJ14" s="12" t="s">
        <v>113</v>
      </c>
      <c r="CK14" s="12" t="s">
        <v>113</v>
      </c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>
        <f t="shared" si="0"/>
        <v>1</v>
      </c>
      <c r="DA14" s="11" t="s">
        <v>114</v>
      </c>
    </row>
    <row r="15" spans="1:105" s="11" customFormat="1" ht="21.75" customHeight="1">
      <c r="A15" s="13">
        <v>7</v>
      </c>
      <c r="B15" s="40" t="s">
        <v>129</v>
      </c>
      <c r="C15" s="40" t="s">
        <v>130</v>
      </c>
      <c r="D15" s="21" t="s">
        <v>131</v>
      </c>
      <c r="E15" s="9">
        <v>45770</v>
      </c>
      <c r="F15" s="10"/>
      <c r="G15" s="12" t="s">
        <v>113</v>
      </c>
      <c r="H15" s="10"/>
      <c r="I15" s="10"/>
      <c r="J15" s="12" t="s">
        <v>113</v>
      </c>
      <c r="K15" s="12" t="s">
        <v>113</v>
      </c>
      <c r="L15" s="12" t="s">
        <v>113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>
        <f t="shared" si="0"/>
        <v>1</v>
      </c>
      <c r="DA15" s="11" t="s">
        <v>114</v>
      </c>
    </row>
    <row r="16" spans="1:105" s="11" customFormat="1" ht="21.75" customHeight="1">
      <c r="A16" s="13">
        <v>8</v>
      </c>
      <c r="B16" s="40" t="s">
        <v>132</v>
      </c>
      <c r="C16" s="40" t="s">
        <v>133</v>
      </c>
      <c r="D16" s="21" t="s">
        <v>131</v>
      </c>
      <c r="E16" s="9">
        <v>45896</v>
      </c>
      <c r="F16" s="10"/>
      <c r="G16" s="12" t="s">
        <v>113</v>
      </c>
      <c r="H16" s="10"/>
      <c r="I16" s="10"/>
      <c r="J16" s="12" t="s">
        <v>113</v>
      </c>
      <c r="K16" s="12" t="s">
        <v>113</v>
      </c>
      <c r="L16" s="12" t="s">
        <v>113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2" t="s">
        <v>113</v>
      </c>
      <c r="AP16" s="10"/>
      <c r="AQ16" s="10"/>
      <c r="AR16" s="12" t="s">
        <v>113</v>
      </c>
      <c r="AS16" s="12" t="s">
        <v>113</v>
      </c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>
        <f t="shared" si="0"/>
        <v>1</v>
      </c>
      <c r="DA16" s="11" t="s">
        <v>114</v>
      </c>
    </row>
    <row r="17" spans="1:105" s="11" customFormat="1" ht="21.75" customHeight="1">
      <c r="A17" s="13">
        <v>9</v>
      </c>
      <c r="B17" s="40" t="s">
        <v>134</v>
      </c>
      <c r="C17" s="40" t="s">
        <v>135</v>
      </c>
      <c r="D17" s="21" t="s">
        <v>136</v>
      </c>
      <c r="E17" s="9">
        <v>45807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2" t="s">
        <v>113</v>
      </c>
      <c r="CI17" s="12" t="s">
        <v>113</v>
      </c>
      <c r="CJ17" s="12" t="s">
        <v>113</v>
      </c>
      <c r="CK17" s="12" t="s">
        <v>113</v>
      </c>
      <c r="CL17" s="12" t="s">
        <v>113</v>
      </c>
      <c r="CM17" s="12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>
        <f t="shared" si="0"/>
        <v>1</v>
      </c>
      <c r="DA17" s="11" t="s">
        <v>114</v>
      </c>
    </row>
    <row r="18" spans="1:105" s="11" customFormat="1" ht="21.75" customHeight="1">
      <c r="A18" s="13">
        <v>10</v>
      </c>
      <c r="B18" s="40" t="s">
        <v>137</v>
      </c>
      <c r="C18" s="40" t="s">
        <v>138</v>
      </c>
      <c r="D18" s="21" t="s">
        <v>136</v>
      </c>
      <c r="E18" s="9">
        <v>45807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2" t="s">
        <v>113</v>
      </c>
      <c r="CI18" s="12" t="s">
        <v>113</v>
      </c>
      <c r="CJ18" s="12" t="s">
        <v>113</v>
      </c>
      <c r="CK18" s="12" t="s">
        <v>113</v>
      </c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>
        <f t="shared" si="0"/>
        <v>1</v>
      </c>
      <c r="DA18" s="11" t="s">
        <v>114</v>
      </c>
    </row>
    <row r="19" spans="1:105" s="11" customFormat="1" ht="21.75" customHeight="1">
      <c r="A19" s="13">
        <v>11</v>
      </c>
      <c r="B19" s="40" t="s">
        <v>139</v>
      </c>
      <c r="C19" s="40" t="s">
        <v>140</v>
      </c>
      <c r="D19" s="21" t="s">
        <v>136</v>
      </c>
      <c r="E19" s="9">
        <v>45442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2" t="s">
        <v>113</v>
      </c>
      <c r="CI19" s="12" t="s">
        <v>113</v>
      </c>
      <c r="CJ19" s="12" t="s">
        <v>113</v>
      </c>
      <c r="CK19" s="12" t="s">
        <v>113</v>
      </c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>
        <f t="shared" si="0"/>
        <v>1</v>
      </c>
      <c r="DA19" s="11" t="s">
        <v>114</v>
      </c>
    </row>
    <row r="20" spans="1:105" s="11" customFormat="1" ht="21.75" customHeight="1">
      <c r="A20" s="13">
        <v>12</v>
      </c>
      <c r="B20" s="40" t="s">
        <v>141</v>
      </c>
      <c r="C20" s="40" t="s">
        <v>142</v>
      </c>
      <c r="D20" s="21" t="s">
        <v>136</v>
      </c>
      <c r="E20" s="9">
        <v>45717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2" t="s">
        <v>113</v>
      </c>
      <c r="CI20" s="12" t="s">
        <v>113</v>
      </c>
      <c r="CJ20" s="12" t="s">
        <v>113</v>
      </c>
      <c r="CK20" s="12" t="s">
        <v>113</v>
      </c>
      <c r="CL20" s="12" t="s">
        <v>113</v>
      </c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>
        <f t="shared" si="0"/>
        <v>1</v>
      </c>
      <c r="DA20" s="11" t="s">
        <v>114</v>
      </c>
    </row>
    <row r="21" spans="1:105" s="11" customFormat="1" ht="21.75" customHeight="1">
      <c r="A21" s="13">
        <v>13</v>
      </c>
      <c r="B21" s="41" t="s">
        <v>143</v>
      </c>
      <c r="C21" s="40" t="s">
        <v>144</v>
      </c>
      <c r="D21" s="21" t="s">
        <v>136</v>
      </c>
      <c r="E21" s="9">
        <v>45442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2" t="s">
        <v>113</v>
      </c>
      <c r="CI21" s="12" t="s">
        <v>113</v>
      </c>
      <c r="CJ21" s="12" t="s">
        <v>113</v>
      </c>
      <c r="CK21" s="12" t="s">
        <v>113</v>
      </c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>
        <f t="shared" si="0"/>
        <v>1</v>
      </c>
      <c r="DA21" s="11" t="s">
        <v>114</v>
      </c>
    </row>
    <row r="22" spans="1:105" s="11" customFormat="1" ht="21.75" customHeight="1">
      <c r="A22" s="13">
        <v>14</v>
      </c>
      <c r="B22" s="40" t="s">
        <v>145</v>
      </c>
      <c r="C22" s="40" t="s">
        <v>146</v>
      </c>
      <c r="D22" s="21" t="s">
        <v>136</v>
      </c>
      <c r="E22" s="9">
        <v>45442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2" t="s">
        <v>113</v>
      </c>
      <c r="CI22" s="12" t="s">
        <v>113</v>
      </c>
      <c r="CJ22" s="12" t="s">
        <v>113</v>
      </c>
      <c r="CK22" s="12" t="s">
        <v>113</v>
      </c>
      <c r="CL22" s="12" t="s">
        <v>113</v>
      </c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>
        <f t="shared" si="0"/>
        <v>1</v>
      </c>
      <c r="DA22" s="11" t="s">
        <v>114</v>
      </c>
    </row>
    <row r="23" spans="1:105" s="11" customFormat="1" ht="21.75" customHeight="1">
      <c r="A23" s="13">
        <v>15</v>
      </c>
      <c r="B23" s="40" t="s">
        <v>147</v>
      </c>
      <c r="C23" s="40" t="s">
        <v>148</v>
      </c>
      <c r="D23" s="21" t="s">
        <v>149</v>
      </c>
      <c r="E23" s="9">
        <v>45669</v>
      </c>
      <c r="F23" s="10"/>
      <c r="G23" s="12" t="s">
        <v>113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 t="s">
        <v>113</v>
      </c>
      <c r="AO23" s="12"/>
      <c r="AP23" s="12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2" t="s">
        <v>113</v>
      </c>
      <c r="CK23" s="12" t="s">
        <v>113</v>
      </c>
      <c r="CL23" s="10"/>
      <c r="CM23" s="12" t="s">
        <v>113</v>
      </c>
      <c r="CN23" s="12" t="s">
        <v>113</v>
      </c>
      <c r="CO23" s="12" t="s">
        <v>113</v>
      </c>
      <c r="CP23" s="12" t="s">
        <v>113</v>
      </c>
      <c r="CQ23" s="12" t="s">
        <v>113</v>
      </c>
      <c r="CR23" s="10"/>
      <c r="CS23" s="10"/>
      <c r="CT23" s="10"/>
      <c r="CU23" s="12" t="s">
        <v>113</v>
      </c>
      <c r="CV23" s="10"/>
      <c r="CW23" s="10"/>
      <c r="CX23" s="10"/>
      <c r="CY23" s="10"/>
      <c r="CZ23" s="10">
        <f t="shared" si="0"/>
        <v>1</v>
      </c>
      <c r="DA23" s="11" t="s">
        <v>114</v>
      </c>
    </row>
    <row r="24" spans="1:105" s="11" customFormat="1" ht="21.75" customHeight="1">
      <c r="A24" s="13">
        <v>16</v>
      </c>
      <c r="B24" s="40" t="s">
        <v>150</v>
      </c>
      <c r="C24" s="40" t="s">
        <v>151</v>
      </c>
      <c r="D24" s="21" t="s">
        <v>149</v>
      </c>
      <c r="E24" s="9">
        <v>45669</v>
      </c>
      <c r="F24" s="10"/>
      <c r="G24" s="12" t="s">
        <v>113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 t="s">
        <v>113</v>
      </c>
      <c r="AO24" s="12"/>
      <c r="AP24" s="12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2" t="s">
        <v>113</v>
      </c>
      <c r="CK24" s="12" t="s">
        <v>113</v>
      </c>
      <c r="CL24" s="10"/>
      <c r="CM24" s="12" t="s">
        <v>113</v>
      </c>
      <c r="CN24" s="12" t="s">
        <v>113</v>
      </c>
      <c r="CO24" s="12" t="s">
        <v>113</v>
      </c>
      <c r="CP24" s="12" t="s">
        <v>113</v>
      </c>
      <c r="CQ24" s="12" t="s">
        <v>113</v>
      </c>
      <c r="CR24" s="10"/>
      <c r="CS24" s="10"/>
      <c r="CT24" s="10"/>
      <c r="CU24" s="12" t="s">
        <v>113</v>
      </c>
      <c r="CV24" s="10"/>
      <c r="CW24" s="10"/>
      <c r="CX24" s="10"/>
      <c r="CY24" s="10"/>
      <c r="CZ24" s="10">
        <f t="shared" ref="CZ24:CZ32" si="1">IF(COUNTIF(F24:CY24,"ü")&lt;=0,0,1)</f>
        <v>1</v>
      </c>
      <c r="DA24" s="11" t="s">
        <v>114</v>
      </c>
    </row>
    <row r="25" spans="1:105" s="11" customFormat="1" ht="21.75" customHeight="1">
      <c r="A25" s="13">
        <v>17</v>
      </c>
      <c r="B25" s="42" t="s">
        <v>152</v>
      </c>
      <c r="C25" s="42" t="s">
        <v>153</v>
      </c>
      <c r="D25" s="22" t="s">
        <v>154</v>
      </c>
      <c r="E25" s="9">
        <v>45386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2" t="s">
        <v>113</v>
      </c>
      <c r="AO25" s="12"/>
      <c r="AP25" s="12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2" t="s">
        <v>113</v>
      </c>
      <c r="CK25" s="12" t="s">
        <v>113</v>
      </c>
      <c r="CL25" s="10"/>
      <c r="CM25" s="12" t="s">
        <v>113</v>
      </c>
      <c r="CN25" s="12" t="s">
        <v>113</v>
      </c>
      <c r="CO25" s="10"/>
      <c r="CP25" s="12" t="s">
        <v>113</v>
      </c>
      <c r="CQ25" s="10"/>
      <c r="CR25" s="10"/>
      <c r="CS25" s="10"/>
      <c r="CT25" s="10"/>
      <c r="CU25" s="12" t="s">
        <v>113</v>
      </c>
      <c r="CV25" s="10"/>
      <c r="CW25" s="10"/>
      <c r="CX25" s="10"/>
      <c r="CY25" s="10"/>
      <c r="CZ25" s="10">
        <f t="shared" si="1"/>
        <v>1</v>
      </c>
      <c r="DA25" s="11" t="s">
        <v>114</v>
      </c>
    </row>
    <row r="26" spans="1:105" s="11" customFormat="1" ht="21.75" customHeight="1">
      <c r="A26" s="13">
        <v>18</v>
      </c>
      <c r="B26" s="40" t="s">
        <v>155</v>
      </c>
      <c r="C26" s="40" t="s">
        <v>156</v>
      </c>
      <c r="D26" s="21" t="s">
        <v>149</v>
      </c>
      <c r="E26" s="9">
        <v>45659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2" t="s">
        <v>113</v>
      </c>
      <c r="AO26" s="12"/>
      <c r="AP26" s="12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2" t="s">
        <v>113</v>
      </c>
      <c r="CK26" s="12" t="s">
        <v>113</v>
      </c>
      <c r="CL26" s="10"/>
      <c r="CM26" s="12" t="s">
        <v>113</v>
      </c>
      <c r="CN26" s="12" t="s">
        <v>113</v>
      </c>
      <c r="CO26" s="10"/>
      <c r="CP26" s="12" t="s">
        <v>113</v>
      </c>
      <c r="CQ26" s="10"/>
      <c r="CR26" s="10"/>
      <c r="CS26" s="10"/>
      <c r="CT26" s="10"/>
      <c r="CU26" s="12" t="s">
        <v>113</v>
      </c>
      <c r="CV26" s="10"/>
      <c r="CW26" s="10"/>
      <c r="CX26" s="10"/>
      <c r="CY26" s="10"/>
      <c r="CZ26" s="10">
        <f t="shared" si="1"/>
        <v>1</v>
      </c>
      <c r="DA26" s="11" t="s">
        <v>114</v>
      </c>
    </row>
    <row r="27" spans="1:105" s="11" customFormat="1" ht="21.75" customHeight="1">
      <c r="A27" s="13">
        <v>19</v>
      </c>
      <c r="B27" s="40" t="s">
        <v>157</v>
      </c>
      <c r="C27" s="40" t="s">
        <v>158</v>
      </c>
      <c r="D27" s="21" t="s">
        <v>149</v>
      </c>
      <c r="E27" s="9">
        <v>45403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2" t="s">
        <v>113</v>
      </c>
      <c r="CK27" s="12" t="s">
        <v>113</v>
      </c>
      <c r="CL27" s="10"/>
      <c r="CM27" s="12" t="s">
        <v>113</v>
      </c>
      <c r="CN27" s="12" t="s">
        <v>113</v>
      </c>
      <c r="CO27" s="10"/>
      <c r="CP27" s="10"/>
      <c r="CQ27" s="10"/>
      <c r="CR27" s="10"/>
      <c r="CS27" s="10"/>
      <c r="CT27" s="10"/>
      <c r="CU27" s="12" t="s">
        <v>113</v>
      </c>
      <c r="CV27" s="10"/>
      <c r="CW27" s="10"/>
      <c r="CX27" s="10"/>
      <c r="CY27" s="10"/>
      <c r="CZ27" s="10">
        <f t="shared" si="1"/>
        <v>1</v>
      </c>
      <c r="DA27" s="11" t="s">
        <v>114</v>
      </c>
    </row>
    <row r="28" spans="1:105" s="11" customFormat="1" ht="21.75" customHeight="1">
      <c r="A28" s="13">
        <v>20</v>
      </c>
      <c r="B28" s="40" t="s">
        <v>159</v>
      </c>
      <c r="C28" s="40" t="s">
        <v>160</v>
      </c>
      <c r="D28" s="21" t="s">
        <v>149</v>
      </c>
      <c r="E28" s="9">
        <v>45666</v>
      </c>
      <c r="F28" s="10"/>
      <c r="G28" s="12" t="s">
        <v>113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2" t="s">
        <v>113</v>
      </c>
      <c r="AO28" s="12"/>
      <c r="AP28" s="12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2" t="s">
        <v>113</v>
      </c>
      <c r="CK28" s="12" t="s">
        <v>113</v>
      </c>
      <c r="CL28" s="10"/>
      <c r="CM28" s="12" t="s">
        <v>113</v>
      </c>
      <c r="CN28" s="12" t="s">
        <v>113</v>
      </c>
      <c r="CO28" s="12" t="s">
        <v>113</v>
      </c>
      <c r="CP28" s="12" t="s">
        <v>113</v>
      </c>
      <c r="CQ28" s="12" t="s">
        <v>113</v>
      </c>
      <c r="CR28" s="10"/>
      <c r="CS28" s="10"/>
      <c r="CT28" s="10"/>
      <c r="CU28" s="12" t="s">
        <v>113</v>
      </c>
      <c r="CV28" s="10"/>
      <c r="CW28" s="10"/>
      <c r="CX28" s="10"/>
      <c r="CY28" s="10"/>
      <c r="CZ28" s="10">
        <f t="shared" si="1"/>
        <v>1</v>
      </c>
      <c r="DA28" s="11" t="s">
        <v>114</v>
      </c>
    </row>
    <row r="29" spans="1:105" s="11" customFormat="1" ht="21.75" customHeight="1">
      <c r="A29" s="13">
        <v>21</v>
      </c>
      <c r="B29" s="40" t="s">
        <v>161</v>
      </c>
      <c r="C29" s="40" t="s">
        <v>162</v>
      </c>
      <c r="D29" s="21" t="s">
        <v>149</v>
      </c>
      <c r="E29" s="9">
        <v>45659</v>
      </c>
      <c r="F29" s="10"/>
      <c r="G29" s="12" t="s">
        <v>113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2" t="s">
        <v>113</v>
      </c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2" t="s">
        <v>113</v>
      </c>
      <c r="CK29" s="12" t="s">
        <v>113</v>
      </c>
      <c r="CL29" s="10"/>
      <c r="CM29" s="10"/>
      <c r="CN29" s="12" t="s">
        <v>113</v>
      </c>
      <c r="CO29" s="10"/>
      <c r="CP29" s="10"/>
      <c r="CQ29" s="10"/>
      <c r="CR29" s="10"/>
      <c r="CS29" s="10"/>
      <c r="CT29" s="10"/>
      <c r="CU29" s="12" t="s">
        <v>113</v>
      </c>
      <c r="CV29" s="10"/>
      <c r="CW29" s="10"/>
      <c r="CX29" s="10"/>
      <c r="CY29" s="10"/>
      <c r="CZ29" s="10">
        <f t="shared" si="1"/>
        <v>1</v>
      </c>
      <c r="DA29" s="11" t="s">
        <v>114</v>
      </c>
    </row>
    <row r="30" spans="1:105" s="11" customFormat="1" ht="21.75" customHeight="1">
      <c r="A30" s="13">
        <v>22</v>
      </c>
      <c r="B30" s="40" t="s">
        <v>163</v>
      </c>
      <c r="C30" s="40" t="s">
        <v>164</v>
      </c>
      <c r="D30" s="21" t="s">
        <v>149</v>
      </c>
      <c r="E30" s="9">
        <v>45403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2" t="s">
        <v>113</v>
      </c>
      <c r="AO30" s="12"/>
      <c r="AP30" s="12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2" t="s">
        <v>113</v>
      </c>
      <c r="CK30" s="12" t="s">
        <v>113</v>
      </c>
      <c r="CL30" s="10"/>
      <c r="CM30" s="10"/>
      <c r="CN30" s="10"/>
      <c r="CO30" s="12" t="s">
        <v>113</v>
      </c>
      <c r="CP30" s="10"/>
      <c r="CQ30" s="12" t="s">
        <v>113</v>
      </c>
      <c r="CR30" s="10"/>
      <c r="CS30" s="10"/>
      <c r="CT30" s="10"/>
      <c r="CU30" s="12" t="s">
        <v>113</v>
      </c>
      <c r="CV30" s="10"/>
      <c r="CW30" s="10"/>
      <c r="CX30" s="10"/>
      <c r="CY30" s="10"/>
      <c r="CZ30" s="10">
        <f t="shared" si="1"/>
        <v>1</v>
      </c>
      <c r="DA30" s="11" t="s">
        <v>114</v>
      </c>
    </row>
    <row r="31" spans="1:105" s="11" customFormat="1" ht="21.75" customHeight="1">
      <c r="A31" s="13">
        <v>23</v>
      </c>
      <c r="B31" s="41" t="s">
        <v>165</v>
      </c>
      <c r="C31" s="40" t="s">
        <v>166</v>
      </c>
      <c r="D31" s="21" t="s">
        <v>149</v>
      </c>
      <c r="E31" s="9">
        <v>45403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2" t="s">
        <v>113</v>
      </c>
      <c r="AO31" s="12"/>
      <c r="AP31" s="12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2" t="s">
        <v>113</v>
      </c>
      <c r="CK31" s="12" t="s">
        <v>113</v>
      </c>
      <c r="CL31" s="10"/>
      <c r="CM31" s="12" t="s">
        <v>113</v>
      </c>
      <c r="CN31" s="12" t="s">
        <v>113</v>
      </c>
      <c r="CO31" s="10"/>
      <c r="CP31" s="10"/>
      <c r="CQ31" s="12" t="s">
        <v>113</v>
      </c>
      <c r="CR31" s="10"/>
      <c r="CS31" s="10"/>
      <c r="CT31" s="10"/>
      <c r="CU31" s="12" t="s">
        <v>113</v>
      </c>
      <c r="CV31" s="10"/>
      <c r="CW31" s="10"/>
      <c r="CX31" s="10"/>
      <c r="CY31" s="10"/>
      <c r="CZ31" s="10">
        <f t="shared" si="1"/>
        <v>1</v>
      </c>
      <c r="DA31" s="11" t="s">
        <v>114</v>
      </c>
    </row>
    <row r="32" spans="1:105" s="11" customFormat="1" ht="21.75" customHeight="1">
      <c r="A32" s="13">
        <v>24</v>
      </c>
      <c r="B32" s="40" t="s">
        <v>167</v>
      </c>
      <c r="C32" s="40" t="s">
        <v>168</v>
      </c>
      <c r="D32" s="21" t="s">
        <v>149</v>
      </c>
      <c r="E32" s="9">
        <v>45403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2" t="s">
        <v>113</v>
      </c>
      <c r="AO32" s="12"/>
      <c r="AP32" s="12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2" t="s">
        <v>113</v>
      </c>
      <c r="CK32" s="12" t="s">
        <v>113</v>
      </c>
      <c r="CL32" s="10"/>
      <c r="CM32" s="12" t="s">
        <v>113</v>
      </c>
      <c r="CN32" s="12" t="s">
        <v>113</v>
      </c>
      <c r="CO32" s="12" t="s">
        <v>113</v>
      </c>
      <c r="CP32" s="12" t="s">
        <v>113</v>
      </c>
      <c r="CQ32" s="12" t="s">
        <v>113</v>
      </c>
      <c r="CR32" s="10"/>
      <c r="CS32" s="10"/>
      <c r="CT32" s="10"/>
      <c r="CU32" s="12" t="s">
        <v>113</v>
      </c>
      <c r="CV32" s="10"/>
      <c r="CW32" s="10"/>
      <c r="CX32" s="10"/>
      <c r="CY32" s="10"/>
      <c r="CZ32" s="10">
        <f t="shared" si="1"/>
        <v>1</v>
      </c>
      <c r="DA32" s="11" t="s">
        <v>114</v>
      </c>
    </row>
    <row r="33" spans="1:105" s="11" customFormat="1" ht="21.75" customHeight="1">
      <c r="A33" s="13">
        <v>25</v>
      </c>
      <c r="B33" s="40" t="s">
        <v>169</v>
      </c>
      <c r="C33" s="40" t="s">
        <v>170</v>
      </c>
      <c r="D33" s="21" t="s">
        <v>149</v>
      </c>
      <c r="E33" s="9">
        <v>45669</v>
      </c>
      <c r="F33" s="10"/>
      <c r="G33" s="12" t="s">
        <v>113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2" t="s">
        <v>113</v>
      </c>
      <c r="AO33" s="12"/>
      <c r="AP33" s="12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2" t="s">
        <v>113</v>
      </c>
      <c r="CK33" s="12" t="s">
        <v>113</v>
      </c>
      <c r="CL33" s="10"/>
      <c r="CM33" s="12" t="s">
        <v>113</v>
      </c>
      <c r="CN33" s="12" t="s">
        <v>113</v>
      </c>
      <c r="CO33" s="12" t="s">
        <v>113</v>
      </c>
      <c r="CP33" s="12" t="s">
        <v>113</v>
      </c>
      <c r="CQ33" s="12" t="s">
        <v>113</v>
      </c>
      <c r="CR33" s="10"/>
      <c r="CS33" s="10"/>
      <c r="CT33" s="10"/>
      <c r="CU33" s="12" t="s">
        <v>113</v>
      </c>
      <c r="CV33" s="10"/>
      <c r="CW33" s="10"/>
      <c r="CX33" s="10"/>
      <c r="CY33" s="10"/>
      <c r="CZ33" s="10">
        <f t="shared" ref="CZ33:CZ45" si="2">IF(COUNTIF(F33:CY33,"ü")&lt;=0,0,1)</f>
        <v>1</v>
      </c>
      <c r="DA33" s="11" t="s">
        <v>114</v>
      </c>
    </row>
    <row r="34" spans="1:105" s="11" customFormat="1" ht="21.75" customHeight="1">
      <c r="A34" s="13">
        <v>26</v>
      </c>
      <c r="B34" s="40" t="s">
        <v>171</v>
      </c>
      <c r="C34" s="40" t="s">
        <v>172</v>
      </c>
      <c r="D34" s="21" t="s">
        <v>173</v>
      </c>
      <c r="E34" s="9">
        <v>45722</v>
      </c>
      <c r="F34" s="10"/>
      <c r="G34" s="12" t="s">
        <v>113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2" t="s">
        <v>113</v>
      </c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2" t="s">
        <v>113</v>
      </c>
      <c r="CK34" s="12" t="s">
        <v>113</v>
      </c>
      <c r="CL34" s="10"/>
      <c r="CM34" s="10"/>
      <c r="CN34" s="12" t="s">
        <v>113</v>
      </c>
      <c r="CO34" s="10"/>
      <c r="CP34" s="10"/>
      <c r="CQ34" s="10"/>
      <c r="CR34" s="12" t="s">
        <v>113</v>
      </c>
      <c r="CS34" s="12" t="s">
        <v>113</v>
      </c>
      <c r="CT34" s="12" t="s">
        <v>113</v>
      </c>
      <c r="CU34" s="12" t="s">
        <v>113</v>
      </c>
      <c r="CV34" s="10"/>
      <c r="CW34" s="10"/>
      <c r="CX34" s="10"/>
      <c r="CY34" s="10"/>
      <c r="CZ34" s="10">
        <f t="shared" si="2"/>
        <v>1</v>
      </c>
      <c r="DA34" s="11" t="s">
        <v>114</v>
      </c>
    </row>
    <row r="35" spans="1:105" s="11" customFormat="1" ht="21.75" customHeight="1">
      <c r="A35" s="13">
        <v>27</v>
      </c>
      <c r="B35" s="40" t="s">
        <v>174</v>
      </c>
      <c r="C35" s="40" t="s">
        <v>175</v>
      </c>
      <c r="D35" s="21" t="s">
        <v>154</v>
      </c>
      <c r="E35" s="9">
        <v>45403</v>
      </c>
      <c r="F35" s="10"/>
      <c r="G35" s="12" t="s">
        <v>113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2" t="s">
        <v>113</v>
      </c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2" t="s">
        <v>113</v>
      </c>
      <c r="CK35" s="12" t="s">
        <v>113</v>
      </c>
      <c r="CL35" s="10"/>
      <c r="CM35" s="10"/>
      <c r="CN35" s="12" t="s">
        <v>113</v>
      </c>
      <c r="CO35" s="10"/>
      <c r="CP35" s="10"/>
      <c r="CQ35" s="10"/>
      <c r="CR35" s="12" t="s">
        <v>113</v>
      </c>
      <c r="CS35" s="12" t="s">
        <v>113</v>
      </c>
      <c r="CT35" s="12" t="s">
        <v>113</v>
      </c>
      <c r="CU35" s="12" t="s">
        <v>113</v>
      </c>
      <c r="CV35" s="10"/>
      <c r="CW35" s="10"/>
      <c r="CX35" s="10"/>
      <c r="CY35" s="10"/>
      <c r="CZ35" s="10">
        <f t="shared" si="2"/>
        <v>1</v>
      </c>
      <c r="DA35" s="11" t="s">
        <v>114</v>
      </c>
    </row>
    <row r="36" spans="1:105" s="11" customFormat="1" ht="21.75" customHeight="1">
      <c r="A36" s="13">
        <v>28</v>
      </c>
      <c r="B36" s="40" t="s">
        <v>176</v>
      </c>
      <c r="C36" s="40" t="s">
        <v>177</v>
      </c>
      <c r="D36" s="21" t="s">
        <v>154</v>
      </c>
      <c r="E36" s="9">
        <v>45403</v>
      </c>
      <c r="F36" s="10"/>
      <c r="G36" s="12" t="s">
        <v>113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2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2" t="s">
        <v>113</v>
      </c>
      <c r="CK36" s="12" t="s">
        <v>113</v>
      </c>
      <c r="CL36" s="10"/>
      <c r="CM36" s="10"/>
      <c r="CN36" s="12" t="s">
        <v>113</v>
      </c>
      <c r="CO36" s="10"/>
      <c r="CP36" s="10"/>
      <c r="CQ36" s="10"/>
      <c r="CR36" s="12" t="s">
        <v>113</v>
      </c>
      <c r="CS36" s="12" t="s">
        <v>113</v>
      </c>
      <c r="CT36" s="12" t="s">
        <v>113</v>
      </c>
      <c r="CU36" s="12" t="s">
        <v>113</v>
      </c>
      <c r="CV36" s="10"/>
      <c r="CW36" s="10"/>
      <c r="CX36" s="10"/>
      <c r="CY36" s="10"/>
      <c r="CZ36" s="10">
        <f t="shared" si="2"/>
        <v>1</v>
      </c>
      <c r="DA36" s="11" t="s">
        <v>114</v>
      </c>
    </row>
    <row r="37" spans="1:105" s="11" customFormat="1" ht="21.75" customHeight="1">
      <c r="A37" s="13">
        <v>29</v>
      </c>
      <c r="B37" s="40" t="s">
        <v>178</v>
      </c>
      <c r="C37" s="40" t="s">
        <v>179</v>
      </c>
      <c r="D37" s="21" t="s">
        <v>154</v>
      </c>
      <c r="E37" s="9">
        <v>45669</v>
      </c>
      <c r="F37" s="10"/>
      <c r="G37" s="12" t="s">
        <v>113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2" t="s">
        <v>113</v>
      </c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2" t="s">
        <v>113</v>
      </c>
      <c r="CK37" s="12" t="s">
        <v>113</v>
      </c>
      <c r="CL37" s="10"/>
      <c r="CM37" s="10"/>
      <c r="CN37" s="12" t="s">
        <v>113</v>
      </c>
      <c r="CO37" s="10"/>
      <c r="CP37" s="10"/>
      <c r="CQ37" s="10"/>
      <c r="CR37" s="10"/>
      <c r="CS37" s="12" t="s">
        <v>113</v>
      </c>
      <c r="CT37" s="12" t="s">
        <v>113</v>
      </c>
      <c r="CU37" s="12" t="s">
        <v>113</v>
      </c>
      <c r="CV37" s="10"/>
      <c r="CW37" s="10"/>
      <c r="CX37" s="10"/>
      <c r="CY37" s="10"/>
      <c r="CZ37" s="10">
        <f t="shared" si="2"/>
        <v>1</v>
      </c>
      <c r="DA37" s="11" t="s">
        <v>114</v>
      </c>
    </row>
    <row r="38" spans="1:105" s="11" customFormat="1" ht="21.75" customHeight="1">
      <c r="A38" s="13">
        <v>30</v>
      </c>
      <c r="B38" s="40" t="s">
        <v>180</v>
      </c>
      <c r="C38" s="40" t="s">
        <v>181</v>
      </c>
      <c r="D38" s="21" t="s">
        <v>154</v>
      </c>
      <c r="E38" s="9">
        <v>45659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2" t="s">
        <v>113</v>
      </c>
      <c r="AO38" s="12"/>
      <c r="AP38" s="12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2" t="s">
        <v>113</v>
      </c>
      <c r="CK38" s="12" t="s">
        <v>113</v>
      </c>
      <c r="CL38" s="10"/>
      <c r="CM38" s="12" t="s">
        <v>113</v>
      </c>
      <c r="CN38" s="12" t="s">
        <v>113</v>
      </c>
      <c r="CO38" s="12" t="s">
        <v>113</v>
      </c>
      <c r="CP38" s="12" t="s">
        <v>113</v>
      </c>
      <c r="CQ38" s="12" t="s">
        <v>113</v>
      </c>
      <c r="CR38" s="12"/>
      <c r="CS38" s="10"/>
      <c r="CT38" s="10"/>
      <c r="CU38" s="12" t="s">
        <v>113</v>
      </c>
      <c r="CV38" s="10"/>
      <c r="CW38" s="10"/>
      <c r="CX38" s="10"/>
      <c r="CY38" s="10"/>
      <c r="CZ38" s="10">
        <f t="shared" si="2"/>
        <v>1</v>
      </c>
      <c r="DA38" s="11" t="s">
        <v>114</v>
      </c>
    </row>
    <row r="39" spans="1:105" s="11" customFormat="1" ht="21.75" customHeight="1">
      <c r="A39" s="13">
        <v>31</v>
      </c>
      <c r="B39" s="42" t="s">
        <v>182</v>
      </c>
      <c r="C39" s="42" t="s">
        <v>183</v>
      </c>
      <c r="D39" s="22" t="s">
        <v>149</v>
      </c>
      <c r="E39" s="9">
        <v>45386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2" t="s">
        <v>113</v>
      </c>
      <c r="AO39" s="12"/>
      <c r="AP39" s="12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2" t="s">
        <v>113</v>
      </c>
      <c r="CK39" s="12" t="s">
        <v>113</v>
      </c>
      <c r="CL39" s="10"/>
      <c r="CM39" s="12" t="s">
        <v>113</v>
      </c>
      <c r="CN39" s="12" t="s">
        <v>113</v>
      </c>
      <c r="CO39" s="12"/>
      <c r="CP39" s="12" t="s">
        <v>113</v>
      </c>
      <c r="CQ39" s="12" t="s">
        <v>113</v>
      </c>
      <c r="CR39" s="12"/>
      <c r="CS39" s="10"/>
      <c r="CT39" s="10"/>
      <c r="CU39" s="12" t="s">
        <v>113</v>
      </c>
      <c r="CV39" s="10"/>
      <c r="CW39" s="10"/>
      <c r="CX39" s="10"/>
      <c r="CY39" s="10"/>
      <c r="CZ39" s="10">
        <f t="shared" si="2"/>
        <v>1</v>
      </c>
      <c r="DA39" s="11" t="s">
        <v>114</v>
      </c>
    </row>
    <row r="40" spans="1:105" s="11" customFormat="1" ht="21.75" customHeight="1">
      <c r="A40" s="13">
        <v>32</v>
      </c>
      <c r="B40" s="40" t="s">
        <v>184</v>
      </c>
      <c r="C40" s="40" t="s">
        <v>185</v>
      </c>
      <c r="D40" s="21" t="s">
        <v>154</v>
      </c>
      <c r="E40" s="9">
        <v>45659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2" t="s">
        <v>113</v>
      </c>
      <c r="AO40" s="12"/>
      <c r="AP40" s="12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2" t="s">
        <v>113</v>
      </c>
      <c r="CK40" s="12" t="s">
        <v>113</v>
      </c>
      <c r="CL40" s="10"/>
      <c r="CM40" s="12" t="s">
        <v>113</v>
      </c>
      <c r="CN40" s="12" t="s">
        <v>113</v>
      </c>
      <c r="CO40" s="12" t="s">
        <v>113</v>
      </c>
      <c r="CP40" s="12" t="s">
        <v>113</v>
      </c>
      <c r="CQ40" s="12" t="s">
        <v>113</v>
      </c>
      <c r="CR40" s="10"/>
      <c r="CS40" s="10"/>
      <c r="CT40" s="10"/>
      <c r="CU40" s="12" t="s">
        <v>113</v>
      </c>
      <c r="CV40" s="10"/>
      <c r="CW40" s="10"/>
      <c r="CX40" s="10"/>
      <c r="CY40" s="10"/>
      <c r="CZ40" s="10">
        <f t="shared" si="2"/>
        <v>1</v>
      </c>
      <c r="DA40" s="11" t="s">
        <v>114</v>
      </c>
    </row>
    <row r="41" spans="1:105" s="11" customFormat="1" ht="21.75" customHeight="1">
      <c r="A41" s="13">
        <v>33</v>
      </c>
      <c r="B41" s="40" t="s">
        <v>186</v>
      </c>
      <c r="C41" s="40" t="s">
        <v>187</v>
      </c>
      <c r="D41" s="21" t="s">
        <v>154</v>
      </c>
      <c r="E41" s="9">
        <v>45659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2" t="s">
        <v>113</v>
      </c>
      <c r="AO41" s="12"/>
      <c r="AP41" s="12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2" t="s">
        <v>113</v>
      </c>
      <c r="CK41" s="12" t="s">
        <v>113</v>
      </c>
      <c r="CL41" s="10"/>
      <c r="CM41" s="12" t="s">
        <v>113</v>
      </c>
      <c r="CN41" s="12" t="s">
        <v>113</v>
      </c>
      <c r="CO41" s="12"/>
      <c r="CP41" s="12" t="s">
        <v>113</v>
      </c>
      <c r="CQ41" s="12" t="s">
        <v>113</v>
      </c>
      <c r="CR41" s="10"/>
      <c r="CS41" s="10"/>
      <c r="CT41" s="10"/>
      <c r="CU41" s="12" t="s">
        <v>113</v>
      </c>
      <c r="CV41" s="10"/>
      <c r="CW41" s="10"/>
      <c r="CX41" s="10"/>
      <c r="CY41" s="10"/>
      <c r="CZ41" s="10">
        <f t="shared" si="2"/>
        <v>1</v>
      </c>
      <c r="DA41" s="11" t="s">
        <v>114</v>
      </c>
    </row>
    <row r="42" spans="1:105" s="11" customFormat="1" ht="21.75" customHeight="1">
      <c r="A42" s="13">
        <v>34</v>
      </c>
      <c r="B42" s="40" t="s">
        <v>188</v>
      </c>
      <c r="C42" s="40" t="s">
        <v>189</v>
      </c>
      <c r="D42" s="21" t="s">
        <v>154</v>
      </c>
      <c r="E42" s="9">
        <v>45663</v>
      </c>
      <c r="F42" s="10"/>
      <c r="G42" s="12" t="s">
        <v>113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2" t="s">
        <v>113</v>
      </c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2" t="s">
        <v>113</v>
      </c>
      <c r="CK42" s="12" t="s">
        <v>113</v>
      </c>
      <c r="CL42" s="10"/>
      <c r="CM42" s="10"/>
      <c r="CN42" s="10"/>
      <c r="CO42" s="10"/>
      <c r="CP42" s="10"/>
      <c r="CQ42" s="10"/>
      <c r="CR42" s="10"/>
      <c r="CS42" s="10"/>
      <c r="CT42" s="10"/>
      <c r="CU42" s="12" t="s">
        <v>113</v>
      </c>
      <c r="CV42" s="10"/>
      <c r="CW42" s="10"/>
      <c r="CX42" s="10"/>
      <c r="CY42" s="10"/>
      <c r="CZ42" s="10">
        <f t="shared" si="2"/>
        <v>1</v>
      </c>
      <c r="DA42" s="11" t="s">
        <v>114</v>
      </c>
    </row>
    <row r="43" spans="1:105" s="11" customFormat="1" ht="21.75" customHeight="1">
      <c r="A43" s="13">
        <v>35</v>
      </c>
      <c r="B43" s="41" t="s">
        <v>190</v>
      </c>
      <c r="C43" s="40" t="s">
        <v>191</v>
      </c>
      <c r="D43" s="21" t="s">
        <v>154</v>
      </c>
      <c r="E43" s="9">
        <v>45659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2" t="s">
        <v>113</v>
      </c>
      <c r="AO43" s="12"/>
      <c r="AP43" s="12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2" t="s">
        <v>113</v>
      </c>
      <c r="CK43" s="12" t="s">
        <v>113</v>
      </c>
      <c r="CL43" s="10"/>
      <c r="CM43" s="12" t="s">
        <v>113</v>
      </c>
      <c r="CN43" s="12" t="s">
        <v>113</v>
      </c>
      <c r="CO43" s="10"/>
      <c r="CP43" s="12" t="s">
        <v>113</v>
      </c>
      <c r="CQ43" s="12" t="s">
        <v>113</v>
      </c>
      <c r="CR43" s="10"/>
      <c r="CS43" s="10"/>
      <c r="CT43" s="10"/>
      <c r="CU43" s="12" t="s">
        <v>113</v>
      </c>
      <c r="CV43" s="10"/>
      <c r="CW43" s="10"/>
      <c r="CX43" s="10"/>
      <c r="CY43" s="10"/>
      <c r="CZ43" s="10">
        <f t="shared" si="2"/>
        <v>1</v>
      </c>
      <c r="DA43" s="31" t="s">
        <v>192</v>
      </c>
    </row>
    <row r="44" spans="1:105" s="11" customFormat="1" ht="21.75" customHeight="1">
      <c r="A44" s="13">
        <v>36</v>
      </c>
      <c r="B44" s="40" t="s">
        <v>193</v>
      </c>
      <c r="C44" s="40" t="s">
        <v>194</v>
      </c>
      <c r="D44" s="21" t="s">
        <v>154</v>
      </c>
      <c r="E44" s="9">
        <v>45722</v>
      </c>
      <c r="F44" s="10"/>
      <c r="G44" s="12" t="s">
        <v>113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2" t="s">
        <v>113</v>
      </c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2" t="s">
        <v>113</v>
      </c>
      <c r="CK44" s="12" t="s">
        <v>113</v>
      </c>
      <c r="CL44" s="10"/>
      <c r="CM44" s="10"/>
      <c r="CN44" s="12" t="s">
        <v>113</v>
      </c>
      <c r="CO44" s="10"/>
      <c r="CP44" s="10"/>
      <c r="CQ44" s="10"/>
      <c r="CR44" s="12" t="s">
        <v>113</v>
      </c>
      <c r="CS44" s="12" t="s">
        <v>113</v>
      </c>
      <c r="CT44" s="12" t="s">
        <v>113</v>
      </c>
      <c r="CU44" s="12" t="s">
        <v>113</v>
      </c>
      <c r="CV44" s="10"/>
      <c r="CW44" s="10"/>
      <c r="CX44" s="10"/>
      <c r="CY44" s="10"/>
      <c r="CZ44" s="10">
        <f t="shared" si="2"/>
        <v>1</v>
      </c>
      <c r="DA44" s="11" t="s">
        <v>114</v>
      </c>
    </row>
    <row r="45" spans="1:105" s="11" customFormat="1" ht="21.75" customHeight="1">
      <c r="A45" s="13">
        <v>37</v>
      </c>
      <c r="B45" s="40" t="s">
        <v>195</v>
      </c>
      <c r="C45" s="40" t="s">
        <v>196</v>
      </c>
      <c r="D45" s="21" t="s">
        <v>154</v>
      </c>
      <c r="E45" s="9">
        <v>45403</v>
      </c>
      <c r="F45" s="10"/>
      <c r="G45" s="12" t="s">
        <v>113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2" t="s">
        <v>113</v>
      </c>
      <c r="CK45" s="12" t="s">
        <v>113</v>
      </c>
      <c r="CL45" s="10"/>
      <c r="CM45" s="10"/>
      <c r="CN45" s="12" t="s">
        <v>113</v>
      </c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>
        <f t="shared" si="2"/>
        <v>1</v>
      </c>
      <c r="DA45" s="11" t="s">
        <v>114</v>
      </c>
    </row>
    <row r="46" spans="1:105" s="11" customFormat="1" ht="21.75" customHeight="1">
      <c r="A46" s="13">
        <v>38</v>
      </c>
      <c r="B46" s="43" t="s">
        <v>197</v>
      </c>
      <c r="C46" s="44" t="s">
        <v>198</v>
      </c>
      <c r="D46" s="21" t="s">
        <v>154</v>
      </c>
      <c r="E46" s="9">
        <v>45669</v>
      </c>
      <c r="F46" s="10"/>
      <c r="G46" s="12" t="s">
        <v>113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2"/>
      <c r="CK46" s="12"/>
      <c r="CL46" s="10"/>
      <c r="CM46" s="10"/>
      <c r="CN46" s="12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</row>
    <row r="47" spans="1:105" s="11" customFormat="1" ht="21.75" customHeight="1">
      <c r="A47" s="13">
        <v>39</v>
      </c>
      <c r="B47" s="41" t="s">
        <v>199</v>
      </c>
      <c r="C47" s="40" t="s">
        <v>200</v>
      </c>
      <c r="D47" s="21" t="s">
        <v>154</v>
      </c>
      <c r="E47" s="9">
        <v>45717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2" t="s">
        <v>113</v>
      </c>
      <c r="CK47" s="12"/>
      <c r="CL47" s="10"/>
      <c r="CM47" s="10"/>
      <c r="CN47" s="12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>
        <f t="shared" ref="CZ47:CZ93" si="3">IF(COUNTIF(F47:CY47,"ü")&lt;=0,0,1)</f>
        <v>1</v>
      </c>
      <c r="DA47" s="11" t="s">
        <v>114</v>
      </c>
    </row>
    <row r="48" spans="1:105" s="11" customFormat="1" ht="21.75" customHeight="1">
      <c r="A48" s="13">
        <v>40</v>
      </c>
      <c r="B48" s="40" t="s">
        <v>201</v>
      </c>
      <c r="C48" s="40" t="s">
        <v>202</v>
      </c>
      <c r="D48" s="21" t="s">
        <v>154</v>
      </c>
      <c r="E48" s="9">
        <v>45403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2" t="s">
        <v>113</v>
      </c>
      <c r="CK48" s="12" t="s">
        <v>113</v>
      </c>
      <c r="CL48" s="10"/>
      <c r="CM48" s="10"/>
      <c r="CN48" s="12" t="s">
        <v>113</v>
      </c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>
        <f t="shared" si="3"/>
        <v>1</v>
      </c>
      <c r="DA48" s="11" t="s">
        <v>114</v>
      </c>
    </row>
    <row r="49" spans="1:105" s="11" customFormat="1" ht="21.75" customHeight="1">
      <c r="A49" s="13">
        <v>41</v>
      </c>
      <c r="B49" s="40" t="s">
        <v>203</v>
      </c>
      <c r="C49" s="40" t="s">
        <v>204</v>
      </c>
      <c r="D49" s="21" t="s">
        <v>154</v>
      </c>
      <c r="E49" s="9">
        <v>45722</v>
      </c>
      <c r="F49" s="10"/>
      <c r="G49" s="12" t="s">
        <v>113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2" t="s">
        <v>113</v>
      </c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2" t="s">
        <v>113</v>
      </c>
      <c r="CK49" s="12" t="s">
        <v>113</v>
      </c>
      <c r="CL49" s="10"/>
      <c r="CM49" s="10"/>
      <c r="CN49" s="12" t="s">
        <v>113</v>
      </c>
      <c r="CO49" s="10"/>
      <c r="CP49" s="10"/>
      <c r="CQ49" s="10"/>
      <c r="CR49" s="12" t="s">
        <v>113</v>
      </c>
      <c r="CS49" s="12" t="s">
        <v>113</v>
      </c>
      <c r="CT49" s="12" t="s">
        <v>113</v>
      </c>
      <c r="CU49" s="12" t="s">
        <v>113</v>
      </c>
      <c r="CV49" s="10"/>
      <c r="CW49" s="10"/>
      <c r="CX49" s="10"/>
      <c r="CY49" s="10"/>
      <c r="CZ49" s="10">
        <f t="shared" si="3"/>
        <v>1</v>
      </c>
      <c r="DA49" s="11" t="s">
        <v>114</v>
      </c>
    </row>
    <row r="50" spans="1:105" s="11" customFormat="1" ht="21.75" customHeight="1">
      <c r="A50" s="13">
        <v>42</v>
      </c>
      <c r="B50" s="40" t="s">
        <v>205</v>
      </c>
      <c r="C50" s="40" t="s">
        <v>206</v>
      </c>
      <c r="D50" s="21" t="s">
        <v>154</v>
      </c>
      <c r="E50" s="9">
        <v>45722</v>
      </c>
      <c r="F50" s="10"/>
      <c r="G50" s="12" t="s">
        <v>113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2" t="s">
        <v>113</v>
      </c>
      <c r="AO50" s="12"/>
      <c r="AP50" s="12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2" t="s">
        <v>113</v>
      </c>
      <c r="CK50" s="12" t="s">
        <v>113</v>
      </c>
      <c r="CL50" s="10"/>
      <c r="CM50" s="10"/>
      <c r="CN50" s="10"/>
      <c r="CO50" s="12" t="s">
        <v>113</v>
      </c>
      <c r="CP50" s="10"/>
      <c r="CQ50" s="12" t="s">
        <v>113</v>
      </c>
      <c r="CR50" s="10"/>
      <c r="CS50" s="10"/>
      <c r="CT50" s="10"/>
      <c r="CU50" s="12" t="s">
        <v>113</v>
      </c>
      <c r="CV50" s="10"/>
      <c r="CW50" s="10"/>
      <c r="CX50" s="10"/>
      <c r="CY50" s="10"/>
      <c r="CZ50" s="10">
        <f t="shared" si="3"/>
        <v>1</v>
      </c>
      <c r="DA50" s="11" t="s">
        <v>114</v>
      </c>
    </row>
    <row r="51" spans="1:105" s="11" customFormat="1" ht="21.75" customHeight="1">
      <c r="A51" s="13">
        <v>43</v>
      </c>
      <c r="B51" s="40" t="s">
        <v>207</v>
      </c>
      <c r="C51" s="40" t="s">
        <v>208</v>
      </c>
      <c r="D51" s="21" t="s">
        <v>154</v>
      </c>
      <c r="E51" s="9">
        <v>45722</v>
      </c>
      <c r="F51" s="10"/>
      <c r="G51" s="12" t="s">
        <v>113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2" t="s">
        <v>113</v>
      </c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2" t="s">
        <v>113</v>
      </c>
      <c r="CK51" s="12" t="s">
        <v>113</v>
      </c>
      <c r="CL51" s="10"/>
      <c r="CM51" s="10"/>
      <c r="CN51" s="12" t="s">
        <v>113</v>
      </c>
      <c r="CO51" s="10"/>
      <c r="CP51" s="10"/>
      <c r="CQ51" s="10"/>
      <c r="CR51" s="10"/>
      <c r="CS51" s="10"/>
      <c r="CT51" s="10"/>
      <c r="CU51" s="12" t="s">
        <v>113</v>
      </c>
      <c r="CV51" s="10"/>
      <c r="CW51" s="10"/>
      <c r="CX51" s="10"/>
      <c r="CY51" s="10"/>
      <c r="CZ51" s="10">
        <f t="shared" si="3"/>
        <v>1</v>
      </c>
      <c r="DA51" s="11" t="s">
        <v>114</v>
      </c>
    </row>
    <row r="52" spans="1:105" s="11" customFormat="1" ht="21.75" customHeight="1">
      <c r="A52" s="13">
        <v>44</v>
      </c>
      <c r="B52" s="40" t="s">
        <v>209</v>
      </c>
      <c r="C52" s="40" t="s">
        <v>210</v>
      </c>
      <c r="D52" s="21" t="s">
        <v>154</v>
      </c>
      <c r="E52" s="9">
        <v>45663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2" t="s">
        <v>113</v>
      </c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2" t="s">
        <v>113</v>
      </c>
      <c r="CK52" s="12" t="s">
        <v>113</v>
      </c>
      <c r="CL52" s="10"/>
      <c r="CM52" s="10"/>
      <c r="CN52" s="10"/>
      <c r="CO52" s="10"/>
      <c r="CP52" s="10"/>
      <c r="CQ52" s="10"/>
      <c r="CR52" s="10"/>
      <c r="CS52" s="10"/>
      <c r="CT52" s="10"/>
      <c r="CU52" s="12" t="s">
        <v>113</v>
      </c>
      <c r="CV52" s="10"/>
      <c r="CW52" s="10"/>
      <c r="CX52" s="10"/>
      <c r="CY52" s="10"/>
      <c r="CZ52" s="10">
        <f t="shared" si="3"/>
        <v>1</v>
      </c>
      <c r="DA52" s="11" t="s">
        <v>114</v>
      </c>
    </row>
    <row r="53" spans="1:105" s="11" customFormat="1" ht="21.75" customHeight="1">
      <c r="A53" s="13">
        <v>45</v>
      </c>
      <c r="B53" s="40" t="s">
        <v>211</v>
      </c>
      <c r="C53" s="40" t="s">
        <v>212</v>
      </c>
      <c r="D53" s="21" t="s">
        <v>154</v>
      </c>
      <c r="E53" s="9">
        <v>45659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2" t="s">
        <v>113</v>
      </c>
      <c r="AO53" s="12"/>
      <c r="AP53" s="12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2" t="s">
        <v>113</v>
      </c>
      <c r="CK53" s="12" t="s">
        <v>113</v>
      </c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>
        <f t="shared" si="3"/>
        <v>1</v>
      </c>
      <c r="DA53" s="11" t="s">
        <v>114</v>
      </c>
    </row>
    <row r="54" spans="1:105" s="11" customFormat="1" ht="21.75" customHeight="1">
      <c r="A54" s="13">
        <v>46</v>
      </c>
      <c r="B54" s="40" t="s">
        <v>213</v>
      </c>
      <c r="C54" s="40" t="s">
        <v>214</v>
      </c>
      <c r="D54" s="21" t="s">
        <v>154</v>
      </c>
      <c r="E54" s="9">
        <v>45403</v>
      </c>
      <c r="F54" s="10"/>
      <c r="G54" s="12" t="s">
        <v>113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2" t="s">
        <v>113</v>
      </c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2" t="s">
        <v>113</v>
      </c>
      <c r="CL54" s="10"/>
      <c r="CM54" s="10"/>
      <c r="CN54" s="10"/>
      <c r="CO54" s="10"/>
      <c r="CP54" s="10"/>
      <c r="CQ54" s="10"/>
      <c r="CR54" s="12" t="s">
        <v>113</v>
      </c>
      <c r="CS54" s="12" t="s">
        <v>113</v>
      </c>
      <c r="CT54" s="12" t="s">
        <v>113</v>
      </c>
      <c r="CU54" s="12" t="s">
        <v>113</v>
      </c>
      <c r="CV54" s="10"/>
      <c r="CW54" s="10"/>
      <c r="CX54" s="10"/>
      <c r="CY54" s="10"/>
      <c r="CZ54" s="10">
        <f t="shared" si="3"/>
        <v>1</v>
      </c>
      <c r="DA54" s="11" t="s">
        <v>114</v>
      </c>
    </row>
    <row r="55" spans="1:105" s="11" customFormat="1" ht="21.75" customHeight="1">
      <c r="A55" s="13">
        <v>47</v>
      </c>
      <c r="B55" s="40" t="s">
        <v>215</v>
      </c>
      <c r="C55" s="40" t="s">
        <v>216</v>
      </c>
      <c r="D55" s="21" t="s">
        <v>117</v>
      </c>
      <c r="E55" s="9">
        <v>45659</v>
      </c>
      <c r="F55" s="10"/>
      <c r="G55" s="10"/>
      <c r="H55" s="12" t="s">
        <v>113</v>
      </c>
      <c r="I55" s="12" t="s">
        <v>113</v>
      </c>
      <c r="J55" s="10"/>
      <c r="K55" s="10"/>
      <c r="L55" s="10"/>
      <c r="M55" s="12" t="s">
        <v>113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>
        <f t="shared" si="3"/>
        <v>1</v>
      </c>
      <c r="DA55" s="11" t="s">
        <v>114</v>
      </c>
    </row>
    <row r="56" spans="1:105" s="11" customFormat="1" ht="21.75" customHeight="1">
      <c r="A56" s="13">
        <v>48</v>
      </c>
      <c r="B56" s="40" t="s">
        <v>217</v>
      </c>
      <c r="C56" s="40" t="s">
        <v>218</v>
      </c>
      <c r="D56" s="21" t="s">
        <v>117</v>
      </c>
      <c r="E56" s="9">
        <v>45659</v>
      </c>
      <c r="F56" s="10"/>
      <c r="G56" s="10"/>
      <c r="H56" s="12" t="s">
        <v>113</v>
      </c>
      <c r="I56" s="12" t="s">
        <v>113</v>
      </c>
      <c r="J56" s="10"/>
      <c r="K56" s="10"/>
      <c r="L56" s="10"/>
      <c r="M56" s="12" t="s">
        <v>113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>
        <f t="shared" si="3"/>
        <v>1</v>
      </c>
      <c r="DA56" s="11" t="s">
        <v>114</v>
      </c>
    </row>
    <row r="57" spans="1:105" s="11" customFormat="1" ht="21.75" customHeight="1">
      <c r="A57" s="13">
        <v>49</v>
      </c>
      <c r="B57" s="40" t="s">
        <v>219</v>
      </c>
      <c r="C57" s="40" t="s">
        <v>220</v>
      </c>
      <c r="D57" s="21" t="s">
        <v>117</v>
      </c>
      <c r="E57" s="9">
        <v>45659</v>
      </c>
      <c r="F57" s="10"/>
      <c r="G57" s="10"/>
      <c r="H57" s="10"/>
      <c r="I57" s="10"/>
      <c r="J57" s="10"/>
      <c r="K57" s="10"/>
      <c r="L57" s="10"/>
      <c r="M57" s="10"/>
      <c r="N57" s="10"/>
      <c r="O57" s="12" t="s">
        <v>113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>
        <f t="shared" si="3"/>
        <v>1</v>
      </c>
      <c r="DA57" s="11" t="s">
        <v>114</v>
      </c>
    </row>
    <row r="58" spans="1:105" s="11" customFormat="1" ht="21.75" customHeight="1">
      <c r="A58" s="13">
        <v>50</v>
      </c>
      <c r="B58" s="42" t="s">
        <v>221</v>
      </c>
      <c r="C58" s="42" t="s">
        <v>222</v>
      </c>
      <c r="D58" s="22" t="s">
        <v>117</v>
      </c>
      <c r="E58" s="9">
        <v>45386</v>
      </c>
      <c r="F58" s="10"/>
      <c r="G58" s="10"/>
      <c r="H58" s="10"/>
      <c r="I58" s="10"/>
      <c r="J58" s="10"/>
      <c r="K58" s="10"/>
      <c r="L58" s="10"/>
      <c r="M58" s="10"/>
      <c r="N58" s="12" t="s">
        <v>113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>
        <f t="shared" si="3"/>
        <v>1</v>
      </c>
      <c r="DA58" s="11" t="s">
        <v>114</v>
      </c>
    </row>
    <row r="59" spans="1:105" s="11" customFormat="1" ht="21.75" customHeight="1">
      <c r="A59" s="13">
        <v>51</v>
      </c>
      <c r="B59" s="40" t="s">
        <v>223</v>
      </c>
      <c r="C59" s="40" t="s">
        <v>224</v>
      </c>
      <c r="D59" s="21" t="s">
        <v>225</v>
      </c>
      <c r="E59" s="9">
        <v>45442</v>
      </c>
      <c r="F59" s="10"/>
      <c r="G59" s="12" t="s">
        <v>113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2" t="s">
        <v>113</v>
      </c>
      <c r="X59" s="10"/>
      <c r="Y59" s="10"/>
      <c r="Z59" s="10"/>
      <c r="AA59" s="10"/>
      <c r="AB59" s="10"/>
      <c r="AC59" s="12" t="s">
        <v>113</v>
      </c>
      <c r="AD59" s="10"/>
      <c r="AE59" s="10"/>
      <c r="AF59" s="10"/>
      <c r="AG59" s="10"/>
      <c r="AH59" s="12"/>
      <c r="AI59" s="12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2" t="s">
        <v>113</v>
      </c>
      <c r="BF59" s="12" t="s">
        <v>113</v>
      </c>
      <c r="BG59" s="12" t="s">
        <v>113</v>
      </c>
      <c r="BH59" s="10"/>
      <c r="BI59" s="12"/>
      <c r="BJ59" s="10"/>
      <c r="BK59" s="10"/>
      <c r="BL59" s="10"/>
      <c r="BM59" s="10"/>
      <c r="BN59" s="10"/>
      <c r="BO59" s="10"/>
      <c r="BP59" s="10"/>
      <c r="BQ59" s="12" t="s">
        <v>113</v>
      </c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>
        <f t="shared" si="3"/>
        <v>1</v>
      </c>
      <c r="DA59" s="11" t="s">
        <v>114</v>
      </c>
    </row>
    <row r="60" spans="1:105" s="11" customFormat="1" ht="21.75" customHeight="1">
      <c r="A60" s="13">
        <v>52</v>
      </c>
      <c r="B60" s="40" t="s">
        <v>226</v>
      </c>
      <c r="C60" s="40" t="s">
        <v>227</v>
      </c>
      <c r="D60" s="21" t="s">
        <v>225</v>
      </c>
      <c r="E60" s="9">
        <v>45442</v>
      </c>
      <c r="F60" s="10"/>
      <c r="G60" s="12" t="s">
        <v>113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2" t="s">
        <v>113</v>
      </c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>
        <f t="shared" si="3"/>
        <v>1</v>
      </c>
      <c r="DA60" s="11" t="s">
        <v>114</v>
      </c>
    </row>
    <row r="61" spans="1:105" s="11" customFormat="1" ht="21.75" customHeight="1">
      <c r="A61" s="13">
        <v>53</v>
      </c>
      <c r="B61" s="40" t="s">
        <v>228</v>
      </c>
      <c r="C61" s="40" t="s">
        <v>229</v>
      </c>
      <c r="D61" s="21" t="s">
        <v>225</v>
      </c>
      <c r="E61" s="9">
        <v>45870</v>
      </c>
      <c r="F61" s="10"/>
      <c r="G61" s="12" t="s">
        <v>113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2"/>
      <c r="AF61" s="10"/>
      <c r="AG61" s="12"/>
      <c r="AH61" s="12" t="s">
        <v>113</v>
      </c>
      <c r="AI61" s="12"/>
      <c r="AJ61" s="10"/>
      <c r="AK61" s="12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2" t="s">
        <v>113</v>
      </c>
      <c r="BJ61" s="12" t="s">
        <v>113</v>
      </c>
      <c r="BK61" s="12" t="s">
        <v>113</v>
      </c>
      <c r="BL61" s="10"/>
      <c r="BM61" s="12" t="s">
        <v>113</v>
      </c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>
        <f t="shared" si="3"/>
        <v>1</v>
      </c>
      <c r="DA61" s="11" t="s">
        <v>114</v>
      </c>
    </row>
    <row r="62" spans="1:105" s="11" customFormat="1" ht="21.75" customHeight="1">
      <c r="A62" s="13">
        <v>54</v>
      </c>
      <c r="B62" s="40" t="s">
        <v>230</v>
      </c>
      <c r="C62" s="40" t="s">
        <v>231</v>
      </c>
      <c r="D62" s="21" t="s">
        <v>232</v>
      </c>
      <c r="E62" s="9">
        <v>45442</v>
      </c>
      <c r="F62" s="10"/>
      <c r="G62" s="12" t="s">
        <v>113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2" t="s">
        <v>113</v>
      </c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2" t="s">
        <v>113</v>
      </c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>
        <f t="shared" si="3"/>
        <v>1</v>
      </c>
      <c r="DA62" s="11" t="s">
        <v>233</v>
      </c>
    </row>
    <row r="63" spans="1:105" s="11" customFormat="1" ht="21.75" customHeight="1">
      <c r="A63" s="13">
        <v>55</v>
      </c>
      <c r="B63" s="40" t="s">
        <v>234</v>
      </c>
      <c r="C63" s="40" t="s">
        <v>235</v>
      </c>
      <c r="D63" s="21" t="s">
        <v>232</v>
      </c>
      <c r="E63" s="9">
        <v>45442</v>
      </c>
      <c r="F63" s="10"/>
      <c r="G63" s="12" t="s">
        <v>113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2" t="s">
        <v>113</v>
      </c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2" t="s">
        <v>113</v>
      </c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>
        <f t="shared" si="3"/>
        <v>1</v>
      </c>
      <c r="DA63" s="11" t="s">
        <v>233</v>
      </c>
    </row>
    <row r="64" spans="1:105" s="11" customFormat="1" ht="21.75" customHeight="1">
      <c r="A64" s="13">
        <v>56</v>
      </c>
      <c r="B64" s="40" t="s">
        <v>236</v>
      </c>
      <c r="C64" s="40" t="s">
        <v>237</v>
      </c>
      <c r="D64" s="21" t="s">
        <v>232</v>
      </c>
      <c r="E64" s="9">
        <v>45442</v>
      </c>
      <c r="F64" s="10"/>
      <c r="G64" s="12" t="s">
        <v>113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2" t="s">
        <v>113</v>
      </c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2" t="s">
        <v>113</v>
      </c>
      <c r="BG64" s="12" t="s">
        <v>113</v>
      </c>
      <c r="BH64" s="10"/>
      <c r="BI64" s="10"/>
      <c r="BJ64" s="10"/>
      <c r="BK64" s="10"/>
      <c r="BL64" s="10"/>
      <c r="BM64" s="10"/>
      <c r="BN64" s="10"/>
      <c r="BO64" s="10"/>
      <c r="BP64" s="10"/>
      <c r="BQ64" s="12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>
        <f t="shared" si="3"/>
        <v>1</v>
      </c>
      <c r="DA64" s="11" t="s">
        <v>114</v>
      </c>
    </row>
    <row r="65" spans="1:105" s="11" customFormat="1" ht="21.75" customHeight="1">
      <c r="A65" s="13">
        <v>57</v>
      </c>
      <c r="B65" s="40" t="s">
        <v>238</v>
      </c>
      <c r="C65" s="40" t="s">
        <v>127</v>
      </c>
      <c r="D65" s="21" t="s">
        <v>232</v>
      </c>
      <c r="E65" s="9">
        <v>45442</v>
      </c>
      <c r="F65" s="10"/>
      <c r="G65" s="12" t="s">
        <v>113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2" t="s">
        <v>113</v>
      </c>
      <c r="X65" s="10"/>
      <c r="Y65" s="10"/>
      <c r="Z65" s="10"/>
      <c r="AA65" s="10"/>
      <c r="AB65" s="10"/>
      <c r="AC65" s="12" t="s">
        <v>113</v>
      </c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2" t="s">
        <v>113</v>
      </c>
      <c r="BF65" s="12" t="s">
        <v>113</v>
      </c>
      <c r="BG65" s="12" t="s">
        <v>113</v>
      </c>
      <c r="BH65" s="10"/>
      <c r="BI65" s="10"/>
      <c r="BJ65" s="10"/>
      <c r="BK65" s="10"/>
      <c r="BL65" s="10"/>
      <c r="BM65" s="10"/>
      <c r="BN65" s="10"/>
      <c r="BO65" s="10"/>
      <c r="BP65" s="10"/>
      <c r="BQ65" s="12" t="s">
        <v>113</v>
      </c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>
        <f t="shared" si="3"/>
        <v>1</v>
      </c>
      <c r="DA65" s="11" t="s">
        <v>114</v>
      </c>
    </row>
    <row r="66" spans="1:105" s="11" customFormat="1" ht="21.75" customHeight="1">
      <c r="A66" s="13">
        <v>58</v>
      </c>
      <c r="B66" s="40" t="s">
        <v>239</v>
      </c>
      <c r="C66" s="40" t="s">
        <v>240</v>
      </c>
      <c r="D66" s="21" t="s">
        <v>232</v>
      </c>
      <c r="E66" s="9">
        <v>45442</v>
      </c>
      <c r="F66" s="10"/>
      <c r="G66" s="12" t="s">
        <v>113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2" t="s">
        <v>113</v>
      </c>
      <c r="X66" s="12" t="s">
        <v>113</v>
      </c>
      <c r="Y66" s="10"/>
      <c r="Z66" s="10"/>
      <c r="AA66" s="10"/>
      <c r="AB66" s="10"/>
      <c r="AC66" s="12" t="s">
        <v>113</v>
      </c>
      <c r="AD66" s="10"/>
      <c r="AE66" s="10"/>
      <c r="AF66" s="10"/>
      <c r="AG66" s="10"/>
      <c r="AH66" s="12" t="s">
        <v>113</v>
      </c>
      <c r="AI66" s="12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2" t="s">
        <v>113</v>
      </c>
      <c r="BG66" s="12" t="s">
        <v>113</v>
      </c>
      <c r="BH66" s="12" t="s">
        <v>113</v>
      </c>
      <c r="BI66" s="12" t="s">
        <v>113</v>
      </c>
      <c r="BJ66" s="12" t="s">
        <v>113</v>
      </c>
      <c r="BK66" s="12" t="s">
        <v>113</v>
      </c>
      <c r="BL66" s="10"/>
      <c r="BM66" s="10"/>
      <c r="BN66" s="10"/>
      <c r="BO66" s="10"/>
      <c r="BP66" s="10"/>
      <c r="BQ66" s="12" t="s">
        <v>113</v>
      </c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>
        <f t="shared" si="3"/>
        <v>1</v>
      </c>
      <c r="DA66" s="11" t="s">
        <v>114</v>
      </c>
    </row>
    <row r="67" spans="1:105" s="11" customFormat="1" ht="21.75" customHeight="1">
      <c r="A67" s="13">
        <v>59</v>
      </c>
      <c r="B67" s="40" t="s">
        <v>241</v>
      </c>
      <c r="C67" s="40" t="s">
        <v>242</v>
      </c>
      <c r="D67" s="21" t="s">
        <v>232</v>
      </c>
      <c r="E67" s="9">
        <v>45442</v>
      </c>
      <c r="F67" s="10"/>
      <c r="G67" s="12" t="s">
        <v>113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2" t="s">
        <v>113</v>
      </c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2" t="s">
        <v>113</v>
      </c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>
        <f t="shared" si="3"/>
        <v>1</v>
      </c>
      <c r="DA67" s="11" t="s">
        <v>114</v>
      </c>
    </row>
    <row r="68" spans="1:105" s="11" customFormat="1" ht="21.75" customHeight="1">
      <c r="A68" s="13">
        <v>60</v>
      </c>
      <c r="B68" s="40" t="s">
        <v>243</v>
      </c>
      <c r="C68" s="40" t="s">
        <v>244</v>
      </c>
      <c r="D68" s="21" t="s">
        <v>232</v>
      </c>
      <c r="E68" s="9">
        <v>45442</v>
      </c>
      <c r="F68" s="10"/>
      <c r="G68" s="12" t="s">
        <v>113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2" t="s">
        <v>113</v>
      </c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2" t="s">
        <v>113</v>
      </c>
      <c r="BH68" s="10"/>
      <c r="BI68" s="10"/>
      <c r="BJ68" s="10"/>
      <c r="BK68" s="10"/>
      <c r="BL68" s="10"/>
      <c r="BM68" s="10"/>
      <c r="BN68" s="10"/>
      <c r="BO68" s="10"/>
      <c r="BP68" s="10"/>
      <c r="BQ68" s="12" t="s">
        <v>113</v>
      </c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>
        <f t="shared" si="3"/>
        <v>1</v>
      </c>
      <c r="DA68" s="11" t="s">
        <v>114</v>
      </c>
    </row>
    <row r="69" spans="1:105" s="11" customFormat="1" ht="21.75" customHeight="1">
      <c r="A69" s="13">
        <v>61</v>
      </c>
      <c r="B69" s="40" t="s">
        <v>245</v>
      </c>
      <c r="C69" s="40" t="s">
        <v>246</v>
      </c>
      <c r="D69" s="21" t="s">
        <v>120</v>
      </c>
      <c r="E69" s="9">
        <v>45442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2" t="s">
        <v>113</v>
      </c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2" t="s">
        <v>113</v>
      </c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2" t="s">
        <v>113</v>
      </c>
      <c r="BS69" s="12" t="s">
        <v>113</v>
      </c>
      <c r="BT69" s="12" t="s">
        <v>113</v>
      </c>
      <c r="BU69" s="12"/>
      <c r="BV69" s="12"/>
      <c r="BW69" s="12"/>
      <c r="BX69" s="12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>
        <f t="shared" si="3"/>
        <v>1</v>
      </c>
      <c r="DA69" s="11" t="s">
        <v>114</v>
      </c>
    </row>
    <row r="70" spans="1:105" s="11" customFormat="1" ht="21.75" customHeight="1">
      <c r="A70" s="13">
        <v>62</v>
      </c>
      <c r="B70" s="40" t="s">
        <v>247</v>
      </c>
      <c r="C70" s="40" t="s">
        <v>248</v>
      </c>
      <c r="D70" s="21" t="s">
        <v>120</v>
      </c>
      <c r="E70" s="9">
        <v>45442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2" t="s">
        <v>113</v>
      </c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2" t="s">
        <v>113</v>
      </c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2" t="s">
        <v>113</v>
      </c>
      <c r="BS70" s="12" t="s">
        <v>113</v>
      </c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>
        <f t="shared" si="3"/>
        <v>1</v>
      </c>
      <c r="DA70" s="11" t="s">
        <v>114</v>
      </c>
    </row>
    <row r="71" spans="1:105" s="11" customFormat="1" ht="21.75" customHeight="1">
      <c r="A71" s="13">
        <v>63</v>
      </c>
      <c r="B71" s="40" t="s">
        <v>249</v>
      </c>
      <c r="C71" s="40" t="s">
        <v>250</v>
      </c>
      <c r="D71" s="21" t="s">
        <v>120</v>
      </c>
      <c r="E71" s="9">
        <v>45442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2" t="s">
        <v>113</v>
      </c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>
        <f t="shared" si="3"/>
        <v>1</v>
      </c>
      <c r="DA71" s="11" t="s">
        <v>114</v>
      </c>
    </row>
    <row r="72" spans="1:105" s="11" customFormat="1" ht="21.75" customHeight="1">
      <c r="A72" s="13">
        <v>64</v>
      </c>
      <c r="B72" s="40" t="s">
        <v>251</v>
      </c>
      <c r="C72" s="40" t="s">
        <v>252</v>
      </c>
      <c r="D72" s="21" t="s">
        <v>120</v>
      </c>
      <c r="E72" s="9">
        <v>45442</v>
      </c>
      <c r="F72" s="10"/>
      <c r="G72" s="12" t="s">
        <v>113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2" t="s">
        <v>113</v>
      </c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>
        <f t="shared" si="3"/>
        <v>1</v>
      </c>
      <c r="DA72" s="11" t="s">
        <v>114</v>
      </c>
    </row>
    <row r="73" spans="1:105" s="11" customFormat="1" ht="21.75" customHeight="1">
      <c r="A73" s="13">
        <v>65</v>
      </c>
      <c r="B73" s="40" t="s">
        <v>253</v>
      </c>
      <c r="C73" s="40" t="s">
        <v>254</v>
      </c>
      <c r="D73" s="21" t="s">
        <v>120</v>
      </c>
      <c r="E73" s="9">
        <v>45442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2" t="s">
        <v>113</v>
      </c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2" t="s">
        <v>113</v>
      </c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2" t="s">
        <v>113</v>
      </c>
      <c r="BS73" s="12" t="s">
        <v>113</v>
      </c>
      <c r="BT73" s="12"/>
      <c r="BU73" s="12"/>
      <c r="BV73" s="12"/>
      <c r="BW73" s="12"/>
      <c r="BX73" s="12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>
        <f t="shared" si="3"/>
        <v>1</v>
      </c>
      <c r="DA73" s="11" t="s">
        <v>114</v>
      </c>
    </row>
    <row r="74" spans="1:105" s="11" customFormat="1" ht="21.75" customHeight="1">
      <c r="A74" s="13">
        <v>66</v>
      </c>
      <c r="B74" s="40" t="s">
        <v>255</v>
      </c>
      <c r="C74" s="40" t="s">
        <v>256</v>
      </c>
      <c r="D74" s="21" t="s">
        <v>257</v>
      </c>
      <c r="E74" s="9">
        <v>45694</v>
      </c>
      <c r="F74" s="10"/>
      <c r="G74" s="12" t="s">
        <v>113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2"/>
      <c r="AC74" s="12" t="s">
        <v>113</v>
      </c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2" t="s">
        <v>113</v>
      </c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>
        <f t="shared" si="3"/>
        <v>1</v>
      </c>
      <c r="DA74" s="11" t="s">
        <v>114</v>
      </c>
    </row>
    <row r="75" spans="1:105" s="11" customFormat="1" ht="21.75" customHeight="1">
      <c r="A75" s="13">
        <v>67</v>
      </c>
      <c r="B75" s="40" t="s">
        <v>258</v>
      </c>
      <c r="C75" s="40" t="s">
        <v>259</v>
      </c>
      <c r="D75" s="21" t="s">
        <v>257</v>
      </c>
      <c r="E75" s="9">
        <v>45442</v>
      </c>
      <c r="F75" s="10"/>
      <c r="G75" s="12" t="s">
        <v>113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2" t="s">
        <v>113</v>
      </c>
      <c r="BF75" s="10"/>
      <c r="BG75" s="12" t="s">
        <v>113</v>
      </c>
      <c r="BH75" s="10"/>
      <c r="BI75" s="10"/>
      <c r="BJ75" s="10"/>
      <c r="BK75" s="10"/>
      <c r="BL75" s="10"/>
      <c r="BM75" s="10"/>
      <c r="BN75" s="10"/>
      <c r="BO75" s="10"/>
      <c r="BP75" s="10"/>
      <c r="BQ75" s="12" t="s">
        <v>113</v>
      </c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>
        <f t="shared" si="3"/>
        <v>1</v>
      </c>
      <c r="DA75" s="11" t="s">
        <v>114</v>
      </c>
    </row>
    <row r="76" spans="1:105" s="11" customFormat="1" ht="21.75" customHeight="1">
      <c r="A76" s="13">
        <v>68</v>
      </c>
      <c r="B76" s="40" t="s">
        <v>260</v>
      </c>
      <c r="C76" s="40" t="s">
        <v>261</v>
      </c>
      <c r="D76" s="21" t="s">
        <v>262</v>
      </c>
      <c r="E76" s="9">
        <v>45679</v>
      </c>
      <c r="F76" s="10"/>
      <c r="G76" s="12" t="s">
        <v>113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2" t="s">
        <v>113</v>
      </c>
      <c r="AI76" s="12"/>
      <c r="AJ76" s="12" t="s">
        <v>113</v>
      </c>
      <c r="AK76" s="12" t="s">
        <v>113</v>
      </c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2" t="s">
        <v>113</v>
      </c>
      <c r="CK76" s="12" t="s">
        <v>113</v>
      </c>
      <c r="CL76" s="10"/>
      <c r="CM76" s="10"/>
      <c r="CN76" s="12" t="s">
        <v>113</v>
      </c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>
        <f t="shared" si="3"/>
        <v>1</v>
      </c>
      <c r="DA76" s="11" t="s">
        <v>114</v>
      </c>
    </row>
    <row r="77" spans="1:105" s="11" customFormat="1" ht="21.75" customHeight="1">
      <c r="A77" s="13">
        <v>69</v>
      </c>
      <c r="B77" s="40" t="s">
        <v>263</v>
      </c>
      <c r="C77" s="40" t="s">
        <v>264</v>
      </c>
      <c r="D77" s="21" t="s">
        <v>262</v>
      </c>
      <c r="E77" s="9">
        <v>45659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2"/>
      <c r="AK77" s="12" t="s">
        <v>113</v>
      </c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2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>
        <f t="shared" si="3"/>
        <v>1</v>
      </c>
      <c r="DA77" s="11" t="s">
        <v>114</v>
      </c>
    </row>
    <row r="78" spans="1:105" s="11" customFormat="1" ht="21.75" customHeight="1">
      <c r="A78" s="13">
        <v>70</v>
      </c>
      <c r="B78" s="40" t="s">
        <v>265</v>
      </c>
      <c r="C78" s="40" t="s">
        <v>266</v>
      </c>
      <c r="D78" s="21" t="s">
        <v>262</v>
      </c>
      <c r="E78" s="9">
        <v>45742</v>
      </c>
      <c r="F78" s="10"/>
      <c r="G78" s="12" t="s">
        <v>113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2" t="s">
        <v>113</v>
      </c>
      <c r="AJ78" s="12" t="s">
        <v>113</v>
      </c>
      <c r="AK78" s="12" t="s">
        <v>113</v>
      </c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2" t="s">
        <v>113</v>
      </c>
      <c r="CK78" s="12" t="s">
        <v>113</v>
      </c>
      <c r="CL78" s="10"/>
      <c r="CM78" s="12" t="s">
        <v>113</v>
      </c>
      <c r="CN78" s="12" t="s">
        <v>113</v>
      </c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>
        <f t="shared" si="3"/>
        <v>1</v>
      </c>
      <c r="DA78" s="11" t="s">
        <v>114</v>
      </c>
    </row>
    <row r="79" spans="1:105" s="11" customFormat="1" ht="21.75" customHeight="1">
      <c r="A79" s="13">
        <v>71</v>
      </c>
      <c r="B79" s="40" t="s">
        <v>267</v>
      </c>
      <c r="C79" s="40" t="s">
        <v>268</v>
      </c>
      <c r="D79" s="21" t="s">
        <v>262</v>
      </c>
      <c r="E79" s="9">
        <v>45659</v>
      </c>
      <c r="F79" s="10"/>
      <c r="G79" s="12" t="s">
        <v>113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2" t="s">
        <v>113</v>
      </c>
      <c r="AI79" s="12"/>
      <c r="AJ79" s="12" t="s">
        <v>113</v>
      </c>
      <c r="AK79" s="12" t="s">
        <v>113</v>
      </c>
      <c r="AL79" s="12" t="s">
        <v>113</v>
      </c>
      <c r="AM79" s="12" t="s">
        <v>113</v>
      </c>
      <c r="AN79" s="12"/>
      <c r="AO79" s="12"/>
      <c r="AP79" s="12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2" t="s">
        <v>113</v>
      </c>
      <c r="CL79" s="10"/>
      <c r="CM79" s="12" t="s">
        <v>113</v>
      </c>
      <c r="CN79" s="12" t="s">
        <v>113</v>
      </c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>
        <f t="shared" si="3"/>
        <v>1</v>
      </c>
      <c r="DA79" s="11" t="s">
        <v>114</v>
      </c>
    </row>
    <row r="80" spans="1:105" s="11" customFormat="1" ht="21.75" customHeight="1">
      <c r="A80" s="13">
        <v>72</v>
      </c>
      <c r="B80" s="40" t="s">
        <v>269</v>
      </c>
      <c r="C80" s="40" t="s">
        <v>270</v>
      </c>
      <c r="D80" s="21" t="s">
        <v>262</v>
      </c>
      <c r="E80" s="9">
        <v>45679</v>
      </c>
      <c r="F80" s="10"/>
      <c r="G80" s="12" t="s">
        <v>113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2" t="s">
        <v>113</v>
      </c>
      <c r="AI80" s="12" t="s">
        <v>113</v>
      </c>
      <c r="AJ80" s="12" t="s">
        <v>113</v>
      </c>
      <c r="AK80" s="12" t="s">
        <v>113</v>
      </c>
      <c r="AL80" s="12" t="s">
        <v>113</v>
      </c>
      <c r="AM80" s="12" t="s">
        <v>113</v>
      </c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2" t="s">
        <v>113</v>
      </c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2" t="s">
        <v>113</v>
      </c>
      <c r="CK80" s="12" t="s">
        <v>113</v>
      </c>
      <c r="CL80" s="10"/>
      <c r="CM80" s="12" t="s">
        <v>113</v>
      </c>
      <c r="CN80" s="12" t="s">
        <v>113</v>
      </c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>
        <f t="shared" si="3"/>
        <v>1</v>
      </c>
      <c r="DA80" s="11" t="s">
        <v>114</v>
      </c>
    </row>
    <row r="81" spans="1:105" s="11" customFormat="1" ht="21.75" customHeight="1">
      <c r="A81" s="13">
        <v>73</v>
      </c>
      <c r="B81" s="40" t="s">
        <v>271</v>
      </c>
      <c r="C81" s="40" t="s">
        <v>272</v>
      </c>
      <c r="D81" s="21" t="s">
        <v>262</v>
      </c>
      <c r="E81" s="9">
        <v>45677</v>
      </c>
      <c r="F81" s="10"/>
      <c r="G81" s="12" t="s">
        <v>113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2" t="s">
        <v>113</v>
      </c>
      <c r="AI81" s="12" t="s">
        <v>113</v>
      </c>
      <c r="AJ81" s="12" t="s">
        <v>113</v>
      </c>
      <c r="AK81" s="12" t="s">
        <v>113</v>
      </c>
      <c r="AL81" s="12" t="s">
        <v>113</v>
      </c>
      <c r="AM81" s="12" t="s">
        <v>113</v>
      </c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2" t="s">
        <v>113</v>
      </c>
      <c r="CL81" s="10"/>
      <c r="CM81" s="12" t="s">
        <v>113</v>
      </c>
      <c r="CN81" s="12" t="s">
        <v>113</v>
      </c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>
        <f t="shared" si="3"/>
        <v>1</v>
      </c>
      <c r="DA81" s="11" t="s">
        <v>114</v>
      </c>
    </row>
    <row r="82" spans="1:105" s="11" customFormat="1" ht="21.75" customHeight="1">
      <c r="A82" s="13">
        <v>74</v>
      </c>
      <c r="B82" s="45" t="s">
        <v>273</v>
      </c>
      <c r="C82" s="46" t="s">
        <v>274</v>
      </c>
      <c r="D82" s="23" t="s">
        <v>262</v>
      </c>
      <c r="E82" s="9">
        <v>45742</v>
      </c>
      <c r="F82" s="10"/>
      <c r="G82" s="12" t="s">
        <v>113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2"/>
      <c r="AI82" s="12" t="s">
        <v>113</v>
      </c>
      <c r="AJ82" s="12" t="s">
        <v>113</v>
      </c>
      <c r="AK82" s="12" t="s">
        <v>113</v>
      </c>
      <c r="AL82" s="10"/>
      <c r="AM82" s="12" t="s">
        <v>113</v>
      </c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2" t="s">
        <v>113</v>
      </c>
      <c r="CN82" s="12" t="s">
        <v>113</v>
      </c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>
        <f t="shared" si="3"/>
        <v>1</v>
      </c>
      <c r="DA82" s="11" t="s">
        <v>114</v>
      </c>
    </row>
    <row r="83" spans="1:105" s="11" customFormat="1" ht="21.75" customHeight="1">
      <c r="A83" s="13">
        <v>75</v>
      </c>
      <c r="B83" s="42" t="s">
        <v>275</v>
      </c>
      <c r="C83" s="42" t="s">
        <v>276</v>
      </c>
      <c r="D83" s="22" t="s">
        <v>262</v>
      </c>
      <c r="E83" s="14">
        <v>45398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2"/>
      <c r="AI83" s="12"/>
      <c r="AJ83" s="12"/>
      <c r="AK83" s="12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2" t="s">
        <v>113</v>
      </c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>
        <f t="shared" si="3"/>
        <v>1</v>
      </c>
      <c r="DA83" s="11" t="s">
        <v>114</v>
      </c>
    </row>
    <row r="84" spans="1:105" s="11" customFormat="1" ht="21.75" customHeight="1">
      <c r="A84" s="13">
        <v>76</v>
      </c>
      <c r="B84" s="41" t="s">
        <v>277</v>
      </c>
      <c r="C84" s="40" t="s">
        <v>278</v>
      </c>
      <c r="D84" s="21" t="s">
        <v>262</v>
      </c>
      <c r="E84" s="9">
        <v>45659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2" t="s">
        <v>113</v>
      </c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>
        <f t="shared" si="3"/>
        <v>1</v>
      </c>
      <c r="DA84" s="11" t="s">
        <v>114</v>
      </c>
    </row>
    <row r="85" spans="1:105" s="11" customFormat="1" ht="21.75" customHeight="1">
      <c r="A85" s="13">
        <v>77</v>
      </c>
      <c r="B85" s="40" t="s">
        <v>279</v>
      </c>
      <c r="C85" s="40" t="s">
        <v>280</v>
      </c>
      <c r="D85" s="21" t="s">
        <v>262</v>
      </c>
      <c r="E85" s="9">
        <v>45659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2" t="s">
        <v>113</v>
      </c>
      <c r="AK85" s="12" t="s">
        <v>113</v>
      </c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2" t="s">
        <v>113</v>
      </c>
      <c r="CL85" s="10"/>
      <c r="CM85" s="12" t="s">
        <v>113</v>
      </c>
      <c r="CN85" s="12" t="s">
        <v>113</v>
      </c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>
        <f t="shared" si="3"/>
        <v>1</v>
      </c>
      <c r="DA85" s="11" t="s">
        <v>233</v>
      </c>
    </row>
    <row r="86" spans="1:105" s="11" customFormat="1" ht="21.75" customHeight="1">
      <c r="A86" s="13">
        <v>78</v>
      </c>
      <c r="B86" s="42" t="s">
        <v>281</v>
      </c>
      <c r="C86" s="42" t="s">
        <v>282</v>
      </c>
      <c r="D86" s="22" t="s">
        <v>262</v>
      </c>
      <c r="E86" s="9">
        <v>45386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2" t="s">
        <v>113</v>
      </c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2" t="s">
        <v>113</v>
      </c>
      <c r="CN86" s="12" t="s">
        <v>113</v>
      </c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>
        <f t="shared" si="3"/>
        <v>1</v>
      </c>
      <c r="DA86" s="11" t="s">
        <v>114</v>
      </c>
    </row>
    <row r="87" spans="1:105" s="11" customFormat="1" ht="21.75" customHeight="1">
      <c r="A87" s="13">
        <v>79</v>
      </c>
      <c r="B87" s="40" t="s">
        <v>283</v>
      </c>
      <c r="C87" s="40" t="s">
        <v>284</v>
      </c>
      <c r="D87" s="21" t="s">
        <v>262</v>
      </c>
      <c r="E87" s="9">
        <v>45659</v>
      </c>
      <c r="F87" s="10"/>
      <c r="G87" s="12" t="s">
        <v>113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2" t="s">
        <v>113</v>
      </c>
      <c r="AJ87" s="12" t="s">
        <v>113</v>
      </c>
      <c r="AK87" s="10"/>
      <c r="AL87" s="10"/>
      <c r="AM87" s="12" t="s">
        <v>113</v>
      </c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2" t="s">
        <v>113</v>
      </c>
      <c r="CL87" s="10"/>
      <c r="CM87" s="12" t="s">
        <v>113</v>
      </c>
      <c r="CN87" s="12" t="s">
        <v>113</v>
      </c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>
        <f t="shared" si="3"/>
        <v>1</v>
      </c>
      <c r="DA87" s="11" t="s">
        <v>114</v>
      </c>
    </row>
    <row r="88" spans="1:105" s="11" customFormat="1" ht="21.75" customHeight="1">
      <c r="A88" s="13">
        <v>80</v>
      </c>
      <c r="B88" s="40" t="s">
        <v>285</v>
      </c>
      <c r="C88" s="40" t="s">
        <v>286</v>
      </c>
      <c r="D88" s="21" t="s">
        <v>262</v>
      </c>
      <c r="E88" s="9">
        <v>45561</v>
      </c>
      <c r="F88" s="10"/>
      <c r="G88" s="12" t="s">
        <v>113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2" t="s">
        <v>113</v>
      </c>
      <c r="AI88" s="12" t="s">
        <v>113</v>
      </c>
      <c r="AJ88" s="12" t="s">
        <v>113</v>
      </c>
      <c r="AK88" s="12" t="s">
        <v>113</v>
      </c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2" t="s">
        <v>113</v>
      </c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2" t="s">
        <v>113</v>
      </c>
      <c r="CL88" s="10"/>
      <c r="CM88" s="12" t="s">
        <v>113</v>
      </c>
      <c r="CN88" s="12" t="s">
        <v>113</v>
      </c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>
        <f t="shared" si="3"/>
        <v>1</v>
      </c>
      <c r="DA88" s="11" t="s">
        <v>114</v>
      </c>
    </row>
    <row r="89" spans="1:105" s="11" customFormat="1" ht="21.75" customHeight="1">
      <c r="A89" s="13">
        <v>81</v>
      </c>
      <c r="B89" s="40" t="s">
        <v>287</v>
      </c>
      <c r="C89" s="40" t="s">
        <v>288</v>
      </c>
      <c r="D89" s="21" t="s">
        <v>262</v>
      </c>
      <c r="E89" s="9">
        <v>45677</v>
      </c>
      <c r="F89" s="10"/>
      <c r="G89" s="12" t="s">
        <v>113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2" t="s">
        <v>113</v>
      </c>
      <c r="AI89" s="12" t="s">
        <v>113</v>
      </c>
      <c r="AJ89" s="12" t="s">
        <v>113</v>
      </c>
      <c r="AK89" s="12" t="s">
        <v>113</v>
      </c>
      <c r="AL89" s="10"/>
      <c r="AM89" s="12" t="s">
        <v>113</v>
      </c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2" t="s">
        <v>113</v>
      </c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2" t="s">
        <v>113</v>
      </c>
      <c r="CL89" s="10"/>
      <c r="CM89" s="12" t="s">
        <v>113</v>
      </c>
      <c r="CN89" s="12" t="s">
        <v>113</v>
      </c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>
        <f t="shared" si="3"/>
        <v>1</v>
      </c>
      <c r="DA89" s="11" t="s">
        <v>114</v>
      </c>
    </row>
    <row r="90" spans="1:105" s="11" customFormat="1" ht="21.75" customHeight="1">
      <c r="A90" s="13">
        <v>82</v>
      </c>
      <c r="B90" s="40" t="s">
        <v>289</v>
      </c>
      <c r="C90" s="40" t="s">
        <v>290</v>
      </c>
      <c r="D90" s="21" t="s">
        <v>262</v>
      </c>
      <c r="E90" s="9">
        <v>45396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2"/>
      <c r="AK90" s="12"/>
      <c r="AL90" s="12" t="s">
        <v>113</v>
      </c>
      <c r="AM90" s="12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2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>
        <f t="shared" si="3"/>
        <v>1</v>
      </c>
      <c r="DA90" s="11" t="s">
        <v>114</v>
      </c>
    </row>
    <row r="91" spans="1:105" s="11" customFormat="1" ht="21.75" customHeight="1">
      <c r="A91" s="13">
        <v>83</v>
      </c>
      <c r="B91" s="40" t="s">
        <v>291</v>
      </c>
      <c r="C91" s="40" t="s">
        <v>292</v>
      </c>
      <c r="D91" s="21" t="s">
        <v>262</v>
      </c>
      <c r="E91" s="9">
        <v>45663</v>
      </c>
      <c r="F91" s="10"/>
      <c r="G91" s="12" t="s">
        <v>113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2" t="s">
        <v>113</v>
      </c>
      <c r="AJ91" s="12" t="s">
        <v>113</v>
      </c>
      <c r="AK91" s="10"/>
      <c r="AL91" s="10"/>
      <c r="AM91" s="12" t="s">
        <v>113</v>
      </c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2" t="s">
        <v>113</v>
      </c>
      <c r="CN91" s="12" t="s">
        <v>113</v>
      </c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>
        <f t="shared" si="3"/>
        <v>1</v>
      </c>
      <c r="DA91" s="11" t="s">
        <v>114</v>
      </c>
    </row>
    <row r="92" spans="1:105" s="11" customFormat="1" ht="21.75" customHeight="1">
      <c r="A92" s="13">
        <v>84</v>
      </c>
      <c r="B92" s="40" t="s">
        <v>293</v>
      </c>
      <c r="C92" s="40" t="s">
        <v>294</v>
      </c>
      <c r="D92" s="21" t="s">
        <v>262</v>
      </c>
      <c r="E92" s="9">
        <v>45862</v>
      </c>
      <c r="F92" s="10"/>
      <c r="G92" s="12" t="s">
        <v>113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2" t="s">
        <v>113</v>
      </c>
      <c r="AI92" s="12" t="s">
        <v>113</v>
      </c>
      <c r="AJ92" s="12" t="s">
        <v>113</v>
      </c>
      <c r="AK92" s="12" t="s">
        <v>113</v>
      </c>
      <c r="AL92" s="12" t="s">
        <v>113</v>
      </c>
      <c r="AM92" s="12" t="s">
        <v>113</v>
      </c>
      <c r="AN92" s="12" t="s">
        <v>113</v>
      </c>
      <c r="AO92" s="12" t="s">
        <v>113</v>
      </c>
      <c r="AP92" s="12"/>
      <c r="AQ92" s="10"/>
      <c r="AR92" s="10"/>
      <c r="AS92" s="10"/>
      <c r="AT92" s="10"/>
      <c r="AU92" s="12" t="s">
        <v>113</v>
      </c>
      <c r="AV92" s="12" t="s">
        <v>113</v>
      </c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2" t="s">
        <v>113</v>
      </c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2" t="s">
        <v>113</v>
      </c>
      <c r="CK92" s="12" t="s">
        <v>113</v>
      </c>
      <c r="CL92" s="10"/>
      <c r="CM92" s="12" t="s">
        <v>113</v>
      </c>
      <c r="CN92" s="12" t="s">
        <v>113</v>
      </c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>
        <f t="shared" si="3"/>
        <v>1</v>
      </c>
      <c r="DA92" s="11" t="s">
        <v>114</v>
      </c>
    </row>
    <row r="93" spans="1:105" s="11" customFormat="1" ht="21.75" customHeight="1">
      <c r="A93" s="13">
        <v>85</v>
      </c>
      <c r="B93" s="40" t="s">
        <v>295</v>
      </c>
      <c r="C93" s="40" t="s">
        <v>296</v>
      </c>
      <c r="D93" s="21" t="s">
        <v>262</v>
      </c>
      <c r="E93" s="9">
        <v>45659</v>
      </c>
      <c r="F93" s="10"/>
      <c r="G93" s="12" t="s">
        <v>113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2" t="s">
        <v>113</v>
      </c>
      <c r="AI93" s="12" t="s">
        <v>113</v>
      </c>
      <c r="AJ93" s="12" t="s">
        <v>113</v>
      </c>
      <c r="AK93" s="12" t="s">
        <v>113</v>
      </c>
      <c r="AL93" s="12" t="s">
        <v>113</v>
      </c>
      <c r="AM93" s="12" t="s">
        <v>113</v>
      </c>
      <c r="AN93" s="12"/>
      <c r="AO93" s="12"/>
      <c r="AP93" s="12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2" t="s">
        <v>113</v>
      </c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2" t="s">
        <v>113</v>
      </c>
      <c r="CL93" s="10"/>
      <c r="CM93" s="12" t="s">
        <v>113</v>
      </c>
      <c r="CN93" s="12" t="s">
        <v>113</v>
      </c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>
        <f t="shared" si="3"/>
        <v>1</v>
      </c>
      <c r="DA93" s="11" t="s">
        <v>114</v>
      </c>
    </row>
    <row r="94" spans="1:105" s="11" customFormat="1" ht="21.75" customHeight="1">
      <c r="A94" s="13">
        <v>86</v>
      </c>
      <c r="B94" s="40" t="s">
        <v>297</v>
      </c>
      <c r="C94" s="40" t="s">
        <v>298</v>
      </c>
      <c r="D94" s="21" t="s">
        <v>299</v>
      </c>
      <c r="E94" s="9">
        <v>45417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2" t="s">
        <v>113</v>
      </c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2" t="s">
        <v>113</v>
      </c>
      <c r="AY94" s="12" t="s">
        <v>113</v>
      </c>
      <c r="AZ94" s="10"/>
      <c r="BA94" s="10"/>
      <c r="BB94" s="12" t="s">
        <v>113</v>
      </c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>
        <f t="shared" ref="CZ94:CZ138" si="4">IF(COUNTIF(F94:CY94,"ü")&lt;=0,0,1)</f>
        <v>1</v>
      </c>
      <c r="DA94" s="11" t="s">
        <v>114</v>
      </c>
    </row>
    <row r="95" spans="1:105" s="11" customFormat="1" ht="21.75" customHeight="1">
      <c r="A95" s="13">
        <v>87</v>
      </c>
      <c r="B95" s="40" t="s">
        <v>300</v>
      </c>
      <c r="C95" s="40" t="s">
        <v>301</v>
      </c>
      <c r="D95" s="21" t="s">
        <v>299</v>
      </c>
      <c r="E95" s="9">
        <v>45417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2" t="s">
        <v>113</v>
      </c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2" t="s">
        <v>113</v>
      </c>
      <c r="AY95" s="12" t="s">
        <v>113</v>
      </c>
      <c r="AZ95" s="10"/>
      <c r="BA95" s="10"/>
      <c r="BB95" s="12" t="s">
        <v>113</v>
      </c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>
        <f t="shared" si="4"/>
        <v>1</v>
      </c>
      <c r="DA95" s="11" t="s">
        <v>114</v>
      </c>
    </row>
    <row r="96" spans="1:105" s="11" customFormat="1" ht="21.75" customHeight="1">
      <c r="A96" s="13">
        <v>88</v>
      </c>
      <c r="B96" s="40" t="s">
        <v>302</v>
      </c>
      <c r="C96" s="40" t="s">
        <v>303</v>
      </c>
      <c r="D96" s="21" t="s">
        <v>299</v>
      </c>
      <c r="E96" s="9">
        <v>45416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2" t="s">
        <v>113</v>
      </c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2" t="s">
        <v>113</v>
      </c>
      <c r="AZ96" s="10"/>
      <c r="BA96" s="10"/>
      <c r="BB96" s="12" t="s">
        <v>113</v>
      </c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>
        <f t="shared" si="4"/>
        <v>1</v>
      </c>
      <c r="DA96" s="11" t="s">
        <v>114</v>
      </c>
    </row>
    <row r="97" spans="1:105" s="11" customFormat="1" ht="21.75" customHeight="1">
      <c r="A97" s="13">
        <v>89</v>
      </c>
      <c r="B97" s="40" t="s">
        <v>304</v>
      </c>
      <c r="C97" s="40" t="s">
        <v>305</v>
      </c>
      <c r="D97" s="21" t="s">
        <v>299</v>
      </c>
      <c r="E97" s="9">
        <v>45417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2" t="s">
        <v>113</v>
      </c>
      <c r="AZ97" s="10"/>
      <c r="BA97" s="10"/>
      <c r="BB97" s="12" t="s">
        <v>113</v>
      </c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>
        <f t="shared" si="4"/>
        <v>1</v>
      </c>
      <c r="DA97" s="11" t="s">
        <v>114</v>
      </c>
    </row>
    <row r="98" spans="1:105" s="11" customFormat="1" ht="21.75" customHeight="1">
      <c r="A98" s="13">
        <v>90</v>
      </c>
      <c r="B98" s="40" t="s">
        <v>306</v>
      </c>
      <c r="C98" s="40" t="s">
        <v>307</v>
      </c>
      <c r="D98" s="21" t="s">
        <v>299</v>
      </c>
      <c r="E98" s="9">
        <v>45559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2" t="s">
        <v>113</v>
      </c>
      <c r="AZ98" s="10"/>
      <c r="BA98" s="10"/>
      <c r="BB98" s="12" t="s">
        <v>113</v>
      </c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>
        <f t="shared" si="4"/>
        <v>1</v>
      </c>
      <c r="DA98" s="11" t="s">
        <v>114</v>
      </c>
    </row>
    <row r="99" spans="1:105" s="11" customFormat="1" ht="21.75" customHeight="1">
      <c r="A99" s="13">
        <v>91</v>
      </c>
      <c r="B99" s="40" t="s">
        <v>308</v>
      </c>
      <c r="C99" s="40" t="s">
        <v>309</v>
      </c>
      <c r="D99" s="21" t="s">
        <v>299</v>
      </c>
      <c r="E99" s="9">
        <v>45417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2" t="s">
        <v>113</v>
      </c>
      <c r="AZ99" s="10"/>
      <c r="BA99" s="10"/>
      <c r="BB99" s="12" t="s">
        <v>113</v>
      </c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>
        <f t="shared" si="4"/>
        <v>1</v>
      </c>
      <c r="DA99" s="11" t="s">
        <v>114</v>
      </c>
    </row>
    <row r="100" spans="1:105" s="11" customFormat="1" ht="21.75" customHeight="1">
      <c r="A100" s="13">
        <v>92</v>
      </c>
      <c r="B100" s="40" t="s">
        <v>310</v>
      </c>
      <c r="C100" s="40" t="s">
        <v>311</v>
      </c>
      <c r="D100" s="21" t="s">
        <v>299</v>
      </c>
      <c r="E100" s="9">
        <v>45416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2" t="s">
        <v>113</v>
      </c>
      <c r="AZ100" s="10"/>
      <c r="BA100" s="10"/>
      <c r="BB100" s="12" t="s">
        <v>113</v>
      </c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>
        <f t="shared" si="4"/>
        <v>1</v>
      </c>
      <c r="DA100" s="11" t="s">
        <v>114</v>
      </c>
    </row>
    <row r="101" spans="1:105" s="11" customFormat="1" ht="21.75" customHeight="1">
      <c r="A101" s="13">
        <v>93</v>
      </c>
      <c r="B101" s="40" t="s">
        <v>312</v>
      </c>
      <c r="C101" s="40" t="s">
        <v>313</v>
      </c>
      <c r="D101" s="21" t="s">
        <v>299</v>
      </c>
      <c r="E101" s="9">
        <v>45293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2" t="s">
        <v>113</v>
      </c>
      <c r="AZ101" s="10"/>
      <c r="BA101" s="10"/>
      <c r="BB101" s="12" t="s">
        <v>113</v>
      </c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>
        <f t="shared" si="4"/>
        <v>1</v>
      </c>
      <c r="DA101" s="11" t="s">
        <v>114</v>
      </c>
    </row>
    <row r="102" spans="1:105" s="11" customFormat="1" ht="21.75" customHeight="1">
      <c r="A102" s="13">
        <v>94</v>
      </c>
      <c r="B102" s="40" t="s">
        <v>314</v>
      </c>
      <c r="C102" s="40" t="s">
        <v>315</v>
      </c>
      <c r="D102" s="21" t="s">
        <v>299</v>
      </c>
      <c r="E102" s="9">
        <v>45417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2" t="s">
        <v>113</v>
      </c>
      <c r="AY102" s="12" t="s">
        <v>113</v>
      </c>
      <c r="AZ102" s="10"/>
      <c r="BA102" s="10"/>
      <c r="BB102" s="12" t="s">
        <v>113</v>
      </c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>
        <f t="shared" si="4"/>
        <v>1</v>
      </c>
      <c r="DA102" s="11" t="s">
        <v>114</v>
      </c>
    </row>
    <row r="103" spans="1:105" s="11" customFormat="1" ht="21.75" customHeight="1">
      <c r="A103" s="13">
        <v>95</v>
      </c>
      <c r="B103" s="40" t="s">
        <v>316</v>
      </c>
      <c r="C103" s="40" t="s">
        <v>317</v>
      </c>
      <c r="D103" s="21" t="s">
        <v>299</v>
      </c>
      <c r="E103" s="9">
        <v>45293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2" t="s">
        <v>113</v>
      </c>
      <c r="AZ103" s="10"/>
      <c r="BA103" s="10"/>
      <c r="BB103" s="12" t="s">
        <v>113</v>
      </c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>
        <f t="shared" si="4"/>
        <v>1</v>
      </c>
      <c r="DA103" s="11" t="s">
        <v>114</v>
      </c>
    </row>
    <row r="104" spans="1:105" s="11" customFormat="1" ht="21.75" customHeight="1">
      <c r="A104" s="13">
        <v>96</v>
      </c>
      <c r="B104" s="42" t="s">
        <v>318</v>
      </c>
      <c r="C104" s="42" t="s">
        <v>319</v>
      </c>
      <c r="D104" s="22" t="s">
        <v>299</v>
      </c>
      <c r="E104" s="9">
        <v>45386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2"/>
      <c r="AY104" s="12" t="s">
        <v>113</v>
      </c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>
        <f t="shared" si="4"/>
        <v>1</v>
      </c>
      <c r="DA104" s="11" t="s">
        <v>114</v>
      </c>
    </row>
    <row r="105" spans="1:105" s="11" customFormat="1" ht="21.75" customHeight="1">
      <c r="A105" s="13">
        <v>97</v>
      </c>
      <c r="B105" s="40" t="s">
        <v>320</v>
      </c>
      <c r="C105" s="40" t="s">
        <v>321</v>
      </c>
      <c r="D105" s="21" t="s">
        <v>299</v>
      </c>
      <c r="E105" s="9">
        <v>45669</v>
      </c>
      <c r="F105" s="10"/>
      <c r="G105" s="12" t="s">
        <v>113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2" t="s">
        <v>113</v>
      </c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2" t="s">
        <v>113</v>
      </c>
      <c r="AY105" s="12" t="s">
        <v>113</v>
      </c>
      <c r="AZ105" s="10"/>
      <c r="BA105" s="10"/>
      <c r="BB105" s="12" t="s">
        <v>113</v>
      </c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>
        <f t="shared" si="4"/>
        <v>1</v>
      </c>
      <c r="DA105" s="11" t="s">
        <v>114</v>
      </c>
    </row>
    <row r="106" spans="1:105" s="11" customFormat="1" ht="21.75" customHeight="1">
      <c r="A106" s="13">
        <v>98</v>
      </c>
      <c r="B106" s="47" t="s">
        <v>322</v>
      </c>
      <c r="C106" s="42" t="s">
        <v>323</v>
      </c>
      <c r="D106" s="22" t="s">
        <v>299</v>
      </c>
      <c r="E106" s="9">
        <v>45386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2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2"/>
      <c r="AY106" s="12" t="s">
        <v>113</v>
      </c>
      <c r="AZ106" s="10"/>
      <c r="BA106" s="10"/>
      <c r="BB106" s="12" t="s">
        <v>113</v>
      </c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>
        <f t="shared" si="4"/>
        <v>1</v>
      </c>
      <c r="DA106" s="11" t="s">
        <v>114</v>
      </c>
    </row>
    <row r="107" spans="1:105" s="11" customFormat="1" ht="21.75" customHeight="1">
      <c r="A107" s="13">
        <v>99</v>
      </c>
      <c r="B107" s="42" t="s">
        <v>324</v>
      </c>
      <c r="C107" s="42" t="s">
        <v>325</v>
      </c>
      <c r="D107" s="22" t="s">
        <v>299</v>
      </c>
      <c r="E107" s="9">
        <v>45386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2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2"/>
      <c r="AY107" s="12" t="s">
        <v>113</v>
      </c>
      <c r="AZ107" s="10"/>
      <c r="BA107" s="10"/>
      <c r="BB107" s="12" t="s">
        <v>113</v>
      </c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>
        <f t="shared" si="4"/>
        <v>1</v>
      </c>
      <c r="DA107" s="11" t="s">
        <v>114</v>
      </c>
    </row>
    <row r="108" spans="1:105" s="11" customFormat="1" ht="21.75" customHeight="1">
      <c r="A108" s="13">
        <v>100</v>
      </c>
      <c r="B108" s="40" t="s">
        <v>326</v>
      </c>
      <c r="C108" s="40" t="s">
        <v>327</v>
      </c>
      <c r="D108" s="21" t="s">
        <v>299</v>
      </c>
      <c r="E108" s="9">
        <v>45417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2" t="s">
        <v>113</v>
      </c>
      <c r="AZ108" s="10"/>
      <c r="BA108" s="10"/>
      <c r="BB108" s="12" t="s">
        <v>113</v>
      </c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>
        <f t="shared" si="4"/>
        <v>1</v>
      </c>
      <c r="DA108" s="11" t="s">
        <v>233</v>
      </c>
    </row>
    <row r="109" spans="1:105" s="11" customFormat="1" ht="21.75" customHeight="1">
      <c r="A109" s="13">
        <v>101</v>
      </c>
      <c r="B109" s="40" t="s">
        <v>328</v>
      </c>
      <c r="C109" s="40" t="s">
        <v>329</v>
      </c>
      <c r="D109" s="21" t="s">
        <v>299</v>
      </c>
      <c r="E109" s="9">
        <v>45416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2" t="s">
        <v>113</v>
      </c>
      <c r="AY109" s="12" t="s">
        <v>113</v>
      </c>
      <c r="AZ109" s="10"/>
      <c r="BA109" s="10"/>
      <c r="BB109" s="12" t="s">
        <v>113</v>
      </c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>
        <f t="shared" si="4"/>
        <v>1</v>
      </c>
      <c r="DA109" s="11" t="s">
        <v>114</v>
      </c>
    </row>
    <row r="110" spans="1:105" s="11" customFormat="1" ht="21.75" customHeight="1">
      <c r="A110" s="13">
        <v>102</v>
      </c>
      <c r="B110" s="40" t="s">
        <v>330</v>
      </c>
      <c r="C110" s="40" t="s">
        <v>331</v>
      </c>
      <c r="D110" s="21" t="s">
        <v>299</v>
      </c>
      <c r="E110" s="9">
        <v>45416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2" t="s">
        <v>113</v>
      </c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2" t="s">
        <v>113</v>
      </c>
      <c r="AY110" s="12"/>
      <c r="AZ110" s="10"/>
      <c r="BA110" s="10"/>
      <c r="BB110" s="12" t="s">
        <v>113</v>
      </c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>
        <f t="shared" si="4"/>
        <v>1</v>
      </c>
      <c r="DA110" s="11" t="s">
        <v>114</v>
      </c>
    </row>
    <row r="111" spans="1:105" s="11" customFormat="1" ht="21.75" customHeight="1">
      <c r="A111" s="13">
        <v>103</v>
      </c>
      <c r="B111" s="40" t="s">
        <v>332</v>
      </c>
      <c r="C111" s="40" t="s">
        <v>333</v>
      </c>
      <c r="D111" s="21" t="s">
        <v>299</v>
      </c>
      <c r="E111" s="9">
        <v>45669</v>
      </c>
      <c r="F111" s="10"/>
      <c r="G111" s="12" t="s">
        <v>113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2" t="s">
        <v>113</v>
      </c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2" t="s">
        <v>113</v>
      </c>
      <c r="AY111" s="12" t="s">
        <v>113</v>
      </c>
      <c r="AZ111" s="10"/>
      <c r="BA111" s="10"/>
      <c r="BB111" s="12" t="s">
        <v>113</v>
      </c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>
        <f t="shared" si="4"/>
        <v>1</v>
      </c>
      <c r="DA111" s="11" t="s">
        <v>114</v>
      </c>
    </row>
    <row r="112" spans="1:105" s="11" customFormat="1" ht="21.75" customHeight="1">
      <c r="A112" s="13">
        <v>104</v>
      </c>
      <c r="B112" s="40" t="s">
        <v>334</v>
      </c>
      <c r="C112" s="40" t="s">
        <v>335</v>
      </c>
      <c r="D112" s="21" t="s">
        <v>336</v>
      </c>
      <c r="E112" s="9">
        <v>45659</v>
      </c>
      <c r="F112" s="10"/>
      <c r="G112" s="12" t="s">
        <v>113</v>
      </c>
      <c r="H112" s="10"/>
      <c r="I112" s="10"/>
      <c r="J112" s="10"/>
      <c r="K112" s="10"/>
      <c r="L112" s="10"/>
      <c r="M112" s="10"/>
      <c r="N112" s="10"/>
      <c r="O112" s="10"/>
      <c r="P112" s="12" t="s">
        <v>113</v>
      </c>
      <c r="Q112" s="12" t="s">
        <v>113</v>
      </c>
      <c r="R112" s="12" t="s">
        <v>113</v>
      </c>
      <c r="S112" s="10"/>
      <c r="T112" s="12" t="s">
        <v>113</v>
      </c>
      <c r="U112" s="10"/>
      <c r="V112" s="12" t="s">
        <v>113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>
        <f t="shared" si="4"/>
        <v>1</v>
      </c>
      <c r="DA112" s="11" t="s">
        <v>114</v>
      </c>
    </row>
    <row r="113" spans="1:105" s="11" customFormat="1" ht="21.75" customHeight="1">
      <c r="A113" s="13">
        <v>105</v>
      </c>
      <c r="B113" s="40" t="s">
        <v>337</v>
      </c>
      <c r="C113" s="40" t="s">
        <v>338</v>
      </c>
      <c r="D113" s="21" t="s">
        <v>336</v>
      </c>
      <c r="E113" s="9">
        <v>45763</v>
      </c>
      <c r="F113" s="10"/>
      <c r="G113" s="12" t="s">
        <v>113</v>
      </c>
      <c r="H113" s="10"/>
      <c r="I113" s="10"/>
      <c r="J113" s="10"/>
      <c r="K113" s="10"/>
      <c r="L113" s="10"/>
      <c r="M113" s="10"/>
      <c r="N113" s="10"/>
      <c r="O113" s="10"/>
      <c r="P113" s="12" t="s">
        <v>113</v>
      </c>
      <c r="Q113" s="10"/>
      <c r="R113" s="12" t="s">
        <v>113</v>
      </c>
      <c r="S113" s="12" t="s">
        <v>113</v>
      </c>
      <c r="T113" s="12" t="s">
        <v>113</v>
      </c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>
        <f t="shared" si="4"/>
        <v>1</v>
      </c>
      <c r="DA113" s="11" t="s">
        <v>114</v>
      </c>
    </row>
    <row r="114" spans="1:105" s="11" customFormat="1" ht="21.75" customHeight="1">
      <c r="A114" s="13">
        <v>106</v>
      </c>
      <c r="B114" s="40" t="s">
        <v>339</v>
      </c>
      <c r="C114" s="40" t="s">
        <v>340</v>
      </c>
      <c r="D114" s="21" t="s">
        <v>336</v>
      </c>
      <c r="E114" s="9">
        <v>45745</v>
      </c>
      <c r="F114" s="10"/>
      <c r="G114" s="12" t="s">
        <v>113</v>
      </c>
      <c r="H114" s="10"/>
      <c r="I114" s="10"/>
      <c r="J114" s="10"/>
      <c r="K114" s="10"/>
      <c r="L114" s="10"/>
      <c r="M114" s="10"/>
      <c r="N114" s="10"/>
      <c r="O114" s="10"/>
      <c r="P114" s="12" t="s">
        <v>113</v>
      </c>
      <c r="Q114" s="12" t="s">
        <v>113</v>
      </c>
      <c r="R114" s="12" t="s">
        <v>113</v>
      </c>
      <c r="S114" s="10"/>
      <c r="T114" s="12" t="s">
        <v>113</v>
      </c>
      <c r="U114" s="10"/>
      <c r="V114" s="12" t="s">
        <v>113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>
        <f t="shared" si="4"/>
        <v>1</v>
      </c>
      <c r="DA114" s="11" t="s">
        <v>114</v>
      </c>
    </row>
    <row r="115" spans="1:105" s="11" customFormat="1" ht="21.75" customHeight="1">
      <c r="A115" s="13">
        <v>107</v>
      </c>
      <c r="B115" s="42" t="s">
        <v>341</v>
      </c>
      <c r="C115" s="42" t="s">
        <v>342</v>
      </c>
      <c r="D115" s="22" t="s">
        <v>336</v>
      </c>
      <c r="E115" s="9">
        <v>45759</v>
      </c>
      <c r="F115" s="10"/>
      <c r="G115" s="12" t="s">
        <v>113</v>
      </c>
      <c r="H115" s="10"/>
      <c r="I115" s="10"/>
      <c r="J115" s="10"/>
      <c r="K115" s="10"/>
      <c r="L115" s="10"/>
      <c r="M115" s="10"/>
      <c r="N115" s="10"/>
      <c r="O115" s="10"/>
      <c r="P115" s="12" t="s">
        <v>113</v>
      </c>
      <c r="Q115" s="12" t="s">
        <v>113</v>
      </c>
      <c r="R115" s="10"/>
      <c r="S115" s="12" t="s">
        <v>113</v>
      </c>
      <c r="T115" s="12" t="s">
        <v>113</v>
      </c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>
        <f t="shared" si="4"/>
        <v>1</v>
      </c>
      <c r="DA115" s="11" t="s">
        <v>114</v>
      </c>
    </row>
    <row r="116" spans="1:105" s="11" customFormat="1" ht="21.75" customHeight="1">
      <c r="A116" s="13">
        <v>108</v>
      </c>
      <c r="B116" s="40" t="s">
        <v>343</v>
      </c>
      <c r="C116" s="40" t="s">
        <v>344</v>
      </c>
      <c r="D116" s="21" t="s">
        <v>336</v>
      </c>
      <c r="E116" s="9">
        <v>45659</v>
      </c>
      <c r="F116" s="10"/>
      <c r="G116" s="12" t="s">
        <v>113</v>
      </c>
      <c r="H116" s="10"/>
      <c r="I116" s="10"/>
      <c r="J116" s="10"/>
      <c r="K116" s="10"/>
      <c r="L116" s="10"/>
      <c r="M116" s="10"/>
      <c r="N116" s="10"/>
      <c r="O116" s="10"/>
      <c r="P116" s="12" t="s">
        <v>113</v>
      </c>
      <c r="Q116" s="12" t="s">
        <v>113</v>
      </c>
      <c r="R116" s="12" t="s">
        <v>113</v>
      </c>
      <c r="S116" s="12" t="s">
        <v>113</v>
      </c>
      <c r="T116" s="12" t="s">
        <v>113</v>
      </c>
      <c r="U116" s="12" t="s">
        <v>113</v>
      </c>
      <c r="V116" s="12" t="s">
        <v>113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>
        <f t="shared" si="4"/>
        <v>1</v>
      </c>
      <c r="DA116" s="11" t="s">
        <v>114</v>
      </c>
    </row>
    <row r="117" spans="1:105" s="11" customFormat="1" ht="21.75" customHeight="1">
      <c r="A117" s="13">
        <v>109</v>
      </c>
      <c r="B117" s="40" t="s">
        <v>345</v>
      </c>
      <c r="C117" s="40" t="s">
        <v>346</v>
      </c>
      <c r="D117" s="21" t="s">
        <v>336</v>
      </c>
      <c r="E117" s="9">
        <v>45659</v>
      </c>
      <c r="F117" s="10"/>
      <c r="G117" s="12" t="s">
        <v>113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2" t="s">
        <v>113</v>
      </c>
      <c r="U117" s="10"/>
      <c r="V117" s="12" t="s">
        <v>113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>
        <f t="shared" si="4"/>
        <v>1</v>
      </c>
      <c r="DA117" s="11" t="s">
        <v>114</v>
      </c>
    </row>
    <row r="118" spans="1:105" s="11" customFormat="1" ht="21.75" customHeight="1">
      <c r="A118" s="13">
        <v>110</v>
      </c>
      <c r="B118" s="40" t="s">
        <v>347</v>
      </c>
      <c r="C118" s="40" t="s">
        <v>348</v>
      </c>
      <c r="D118" s="21" t="s">
        <v>336</v>
      </c>
      <c r="E118" s="9">
        <v>45394</v>
      </c>
      <c r="F118" s="10"/>
      <c r="G118" s="12" t="s">
        <v>113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2" t="s">
        <v>113</v>
      </c>
      <c r="U118" s="10"/>
      <c r="V118" s="12" t="s">
        <v>113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>
        <f t="shared" si="4"/>
        <v>1</v>
      </c>
      <c r="DA118" s="11" t="s">
        <v>114</v>
      </c>
    </row>
    <row r="119" spans="1:105" s="11" customFormat="1" ht="21.75" customHeight="1">
      <c r="A119" s="13">
        <v>111</v>
      </c>
      <c r="B119" s="40" t="s">
        <v>349</v>
      </c>
      <c r="C119" s="40" t="s">
        <v>350</v>
      </c>
      <c r="D119" s="21" t="s">
        <v>336</v>
      </c>
      <c r="E119" s="9">
        <v>45659</v>
      </c>
      <c r="F119" s="10"/>
      <c r="G119" s="12" t="s">
        <v>113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2" t="s">
        <v>113</v>
      </c>
      <c r="U119" s="10"/>
      <c r="V119" s="12" t="s">
        <v>113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>
        <f t="shared" si="4"/>
        <v>1</v>
      </c>
      <c r="DA119" s="11" t="s">
        <v>114</v>
      </c>
    </row>
    <row r="120" spans="1:105" s="11" customFormat="1" ht="21.75" customHeight="1">
      <c r="A120" s="13">
        <v>112</v>
      </c>
      <c r="B120" s="42" t="s">
        <v>351</v>
      </c>
      <c r="C120" s="42" t="s">
        <v>352</v>
      </c>
      <c r="D120" s="21" t="s">
        <v>336</v>
      </c>
      <c r="E120" s="9">
        <v>45386</v>
      </c>
      <c r="F120" s="10"/>
      <c r="G120" s="12" t="s">
        <v>113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2"/>
      <c r="U120" s="10"/>
      <c r="V120" s="12" t="s">
        <v>113</v>
      </c>
      <c r="W120" s="12" t="s">
        <v>113</v>
      </c>
      <c r="X120" s="12" t="s">
        <v>113</v>
      </c>
      <c r="Y120" s="12" t="s">
        <v>113</v>
      </c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>
        <f t="shared" si="4"/>
        <v>1</v>
      </c>
      <c r="DA120" s="11" t="s">
        <v>114</v>
      </c>
    </row>
    <row r="121" spans="1:105" s="11" customFormat="1" ht="21.75" customHeight="1">
      <c r="A121" s="13">
        <v>113</v>
      </c>
      <c r="B121" s="40" t="s">
        <v>353</v>
      </c>
      <c r="C121" s="40" t="s">
        <v>354</v>
      </c>
      <c r="D121" s="21" t="s">
        <v>336</v>
      </c>
      <c r="E121" s="9">
        <v>45659</v>
      </c>
      <c r="F121" s="10"/>
      <c r="G121" s="12" t="s">
        <v>113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2" t="s">
        <v>113</v>
      </c>
      <c r="U121" s="10"/>
      <c r="V121" s="12" t="s">
        <v>113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>
        <f t="shared" si="4"/>
        <v>1</v>
      </c>
      <c r="DA121" s="11" t="s">
        <v>114</v>
      </c>
    </row>
    <row r="122" spans="1:105" s="11" customFormat="1" ht="21.75" customHeight="1">
      <c r="A122" s="13">
        <v>114</v>
      </c>
      <c r="B122" s="40" t="s">
        <v>355</v>
      </c>
      <c r="C122" s="40" t="s">
        <v>356</v>
      </c>
      <c r="D122" s="21" t="s">
        <v>336</v>
      </c>
      <c r="E122" s="9">
        <v>45690</v>
      </c>
      <c r="F122" s="10"/>
      <c r="G122" s="12" t="s">
        <v>113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2" t="s">
        <v>113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>
        <f t="shared" si="4"/>
        <v>1</v>
      </c>
      <c r="DA122" s="11" t="s">
        <v>114</v>
      </c>
    </row>
    <row r="123" spans="1:105" s="11" customFormat="1" ht="21.75" customHeight="1">
      <c r="A123" s="13">
        <v>115</v>
      </c>
      <c r="B123" s="41" t="s">
        <v>357</v>
      </c>
      <c r="C123" s="40" t="s">
        <v>358</v>
      </c>
      <c r="D123" s="21" t="s">
        <v>336</v>
      </c>
      <c r="E123" s="9">
        <v>45659</v>
      </c>
      <c r="F123" s="10"/>
      <c r="G123" s="12" t="s">
        <v>113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2" t="s">
        <v>113</v>
      </c>
      <c r="U123" s="10"/>
      <c r="V123" s="12" t="s">
        <v>113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>
        <f t="shared" si="4"/>
        <v>1</v>
      </c>
      <c r="DA123" s="11" t="s">
        <v>114</v>
      </c>
    </row>
    <row r="124" spans="1:105" s="11" customFormat="1" ht="21.75" customHeight="1">
      <c r="A124" s="13">
        <v>116</v>
      </c>
      <c r="B124" s="42" t="s">
        <v>359</v>
      </c>
      <c r="C124" s="42" t="s">
        <v>360</v>
      </c>
      <c r="D124" s="22" t="s">
        <v>336</v>
      </c>
      <c r="E124" s="9">
        <v>45386</v>
      </c>
      <c r="F124" s="10"/>
      <c r="G124" s="12" t="s">
        <v>113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2" t="s">
        <v>113</v>
      </c>
      <c r="S124" s="10"/>
      <c r="T124" s="12" t="s">
        <v>113</v>
      </c>
      <c r="U124" s="10"/>
      <c r="V124" s="12" t="s">
        <v>113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>
        <f t="shared" si="4"/>
        <v>1</v>
      </c>
      <c r="DA124" s="11" t="s">
        <v>114</v>
      </c>
    </row>
    <row r="125" spans="1:105" s="11" customFormat="1" ht="21.75" customHeight="1">
      <c r="A125" s="13">
        <v>117</v>
      </c>
      <c r="B125" s="42" t="s">
        <v>361</v>
      </c>
      <c r="C125" s="42" t="s">
        <v>362</v>
      </c>
      <c r="D125" s="22" t="s">
        <v>336</v>
      </c>
      <c r="E125" s="9">
        <v>45386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2" t="s">
        <v>113</v>
      </c>
      <c r="S125" s="10"/>
      <c r="T125" s="12" t="s">
        <v>113</v>
      </c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>
        <f t="shared" si="4"/>
        <v>1</v>
      </c>
      <c r="DA125" s="11" t="s">
        <v>114</v>
      </c>
    </row>
    <row r="126" spans="1:105" s="11" customFormat="1" ht="21.75" customHeight="1">
      <c r="A126" s="13">
        <v>118</v>
      </c>
      <c r="B126" s="40" t="s">
        <v>363</v>
      </c>
      <c r="C126" s="40" t="s">
        <v>364</v>
      </c>
      <c r="D126" s="21" t="s">
        <v>336</v>
      </c>
      <c r="E126" s="9">
        <v>45717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2" t="s">
        <v>113</v>
      </c>
      <c r="U126" s="10"/>
      <c r="V126" s="12" t="s">
        <v>113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>
        <f t="shared" si="4"/>
        <v>1</v>
      </c>
      <c r="DA126" s="11" t="s">
        <v>114</v>
      </c>
    </row>
    <row r="127" spans="1:105" s="11" customFormat="1" ht="21.75" customHeight="1">
      <c r="A127" s="13">
        <v>119</v>
      </c>
      <c r="B127" s="48" t="s">
        <v>365</v>
      </c>
      <c r="C127" s="48" t="s">
        <v>366</v>
      </c>
      <c r="D127" s="24" t="s">
        <v>336</v>
      </c>
      <c r="E127" s="9">
        <v>45561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2"/>
      <c r="U127" s="10"/>
      <c r="V127" s="12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2"/>
      <c r="AI127" s="12"/>
      <c r="AJ127" s="12"/>
      <c r="AK127" s="12"/>
      <c r="AL127" s="12"/>
      <c r="AM127" s="12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2"/>
      <c r="CL127" s="10"/>
      <c r="CM127" s="12"/>
      <c r="CN127" s="12" t="s">
        <v>113</v>
      </c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>
        <f t="shared" si="4"/>
        <v>1</v>
      </c>
      <c r="DA127" s="31" t="s">
        <v>192</v>
      </c>
    </row>
    <row r="128" spans="1:105" s="11" customFormat="1" ht="21.75" customHeight="1">
      <c r="A128" s="13">
        <v>120</v>
      </c>
      <c r="B128" s="42" t="s">
        <v>367</v>
      </c>
      <c r="C128" s="42" t="s">
        <v>368</v>
      </c>
      <c r="D128" s="22" t="s">
        <v>336</v>
      </c>
      <c r="E128" s="9">
        <v>45756</v>
      </c>
      <c r="F128" s="10"/>
      <c r="G128" s="12" t="s">
        <v>113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2" t="s">
        <v>113</v>
      </c>
      <c r="S128" s="10"/>
      <c r="T128" s="12" t="s">
        <v>113</v>
      </c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>
        <f t="shared" si="4"/>
        <v>1</v>
      </c>
      <c r="DA128" s="11" t="s">
        <v>114</v>
      </c>
    </row>
    <row r="129" spans="1:105" s="11" customFormat="1" ht="21.75" customHeight="1">
      <c r="A129" s="13">
        <v>121</v>
      </c>
      <c r="B129" s="42" t="s">
        <v>369</v>
      </c>
      <c r="C129" s="42" t="s">
        <v>370</v>
      </c>
      <c r="D129" s="22" t="s">
        <v>336</v>
      </c>
      <c r="E129" s="9">
        <v>45759</v>
      </c>
      <c r="F129" s="10"/>
      <c r="G129" s="12" t="s">
        <v>113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2" t="s">
        <v>113</v>
      </c>
      <c r="S129" s="10"/>
      <c r="T129" s="12" t="s">
        <v>113</v>
      </c>
      <c r="U129" s="10"/>
      <c r="V129" s="12" t="s">
        <v>113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>
        <f t="shared" si="4"/>
        <v>1</v>
      </c>
      <c r="DA129" s="11" t="s">
        <v>114</v>
      </c>
    </row>
    <row r="130" spans="1:105" s="11" customFormat="1" ht="21.75" customHeight="1">
      <c r="A130" s="13">
        <v>122</v>
      </c>
      <c r="B130" s="49" t="s">
        <v>371</v>
      </c>
      <c r="C130" s="49" t="s">
        <v>372</v>
      </c>
      <c r="D130" s="22" t="s">
        <v>336</v>
      </c>
      <c r="E130" s="9">
        <v>45756</v>
      </c>
      <c r="F130" s="10"/>
      <c r="G130" s="12" t="s">
        <v>113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2"/>
      <c r="S130" s="10"/>
      <c r="T130" s="12" t="s">
        <v>113</v>
      </c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>
        <f t="shared" si="4"/>
        <v>1</v>
      </c>
      <c r="DA130" s="11" t="s">
        <v>114</v>
      </c>
    </row>
    <row r="131" spans="1:105" s="11" customFormat="1" ht="21.75" customHeight="1">
      <c r="A131" s="13">
        <v>123</v>
      </c>
      <c r="B131" s="40" t="s">
        <v>373</v>
      </c>
      <c r="C131" s="40" t="s">
        <v>374</v>
      </c>
      <c r="D131" s="21" t="s">
        <v>336</v>
      </c>
      <c r="E131" s="9">
        <v>45782</v>
      </c>
      <c r="F131" s="10"/>
      <c r="G131" s="12" t="s">
        <v>113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2" t="s">
        <v>113</v>
      </c>
      <c r="U131" s="12" t="s">
        <v>113</v>
      </c>
      <c r="V131" s="12" t="s">
        <v>113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>
        <f t="shared" si="4"/>
        <v>1</v>
      </c>
      <c r="DA131" s="11" t="s">
        <v>114</v>
      </c>
    </row>
    <row r="132" spans="1:105" s="11" customFormat="1" ht="21.75" customHeight="1">
      <c r="A132" s="13">
        <v>124</v>
      </c>
      <c r="B132" s="42" t="s">
        <v>375</v>
      </c>
      <c r="C132" s="42" t="s">
        <v>376</v>
      </c>
      <c r="D132" s="22" t="s">
        <v>336</v>
      </c>
      <c r="E132" s="9">
        <v>45782</v>
      </c>
      <c r="F132" s="10"/>
      <c r="G132" s="12" t="s">
        <v>113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2" t="s">
        <v>113</v>
      </c>
      <c r="U132" s="12"/>
      <c r="V132" s="12" t="s">
        <v>113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>
        <f t="shared" si="4"/>
        <v>1</v>
      </c>
      <c r="DA132" s="11" t="s">
        <v>114</v>
      </c>
    </row>
    <row r="133" spans="1:105" s="11" customFormat="1" ht="21.75" customHeight="1">
      <c r="A133" s="13">
        <v>125</v>
      </c>
      <c r="B133" s="40" t="s">
        <v>377</v>
      </c>
      <c r="C133" s="40" t="s">
        <v>378</v>
      </c>
      <c r="D133" s="21" t="s">
        <v>336</v>
      </c>
      <c r="E133" s="9">
        <v>45679</v>
      </c>
      <c r="F133" s="10"/>
      <c r="G133" s="12" t="s">
        <v>113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2" t="s">
        <v>113</v>
      </c>
      <c r="U133" s="10"/>
      <c r="V133" s="12" t="s">
        <v>113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>
        <f t="shared" si="4"/>
        <v>1</v>
      </c>
      <c r="DA133" s="11" t="s">
        <v>114</v>
      </c>
    </row>
    <row r="134" spans="1:105" s="11" customFormat="1" ht="21.75" customHeight="1">
      <c r="A134" s="13">
        <v>126</v>
      </c>
      <c r="B134" s="40" t="s">
        <v>379</v>
      </c>
      <c r="C134" s="40" t="s">
        <v>380</v>
      </c>
      <c r="D134" s="21" t="s">
        <v>336</v>
      </c>
      <c r="E134" s="9">
        <v>45659</v>
      </c>
      <c r="F134" s="10"/>
      <c r="G134" s="12" t="s">
        <v>113</v>
      </c>
      <c r="H134" s="10"/>
      <c r="I134" s="10"/>
      <c r="J134" s="10"/>
      <c r="K134" s="10"/>
      <c r="L134" s="10"/>
      <c r="M134" s="10"/>
      <c r="N134" s="10"/>
      <c r="O134" s="10"/>
      <c r="P134" s="12" t="s">
        <v>113</v>
      </c>
      <c r="Q134" s="12" t="s">
        <v>113</v>
      </c>
      <c r="R134" s="10"/>
      <c r="S134" s="10"/>
      <c r="T134" s="12" t="s">
        <v>113</v>
      </c>
      <c r="U134" s="10"/>
      <c r="V134" s="12" t="s">
        <v>113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>
        <f t="shared" si="4"/>
        <v>1</v>
      </c>
      <c r="DA134" s="11" t="s">
        <v>114</v>
      </c>
    </row>
    <row r="135" spans="1:105" s="11" customFormat="1" ht="21.75" customHeight="1">
      <c r="A135" s="13">
        <v>127</v>
      </c>
      <c r="B135" s="40" t="s">
        <v>381</v>
      </c>
      <c r="C135" s="40" t="s">
        <v>382</v>
      </c>
      <c r="D135" s="21" t="s">
        <v>336</v>
      </c>
      <c r="E135" s="9">
        <v>45659</v>
      </c>
      <c r="F135" s="10"/>
      <c r="G135" s="12" t="s">
        <v>113</v>
      </c>
      <c r="H135" s="10"/>
      <c r="I135" s="10"/>
      <c r="J135" s="10"/>
      <c r="K135" s="10"/>
      <c r="L135" s="10"/>
      <c r="M135" s="10"/>
      <c r="N135" s="10"/>
      <c r="O135" s="10"/>
      <c r="P135" s="12" t="s">
        <v>113</v>
      </c>
      <c r="Q135" s="12" t="s">
        <v>113</v>
      </c>
      <c r="R135" s="10"/>
      <c r="S135" s="10"/>
      <c r="T135" s="12" t="s">
        <v>113</v>
      </c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>
        <f t="shared" si="4"/>
        <v>1</v>
      </c>
      <c r="DA135" s="11" t="s">
        <v>114</v>
      </c>
    </row>
    <row r="136" spans="1:105" s="11" customFormat="1" ht="21.75" customHeight="1">
      <c r="A136" s="13">
        <v>128</v>
      </c>
      <c r="B136" s="40" t="s">
        <v>383</v>
      </c>
      <c r="C136" s="40" t="s">
        <v>384</v>
      </c>
      <c r="D136" s="21" t="s">
        <v>336</v>
      </c>
      <c r="E136" s="9">
        <v>45659</v>
      </c>
      <c r="F136" s="10"/>
      <c r="G136" s="12" t="s">
        <v>113</v>
      </c>
      <c r="H136" s="10"/>
      <c r="I136" s="10"/>
      <c r="J136" s="10"/>
      <c r="K136" s="10"/>
      <c r="L136" s="10"/>
      <c r="M136" s="10"/>
      <c r="N136" s="10"/>
      <c r="O136" s="10"/>
      <c r="P136" s="12" t="s">
        <v>113</v>
      </c>
      <c r="Q136" s="12" t="s">
        <v>113</v>
      </c>
      <c r="R136" s="12" t="s">
        <v>113</v>
      </c>
      <c r="S136" s="10"/>
      <c r="T136" s="12" t="s">
        <v>113</v>
      </c>
      <c r="U136" s="10"/>
      <c r="V136" s="12" t="s">
        <v>113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>
        <f t="shared" si="4"/>
        <v>1</v>
      </c>
      <c r="DA136" s="11" t="s">
        <v>114</v>
      </c>
    </row>
    <row r="137" spans="1:105" s="11" customFormat="1" ht="21.75" customHeight="1">
      <c r="A137" s="13">
        <v>129</v>
      </c>
      <c r="B137" s="40" t="s">
        <v>385</v>
      </c>
      <c r="C137" s="40" t="s">
        <v>386</v>
      </c>
      <c r="D137" s="21" t="s">
        <v>336</v>
      </c>
      <c r="E137" s="9">
        <v>45679</v>
      </c>
      <c r="F137" s="10"/>
      <c r="G137" s="12" t="s">
        <v>113</v>
      </c>
      <c r="H137" s="10"/>
      <c r="I137" s="10"/>
      <c r="J137" s="10"/>
      <c r="K137" s="10"/>
      <c r="L137" s="10"/>
      <c r="M137" s="10"/>
      <c r="N137" s="10"/>
      <c r="O137" s="10"/>
      <c r="P137" s="12" t="s">
        <v>113</v>
      </c>
      <c r="Q137" s="12" t="s">
        <v>113</v>
      </c>
      <c r="R137" s="12" t="s">
        <v>113</v>
      </c>
      <c r="S137" s="12" t="s">
        <v>113</v>
      </c>
      <c r="T137" s="12" t="s">
        <v>113</v>
      </c>
      <c r="U137" s="12" t="s">
        <v>113</v>
      </c>
      <c r="V137" s="12" t="s">
        <v>113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>
        <f t="shared" si="4"/>
        <v>1</v>
      </c>
      <c r="DA137" s="11" t="s">
        <v>114</v>
      </c>
    </row>
    <row r="138" spans="1:105" s="11" customFormat="1" ht="21.75" customHeight="1">
      <c r="A138" s="13">
        <v>130</v>
      </c>
      <c r="B138" s="42" t="s">
        <v>387</v>
      </c>
      <c r="C138" s="42" t="s">
        <v>388</v>
      </c>
      <c r="D138" s="22" t="s">
        <v>336</v>
      </c>
      <c r="E138" s="9">
        <v>45776</v>
      </c>
      <c r="F138" s="10"/>
      <c r="G138" s="12" t="s">
        <v>113</v>
      </c>
      <c r="H138" s="10"/>
      <c r="I138" s="10"/>
      <c r="J138" s="10"/>
      <c r="K138" s="10"/>
      <c r="L138" s="10"/>
      <c r="M138" s="10"/>
      <c r="N138" s="10"/>
      <c r="O138" s="10"/>
      <c r="P138" s="12" t="s">
        <v>113</v>
      </c>
      <c r="Q138" s="10"/>
      <c r="R138" s="10"/>
      <c r="S138" s="12" t="s">
        <v>113</v>
      </c>
      <c r="T138" s="12" t="s">
        <v>113</v>
      </c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>
        <f t="shared" si="4"/>
        <v>1</v>
      </c>
      <c r="DA138" s="11" t="s">
        <v>114</v>
      </c>
    </row>
    <row r="139" spans="1:105" s="11" customFormat="1" ht="21.75" customHeight="1">
      <c r="A139" s="13">
        <v>131</v>
      </c>
      <c r="B139" s="40" t="s">
        <v>389</v>
      </c>
      <c r="C139" s="40" t="s">
        <v>390</v>
      </c>
      <c r="D139" s="21" t="s">
        <v>336</v>
      </c>
      <c r="E139" s="9">
        <v>45659</v>
      </c>
      <c r="F139" s="10"/>
      <c r="G139" s="12" t="s">
        <v>113</v>
      </c>
      <c r="H139" s="10"/>
      <c r="I139" s="10"/>
      <c r="J139" s="10"/>
      <c r="K139" s="10"/>
      <c r="L139" s="10"/>
      <c r="M139" s="10"/>
      <c r="N139" s="10"/>
      <c r="O139" s="10"/>
      <c r="P139" s="12" t="s">
        <v>113</v>
      </c>
      <c r="Q139" s="12" t="s">
        <v>113</v>
      </c>
      <c r="R139" s="12" t="s">
        <v>113</v>
      </c>
      <c r="S139" s="12" t="s">
        <v>113</v>
      </c>
      <c r="T139" s="12" t="s">
        <v>113</v>
      </c>
      <c r="U139" s="12" t="s">
        <v>113</v>
      </c>
      <c r="V139" s="12" t="s">
        <v>113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>
        <f t="shared" ref="CZ139:CZ189" si="5">IF(COUNTIF(F139:CY139,"ü")&lt;=0,0,1)</f>
        <v>1</v>
      </c>
      <c r="DA139" s="11" t="s">
        <v>114</v>
      </c>
    </row>
    <row r="140" spans="1:105" s="11" customFormat="1" ht="21.75" customHeight="1">
      <c r="A140" s="13">
        <v>132</v>
      </c>
      <c r="B140" s="40" t="s">
        <v>391</v>
      </c>
      <c r="C140" s="40" t="s">
        <v>392</v>
      </c>
      <c r="D140" s="21" t="s">
        <v>393</v>
      </c>
      <c r="E140" s="9">
        <v>45669</v>
      </c>
      <c r="F140" s="10"/>
      <c r="G140" s="12" t="s">
        <v>113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2" t="s">
        <v>113</v>
      </c>
      <c r="AR140" s="12" t="s">
        <v>113</v>
      </c>
      <c r="AS140" s="12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>
        <f t="shared" si="5"/>
        <v>1</v>
      </c>
      <c r="DA140" s="11" t="s">
        <v>114</v>
      </c>
    </row>
    <row r="141" spans="1:105" s="11" customFormat="1" ht="21.75" customHeight="1">
      <c r="A141" s="13">
        <v>133</v>
      </c>
      <c r="B141" s="40" t="s">
        <v>394</v>
      </c>
      <c r="C141" s="40" t="s">
        <v>395</v>
      </c>
      <c r="D141" s="21" t="s">
        <v>393</v>
      </c>
      <c r="E141" s="9">
        <v>45782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2" t="s">
        <v>113</v>
      </c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>
        <f t="shared" si="5"/>
        <v>1</v>
      </c>
      <c r="DA141" s="11" t="s">
        <v>114</v>
      </c>
    </row>
    <row r="142" spans="1:105" s="11" customFormat="1" ht="21.75" customHeight="1">
      <c r="A142" s="13">
        <v>134</v>
      </c>
      <c r="B142" s="40" t="s">
        <v>396</v>
      </c>
      <c r="C142" s="40" t="s">
        <v>397</v>
      </c>
      <c r="D142" s="21" t="s">
        <v>393</v>
      </c>
      <c r="E142" s="9">
        <v>45669</v>
      </c>
      <c r="F142" s="10"/>
      <c r="G142" s="12" t="s">
        <v>113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2" t="s">
        <v>113</v>
      </c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>
        <f t="shared" si="5"/>
        <v>1</v>
      </c>
      <c r="DA142" s="11" t="s">
        <v>114</v>
      </c>
    </row>
    <row r="143" spans="1:105" s="11" customFormat="1" ht="21.75" customHeight="1">
      <c r="A143" s="13">
        <v>135</v>
      </c>
      <c r="B143" s="40" t="s">
        <v>398</v>
      </c>
      <c r="C143" s="40" t="s">
        <v>399</v>
      </c>
      <c r="D143" s="21" t="s">
        <v>393</v>
      </c>
      <c r="E143" s="9">
        <v>45782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2" t="s">
        <v>113</v>
      </c>
      <c r="AP143" s="10"/>
      <c r="AQ143" s="10"/>
      <c r="AR143" s="10"/>
      <c r="AS143" s="10"/>
      <c r="AT143" s="12" t="s">
        <v>113</v>
      </c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>
        <f t="shared" si="5"/>
        <v>1</v>
      </c>
      <c r="DA143" s="11" t="s">
        <v>114</v>
      </c>
    </row>
    <row r="144" spans="1:105" s="11" customFormat="1" ht="21.75" customHeight="1">
      <c r="A144" s="13">
        <v>136</v>
      </c>
      <c r="B144" s="40" t="s">
        <v>400</v>
      </c>
      <c r="C144" s="40" t="s">
        <v>401</v>
      </c>
      <c r="D144" s="21" t="s">
        <v>393</v>
      </c>
      <c r="E144" s="9">
        <v>45781</v>
      </c>
      <c r="F144" s="10"/>
      <c r="G144" s="12" t="s">
        <v>113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2" t="s">
        <v>113</v>
      </c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2" t="s">
        <v>113</v>
      </c>
      <c r="AR144" s="12" t="s">
        <v>113</v>
      </c>
      <c r="AS144" s="12"/>
      <c r="AT144" s="12" t="s">
        <v>113</v>
      </c>
      <c r="AU144" s="10"/>
      <c r="AV144" s="10"/>
      <c r="AW144" s="12" t="s">
        <v>113</v>
      </c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>
        <f t="shared" si="5"/>
        <v>1</v>
      </c>
      <c r="DA144" s="11" t="s">
        <v>114</v>
      </c>
    </row>
    <row r="145" spans="1:105" s="11" customFormat="1" ht="21.75" customHeight="1">
      <c r="A145" s="13">
        <v>137</v>
      </c>
      <c r="B145" s="40" t="s">
        <v>402</v>
      </c>
      <c r="C145" s="40" t="s">
        <v>403</v>
      </c>
      <c r="D145" s="21" t="s">
        <v>393</v>
      </c>
      <c r="E145" s="9">
        <v>45789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2" t="s">
        <v>113</v>
      </c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>
        <f t="shared" si="5"/>
        <v>1</v>
      </c>
      <c r="DA145" s="11" t="s">
        <v>114</v>
      </c>
    </row>
    <row r="146" spans="1:105" s="11" customFormat="1" ht="21.75" customHeight="1">
      <c r="A146" s="13">
        <v>138</v>
      </c>
      <c r="B146" s="40" t="s">
        <v>404</v>
      </c>
      <c r="C146" s="40" t="s">
        <v>405</v>
      </c>
      <c r="D146" s="21" t="s">
        <v>393</v>
      </c>
      <c r="E146" s="9">
        <v>45424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2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2" t="s">
        <v>113</v>
      </c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>
        <f t="shared" si="5"/>
        <v>1</v>
      </c>
      <c r="DA146" s="11" t="s">
        <v>114</v>
      </c>
    </row>
    <row r="147" spans="1:105" s="11" customFormat="1" ht="21.75" customHeight="1">
      <c r="A147" s="13">
        <v>139</v>
      </c>
      <c r="B147" s="40" t="s">
        <v>406</v>
      </c>
      <c r="C147" s="40" t="s">
        <v>407</v>
      </c>
      <c r="D147" s="21" t="s">
        <v>393</v>
      </c>
      <c r="E147" s="9">
        <v>45669</v>
      </c>
      <c r="F147" s="10"/>
      <c r="G147" s="12" t="s">
        <v>113</v>
      </c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2" t="s">
        <v>113</v>
      </c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>
        <f t="shared" si="5"/>
        <v>1</v>
      </c>
      <c r="DA147" s="11" t="s">
        <v>114</v>
      </c>
    </row>
    <row r="148" spans="1:105" s="11" customFormat="1" ht="21.75" customHeight="1">
      <c r="A148" s="13">
        <v>140</v>
      </c>
      <c r="B148" s="40" t="s">
        <v>408</v>
      </c>
      <c r="C148" s="40" t="s">
        <v>409</v>
      </c>
      <c r="D148" s="21" t="s">
        <v>393</v>
      </c>
      <c r="E148" s="9">
        <v>45424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2" t="s">
        <v>113</v>
      </c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>
        <f t="shared" si="5"/>
        <v>1</v>
      </c>
      <c r="DA148" s="11" t="s">
        <v>114</v>
      </c>
    </row>
    <row r="149" spans="1:105" s="11" customFormat="1" ht="21.75" customHeight="1">
      <c r="A149" s="13">
        <v>141</v>
      </c>
      <c r="B149" s="40" t="s">
        <v>410</v>
      </c>
      <c r="C149" s="40" t="s">
        <v>411</v>
      </c>
      <c r="D149" s="21" t="s">
        <v>393</v>
      </c>
      <c r="E149" s="9">
        <v>45417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2" t="s">
        <v>113</v>
      </c>
      <c r="AZ149" s="10"/>
      <c r="BA149" s="10"/>
      <c r="BB149" s="12" t="s">
        <v>113</v>
      </c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>
        <f t="shared" si="5"/>
        <v>1</v>
      </c>
      <c r="DA149" s="11" t="s">
        <v>114</v>
      </c>
    </row>
    <row r="150" spans="1:105" s="11" customFormat="1" ht="21.75" customHeight="1">
      <c r="A150" s="13">
        <v>142</v>
      </c>
      <c r="B150" s="40" t="s">
        <v>412</v>
      </c>
      <c r="C150" s="40" t="s">
        <v>413</v>
      </c>
      <c r="D150" s="21" t="s">
        <v>393</v>
      </c>
      <c r="E150" s="9">
        <v>45417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2" t="s">
        <v>113</v>
      </c>
      <c r="AZ150" s="10"/>
      <c r="BA150" s="10"/>
      <c r="BB150" s="12" t="s">
        <v>113</v>
      </c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>
        <f t="shared" si="5"/>
        <v>1</v>
      </c>
      <c r="DA150" s="11" t="s">
        <v>114</v>
      </c>
    </row>
    <row r="151" spans="1:105" s="11" customFormat="1" ht="21.75" customHeight="1">
      <c r="A151" s="13">
        <v>143</v>
      </c>
      <c r="B151" s="40" t="s">
        <v>414</v>
      </c>
      <c r="C151" s="40" t="s">
        <v>415</v>
      </c>
      <c r="D151" s="21" t="s">
        <v>393</v>
      </c>
      <c r="E151" s="9">
        <v>45669</v>
      </c>
      <c r="F151" s="10"/>
      <c r="G151" s="12" t="s">
        <v>113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2" t="s">
        <v>113</v>
      </c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>
        <f t="shared" si="5"/>
        <v>1</v>
      </c>
      <c r="DA151" s="11" t="s">
        <v>114</v>
      </c>
    </row>
    <row r="152" spans="1:105" s="11" customFormat="1" ht="21.75" customHeight="1">
      <c r="A152" s="13">
        <v>144</v>
      </c>
      <c r="B152" s="42" t="s">
        <v>416</v>
      </c>
      <c r="C152" s="42" t="s">
        <v>417</v>
      </c>
      <c r="D152" s="22" t="s">
        <v>393</v>
      </c>
      <c r="E152" s="9">
        <v>45669</v>
      </c>
      <c r="F152" s="10"/>
      <c r="G152" s="12" t="s">
        <v>113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2" t="s">
        <v>113</v>
      </c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>
        <f t="shared" si="5"/>
        <v>1</v>
      </c>
      <c r="DA152" s="11" t="s">
        <v>114</v>
      </c>
    </row>
    <row r="153" spans="1:105" s="11" customFormat="1" ht="21.75" customHeight="1">
      <c r="A153" s="13">
        <v>145</v>
      </c>
      <c r="B153" s="40" t="s">
        <v>418</v>
      </c>
      <c r="C153" s="40" t="s">
        <v>419</v>
      </c>
      <c r="D153" s="21" t="s">
        <v>420</v>
      </c>
      <c r="E153" s="9">
        <v>45677</v>
      </c>
      <c r="F153" s="10"/>
      <c r="G153" s="12" t="s">
        <v>113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2" t="s">
        <v>113</v>
      </c>
      <c r="X153" s="12" t="s">
        <v>113</v>
      </c>
      <c r="Y153" s="12" t="s">
        <v>113</v>
      </c>
      <c r="Z153" s="10"/>
      <c r="AA153" s="12" t="s">
        <v>113</v>
      </c>
      <c r="AB153" s="12" t="s">
        <v>113</v>
      </c>
      <c r="AC153" s="12" t="s">
        <v>113</v>
      </c>
      <c r="AD153" s="12" t="s">
        <v>113</v>
      </c>
      <c r="AE153" s="12" t="s">
        <v>113</v>
      </c>
      <c r="AF153" s="12" t="s">
        <v>113</v>
      </c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>
        <f t="shared" si="5"/>
        <v>1</v>
      </c>
      <c r="DA153" s="11" t="s">
        <v>114</v>
      </c>
    </row>
    <row r="154" spans="1:105" s="11" customFormat="1" ht="21.75" customHeight="1">
      <c r="A154" s="13">
        <v>146</v>
      </c>
      <c r="B154" s="40" t="s">
        <v>421</v>
      </c>
      <c r="C154" s="40" t="s">
        <v>422</v>
      </c>
      <c r="D154" s="21" t="s">
        <v>420</v>
      </c>
      <c r="E154" s="9">
        <v>45677</v>
      </c>
      <c r="F154" s="10"/>
      <c r="G154" s="12" t="s">
        <v>113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2" t="s">
        <v>113</v>
      </c>
      <c r="X154" s="12" t="s">
        <v>113</v>
      </c>
      <c r="Y154" s="12" t="s">
        <v>113</v>
      </c>
      <c r="Z154" s="10"/>
      <c r="AA154" s="12" t="s">
        <v>113</v>
      </c>
      <c r="AB154" s="12" t="s">
        <v>113</v>
      </c>
      <c r="AC154" s="12" t="s">
        <v>113</v>
      </c>
      <c r="AD154" s="12" t="s">
        <v>113</v>
      </c>
      <c r="AE154" s="12" t="s">
        <v>113</v>
      </c>
      <c r="AF154" s="12" t="s">
        <v>113</v>
      </c>
      <c r="AG154" s="12" t="s">
        <v>113</v>
      </c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>
        <f t="shared" si="5"/>
        <v>1</v>
      </c>
      <c r="DA154" s="11" t="s">
        <v>114</v>
      </c>
    </row>
    <row r="155" spans="1:105" s="11" customFormat="1" ht="21.75" customHeight="1">
      <c r="A155" s="13">
        <v>147</v>
      </c>
      <c r="B155" s="40" t="s">
        <v>423</v>
      </c>
      <c r="C155" s="40" t="s">
        <v>424</v>
      </c>
      <c r="D155" s="21" t="s">
        <v>420</v>
      </c>
      <c r="E155" s="9">
        <v>45659</v>
      </c>
      <c r="F155" s="10"/>
      <c r="G155" s="12" t="s">
        <v>113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2" t="s">
        <v>113</v>
      </c>
      <c r="X155" s="12" t="s">
        <v>113</v>
      </c>
      <c r="Y155" s="12" t="s">
        <v>113</v>
      </c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>
        <f t="shared" si="5"/>
        <v>1</v>
      </c>
      <c r="DA155" s="11" t="s">
        <v>114</v>
      </c>
    </row>
    <row r="156" spans="1:105" s="11" customFormat="1" ht="21.75" customHeight="1">
      <c r="A156" s="13">
        <v>148</v>
      </c>
      <c r="B156" s="40" t="s">
        <v>425</v>
      </c>
      <c r="C156" s="40" t="s">
        <v>426</v>
      </c>
      <c r="D156" s="21" t="s">
        <v>420</v>
      </c>
      <c r="E156" s="9">
        <v>45677</v>
      </c>
      <c r="F156" s="10"/>
      <c r="G156" s="12" t="s">
        <v>113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2" t="s">
        <v>113</v>
      </c>
      <c r="X156" s="12" t="s">
        <v>113</v>
      </c>
      <c r="Y156" s="12" t="s">
        <v>113</v>
      </c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>
        <f t="shared" si="5"/>
        <v>1</v>
      </c>
      <c r="DA156" s="11" t="s">
        <v>114</v>
      </c>
    </row>
    <row r="157" spans="1:105" s="11" customFormat="1" ht="21.75" customHeight="1">
      <c r="A157" s="13">
        <v>149</v>
      </c>
      <c r="B157" s="40" t="s">
        <v>427</v>
      </c>
      <c r="C157" s="40" t="s">
        <v>428</v>
      </c>
      <c r="D157" s="21" t="s">
        <v>420</v>
      </c>
      <c r="E157" s="9">
        <v>45669</v>
      </c>
      <c r="F157" s="10"/>
      <c r="G157" s="12" t="s">
        <v>113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2" t="s">
        <v>113</v>
      </c>
      <c r="X157" s="12" t="s">
        <v>113</v>
      </c>
      <c r="Y157" s="12" t="s">
        <v>113</v>
      </c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>
        <f t="shared" si="5"/>
        <v>1</v>
      </c>
      <c r="DA157" s="11" t="s">
        <v>114</v>
      </c>
    </row>
    <row r="158" spans="1:105" s="11" customFormat="1" ht="21.75" customHeight="1">
      <c r="A158" s="13">
        <v>150</v>
      </c>
      <c r="B158" s="40" t="s">
        <v>429</v>
      </c>
      <c r="C158" s="40" t="s">
        <v>430</v>
      </c>
      <c r="D158" s="21" t="s">
        <v>420</v>
      </c>
      <c r="E158" s="9">
        <v>45659</v>
      </c>
      <c r="F158" s="10"/>
      <c r="G158" s="12" t="s">
        <v>113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2" t="s">
        <v>113</v>
      </c>
      <c r="X158" s="12" t="s">
        <v>113</v>
      </c>
      <c r="Y158" s="12" t="s">
        <v>113</v>
      </c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>
        <f t="shared" si="5"/>
        <v>1</v>
      </c>
      <c r="DA158" s="11" t="s">
        <v>114</v>
      </c>
    </row>
    <row r="159" spans="1:105" s="11" customFormat="1" ht="21.75" customHeight="1">
      <c r="A159" s="13">
        <v>151</v>
      </c>
      <c r="B159" s="40" t="s">
        <v>431</v>
      </c>
      <c r="C159" s="40" t="s">
        <v>432</v>
      </c>
      <c r="D159" s="21" t="s">
        <v>420</v>
      </c>
      <c r="E159" s="9">
        <v>45659</v>
      </c>
      <c r="F159" s="10"/>
      <c r="G159" s="12" t="s">
        <v>113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2" t="s">
        <v>113</v>
      </c>
      <c r="X159" s="12" t="s">
        <v>113</v>
      </c>
      <c r="Y159" s="12" t="s">
        <v>113</v>
      </c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>
        <f t="shared" si="5"/>
        <v>1</v>
      </c>
      <c r="DA159" s="11" t="s">
        <v>114</v>
      </c>
    </row>
    <row r="160" spans="1:105" s="11" customFormat="1" ht="21.75" customHeight="1">
      <c r="A160" s="13">
        <v>152</v>
      </c>
      <c r="B160" s="40" t="s">
        <v>433</v>
      </c>
      <c r="C160" s="40" t="s">
        <v>434</v>
      </c>
      <c r="D160" s="21" t="s">
        <v>420</v>
      </c>
      <c r="E160" s="9">
        <v>45677</v>
      </c>
      <c r="F160" s="10"/>
      <c r="G160" s="12" t="s">
        <v>113</v>
      </c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2" t="s">
        <v>113</v>
      </c>
      <c r="X160" s="12" t="s">
        <v>113</v>
      </c>
      <c r="Y160" s="12" t="s">
        <v>113</v>
      </c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>
        <f t="shared" si="5"/>
        <v>1</v>
      </c>
      <c r="DA160" s="11" t="s">
        <v>114</v>
      </c>
    </row>
    <row r="161" spans="1:105" s="11" customFormat="1" ht="21.75" customHeight="1">
      <c r="A161" s="13">
        <v>153</v>
      </c>
      <c r="B161" s="40" t="s">
        <v>435</v>
      </c>
      <c r="C161" s="40" t="s">
        <v>436</v>
      </c>
      <c r="D161" s="21" t="s">
        <v>420</v>
      </c>
      <c r="E161" s="9">
        <v>45659</v>
      </c>
      <c r="F161" s="10"/>
      <c r="G161" s="12" t="s">
        <v>113</v>
      </c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2" t="s">
        <v>113</v>
      </c>
      <c r="X161" s="12" t="s">
        <v>113</v>
      </c>
      <c r="Y161" s="12" t="s">
        <v>113</v>
      </c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>
        <f t="shared" si="5"/>
        <v>1</v>
      </c>
      <c r="DA161" s="11" t="s">
        <v>114</v>
      </c>
    </row>
    <row r="162" spans="1:105" s="11" customFormat="1" ht="21.75" customHeight="1">
      <c r="A162" s="13">
        <v>154</v>
      </c>
      <c r="B162" s="40" t="s">
        <v>437</v>
      </c>
      <c r="C162" s="40" t="s">
        <v>438</v>
      </c>
      <c r="D162" s="21" t="s">
        <v>420</v>
      </c>
      <c r="E162" s="9">
        <v>45659</v>
      </c>
      <c r="F162" s="10"/>
      <c r="G162" s="12" t="s">
        <v>113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2" t="s">
        <v>113</v>
      </c>
      <c r="U162" s="12" t="s">
        <v>113</v>
      </c>
      <c r="V162" s="12" t="s">
        <v>113</v>
      </c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>
        <f t="shared" si="5"/>
        <v>1</v>
      </c>
      <c r="DA162" s="11" t="s">
        <v>114</v>
      </c>
    </row>
    <row r="163" spans="1:105" s="11" customFormat="1" ht="21.75" customHeight="1">
      <c r="A163" s="13">
        <v>155</v>
      </c>
      <c r="B163" s="40" t="s">
        <v>439</v>
      </c>
      <c r="C163" s="40" t="s">
        <v>440</v>
      </c>
      <c r="D163" s="21" t="s">
        <v>420</v>
      </c>
      <c r="E163" s="9">
        <v>45659</v>
      </c>
      <c r="F163" s="10"/>
      <c r="G163" s="12" t="s">
        <v>113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2" t="s">
        <v>113</v>
      </c>
      <c r="X163" s="12" t="s">
        <v>113</v>
      </c>
      <c r="Y163" s="12" t="s">
        <v>113</v>
      </c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>
        <f t="shared" si="5"/>
        <v>1</v>
      </c>
      <c r="DA163" s="11" t="s">
        <v>114</v>
      </c>
    </row>
    <row r="164" spans="1:105" s="11" customFormat="1" ht="21.75" customHeight="1">
      <c r="A164" s="13">
        <v>156</v>
      </c>
      <c r="B164" s="40" t="s">
        <v>441</v>
      </c>
      <c r="C164" s="40" t="s">
        <v>442</v>
      </c>
      <c r="D164" s="21" t="s">
        <v>420</v>
      </c>
      <c r="E164" s="9">
        <v>45659</v>
      </c>
      <c r="F164" s="10"/>
      <c r="G164" s="12" t="s">
        <v>113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2" t="s">
        <v>113</v>
      </c>
      <c r="Z164" s="12" t="s">
        <v>113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>
        <f t="shared" si="5"/>
        <v>1</v>
      </c>
      <c r="DA164" s="11" t="s">
        <v>114</v>
      </c>
    </row>
    <row r="165" spans="1:105" s="11" customFormat="1" ht="21.75" customHeight="1">
      <c r="A165" s="13">
        <v>157</v>
      </c>
      <c r="B165" s="40" t="s">
        <v>443</v>
      </c>
      <c r="C165" s="40" t="s">
        <v>444</v>
      </c>
      <c r="D165" s="21" t="s">
        <v>420</v>
      </c>
      <c r="E165" s="9">
        <v>45659</v>
      </c>
      <c r="F165" s="10"/>
      <c r="G165" s="12" t="s">
        <v>113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2" t="s">
        <v>113</v>
      </c>
      <c r="X165" s="12" t="s">
        <v>113</v>
      </c>
      <c r="Y165" s="12" t="s">
        <v>113</v>
      </c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>
        <f t="shared" si="5"/>
        <v>1</v>
      </c>
      <c r="DA165" s="11" t="s">
        <v>114</v>
      </c>
    </row>
    <row r="166" spans="1:105" s="11" customFormat="1" ht="21.75" customHeight="1">
      <c r="A166" s="13">
        <v>158</v>
      </c>
      <c r="B166" s="40" t="s">
        <v>445</v>
      </c>
      <c r="C166" s="40" t="s">
        <v>446</v>
      </c>
      <c r="D166" s="21" t="s">
        <v>420</v>
      </c>
      <c r="E166" s="9">
        <v>45659</v>
      </c>
      <c r="F166" s="10"/>
      <c r="G166" s="12" t="s">
        <v>113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2" t="s">
        <v>113</v>
      </c>
      <c r="X166" s="12" t="s">
        <v>113</v>
      </c>
      <c r="Y166" s="12" t="s">
        <v>113</v>
      </c>
      <c r="Z166" s="10"/>
      <c r="AA166" s="10"/>
      <c r="AB166" s="12" t="s">
        <v>113</v>
      </c>
      <c r="AC166" s="10"/>
      <c r="AD166" s="12" t="s">
        <v>113</v>
      </c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>
        <f t="shared" si="5"/>
        <v>1</v>
      </c>
      <c r="DA166" s="11" t="s">
        <v>114</v>
      </c>
    </row>
    <row r="167" spans="1:105" s="11" customFormat="1" ht="21.75" customHeight="1">
      <c r="A167" s="13">
        <v>159</v>
      </c>
      <c r="B167" s="40" t="s">
        <v>447</v>
      </c>
      <c r="C167" s="40" t="s">
        <v>448</v>
      </c>
      <c r="D167" s="21" t="s">
        <v>420</v>
      </c>
      <c r="E167" s="9">
        <v>45677</v>
      </c>
      <c r="F167" s="10"/>
      <c r="G167" s="12" t="s">
        <v>113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2" t="s">
        <v>113</v>
      </c>
      <c r="X167" s="12" t="s">
        <v>113</v>
      </c>
      <c r="Y167" s="12" t="s">
        <v>113</v>
      </c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>
        <f t="shared" si="5"/>
        <v>1</v>
      </c>
      <c r="DA167" s="11" t="s">
        <v>114</v>
      </c>
    </row>
    <row r="168" spans="1:105" s="11" customFormat="1" ht="21.75" customHeight="1">
      <c r="A168" s="13">
        <v>160</v>
      </c>
      <c r="B168" s="40" t="s">
        <v>449</v>
      </c>
      <c r="C168" s="40" t="s">
        <v>450</v>
      </c>
      <c r="D168" s="21" t="s">
        <v>420</v>
      </c>
      <c r="E168" s="9">
        <v>45677</v>
      </c>
      <c r="F168" s="10"/>
      <c r="G168" s="12" t="s">
        <v>113</v>
      </c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2" t="s">
        <v>113</v>
      </c>
      <c r="X168" s="12" t="s">
        <v>113</v>
      </c>
      <c r="Y168" s="12" t="s">
        <v>113</v>
      </c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>
        <f t="shared" si="5"/>
        <v>1</v>
      </c>
      <c r="DA168" s="11" t="s">
        <v>114</v>
      </c>
    </row>
    <row r="169" spans="1:105" s="11" customFormat="1" ht="21.75" customHeight="1">
      <c r="A169" s="13">
        <v>161</v>
      </c>
      <c r="B169" s="40" t="s">
        <v>451</v>
      </c>
      <c r="C169" s="40" t="s">
        <v>452</v>
      </c>
      <c r="D169" s="21" t="s">
        <v>420</v>
      </c>
      <c r="E169" s="9">
        <v>45677</v>
      </c>
      <c r="F169" s="10"/>
      <c r="G169" s="12" t="s">
        <v>113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2" t="s">
        <v>113</v>
      </c>
      <c r="X169" s="12" t="s">
        <v>113</v>
      </c>
      <c r="Y169" s="12" t="s">
        <v>113</v>
      </c>
      <c r="Z169" s="12" t="s">
        <v>113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>
        <f t="shared" si="5"/>
        <v>1</v>
      </c>
      <c r="DA169" s="11" t="s">
        <v>114</v>
      </c>
    </row>
    <row r="170" spans="1:105" s="11" customFormat="1" ht="21.75" customHeight="1">
      <c r="A170" s="13">
        <v>162</v>
      </c>
      <c r="B170" s="40" t="s">
        <v>453</v>
      </c>
      <c r="C170" s="40" t="s">
        <v>454</v>
      </c>
      <c r="D170" s="21" t="s">
        <v>420</v>
      </c>
      <c r="E170" s="9">
        <v>45677</v>
      </c>
      <c r="F170" s="10"/>
      <c r="G170" s="12" t="s">
        <v>113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2" t="s">
        <v>113</v>
      </c>
      <c r="Y170" s="12" t="s">
        <v>113</v>
      </c>
      <c r="Z170" s="12" t="s">
        <v>113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>
        <f t="shared" si="5"/>
        <v>1</v>
      </c>
      <c r="DA170" s="11" t="s">
        <v>114</v>
      </c>
    </row>
    <row r="171" spans="1:105" s="11" customFormat="1" ht="21.75" customHeight="1">
      <c r="A171" s="13">
        <v>163</v>
      </c>
      <c r="B171" s="40" t="s">
        <v>455</v>
      </c>
      <c r="C171" s="40" t="s">
        <v>456</v>
      </c>
      <c r="D171" s="21" t="s">
        <v>336</v>
      </c>
      <c r="E171" s="9">
        <v>45677</v>
      </c>
      <c r="F171" s="10"/>
      <c r="G171" s="12" t="s">
        <v>113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2" t="s">
        <v>113</v>
      </c>
      <c r="U171" s="10"/>
      <c r="V171" s="12" t="s">
        <v>113</v>
      </c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>
        <f t="shared" si="5"/>
        <v>1</v>
      </c>
      <c r="DA171" s="11" t="s">
        <v>114</v>
      </c>
    </row>
    <row r="172" spans="1:105" s="11" customFormat="1" ht="21.75" customHeight="1">
      <c r="A172" s="13">
        <v>164</v>
      </c>
      <c r="B172" s="40" t="s">
        <v>457</v>
      </c>
      <c r="C172" s="40" t="s">
        <v>458</v>
      </c>
      <c r="D172" s="21" t="s">
        <v>420</v>
      </c>
      <c r="E172" s="9">
        <v>45669</v>
      </c>
      <c r="F172" s="10"/>
      <c r="G172" s="12" t="s">
        <v>113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2" t="s">
        <v>113</v>
      </c>
      <c r="X172" s="12" t="s">
        <v>113</v>
      </c>
      <c r="Y172" s="12" t="s">
        <v>113</v>
      </c>
      <c r="Z172" s="12" t="s">
        <v>113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>
        <f t="shared" si="5"/>
        <v>1</v>
      </c>
      <c r="DA172" s="11" t="s">
        <v>114</v>
      </c>
    </row>
    <row r="173" spans="1:105" s="11" customFormat="1" ht="21.75" customHeight="1">
      <c r="A173" s="13">
        <v>165</v>
      </c>
      <c r="B173" s="40" t="s">
        <v>459</v>
      </c>
      <c r="C173" s="40" t="s">
        <v>460</v>
      </c>
      <c r="D173" s="21" t="s">
        <v>420</v>
      </c>
      <c r="E173" s="9">
        <v>45574</v>
      </c>
      <c r="F173" s="10"/>
      <c r="G173" s="12" t="s">
        <v>113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2" t="s">
        <v>113</v>
      </c>
      <c r="X173" s="12" t="s">
        <v>113</v>
      </c>
      <c r="Y173" s="10"/>
      <c r="Z173" s="10"/>
      <c r="AA173" s="10"/>
      <c r="AB173" s="10"/>
      <c r="AC173" s="10"/>
      <c r="AD173" s="12" t="s">
        <v>113</v>
      </c>
      <c r="AE173" s="12" t="s">
        <v>113</v>
      </c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>
        <f t="shared" si="5"/>
        <v>1</v>
      </c>
      <c r="DA173" s="11" t="s">
        <v>114</v>
      </c>
    </row>
    <row r="174" spans="1:105" s="11" customFormat="1" ht="21.75" customHeight="1">
      <c r="A174" s="13">
        <v>166</v>
      </c>
      <c r="B174" s="40" t="s">
        <v>461</v>
      </c>
      <c r="C174" s="40" t="s">
        <v>462</v>
      </c>
      <c r="D174" s="21" t="s">
        <v>420</v>
      </c>
      <c r="E174" s="9">
        <v>45659</v>
      </c>
      <c r="F174" s="10"/>
      <c r="G174" s="12" t="s">
        <v>113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2" t="s">
        <v>113</v>
      </c>
      <c r="X174" s="12" t="s">
        <v>113</v>
      </c>
      <c r="Y174" s="12" t="s">
        <v>113</v>
      </c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>
        <f t="shared" si="5"/>
        <v>1</v>
      </c>
      <c r="DA174" s="11" t="s">
        <v>114</v>
      </c>
    </row>
    <row r="175" spans="1:105" s="11" customFormat="1" ht="21.75" customHeight="1">
      <c r="A175" s="13">
        <v>167</v>
      </c>
      <c r="B175" s="40" t="s">
        <v>463</v>
      </c>
      <c r="C175" s="40" t="s">
        <v>464</v>
      </c>
      <c r="D175" s="21" t="s">
        <v>420</v>
      </c>
      <c r="E175" s="9">
        <v>45677</v>
      </c>
      <c r="F175" s="10"/>
      <c r="G175" s="12" t="s">
        <v>113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2" t="s">
        <v>113</v>
      </c>
      <c r="X175" s="12" t="s">
        <v>113</v>
      </c>
      <c r="Y175" s="12" t="s">
        <v>113</v>
      </c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>
        <f t="shared" si="5"/>
        <v>1</v>
      </c>
      <c r="DA175" s="11" t="s">
        <v>114</v>
      </c>
    </row>
    <row r="176" spans="1:105" s="11" customFormat="1" ht="21.75" customHeight="1">
      <c r="A176" s="13">
        <v>168</v>
      </c>
      <c r="B176" s="40" t="s">
        <v>465</v>
      </c>
      <c r="C176" s="40" t="s">
        <v>466</v>
      </c>
      <c r="D176" s="21" t="s">
        <v>420</v>
      </c>
      <c r="E176" s="9">
        <v>45659</v>
      </c>
      <c r="F176" s="10"/>
      <c r="G176" s="12" t="s">
        <v>113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2" t="s">
        <v>113</v>
      </c>
      <c r="X176" s="12" t="s">
        <v>113</v>
      </c>
      <c r="Y176" s="12" t="s">
        <v>113</v>
      </c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>
        <f t="shared" si="5"/>
        <v>1</v>
      </c>
      <c r="DA176" s="11" t="s">
        <v>114</v>
      </c>
    </row>
    <row r="177" spans="1:105" s="11" customFormat="1" ht="21.75" customHeight="1">
      <c r="A177" s="13">
        <v>169</v>
      </c>
      <c r="B177" s="40" t="s">
        <v>467</v>
      </c>
      <c r="C177" s="40" t="s">
        <v>468</v>
      </c>
      <c r="D177" s="21" t="s">
        <v>420</v>
      </c>
      <c r="E177" s="9">
        <v>45573</v>
      </c>
      <c r="F177" s="10"/>
      <c r="G177" s="12" t="s">
        <v>113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2" t="s">
        <v>113</v>
      </c>
      <c r="AC177" s="10"/>
      <c r="AD177" s="12" t="s">
        <v>113</v>
      </c>
      <c r="AE177" s="12" t="s">
        <v>113</v>
      </c>
      <c r="AF177" s="12" t="s">
        <v>113</v>
      </c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>
        <f t="shared" si="5"/>
        <v>1</v>
      </c>
      <c r="DA177" s="11" t="s">
        <v>114</v>
      </c>
    </row>
    <row r="178" spans="1:105" s="11" customFormat="1" ht="21.75" customHeight="1">
      <c r="A178" s="13">
        <v>170</v>
      </c>
      <c r="B178" s="40" t="s">
        <v>469</v>
      </c>
      <c r="C178" s="40" t="s">
        <v>470</v>
      </c>
      <c r="D178" s="21" t="s">
        <v>420</v>
      </c>
      <c r="E178" s="9">
        <v>45677</v>
      </c>
      <c r="F178" s="10"/>
      <c r="G178" s="12" t="s">
        <v>113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2" t="s">
        <v>113</v>
      </c>
      <c r="X178" s="12" t="s">
        <v>113</v>
      </c>
      <c r="Y178" s="12" t="s">
        <v>113</v>
      </c>
      <c r="Z178" s="12" t="s">
        <v>113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>
        <f t="shared" si="5"/>
        <v>1</v>
      </c>
      <c r="DA178" s="11" t="s">
        <v>114</v>
      </c>
    </row>
    <row r="179" spans="1:105" s="11" customFormat="1" ht="21.75" customHeight="1">
      <c r="A179" s="13">
        <v>171</v>
      </c>
      <c r="B179" s="40" t="s">
        <v>471</v>
      </c>
      <c r="C179" s="40" t="s">
        <v>472</v>
      </c>
      <c r="D179" s="21" t="s">
        <v>420</v>
      </c>
      <c r="E179" s="9">
        <v>45659</v>
      </c>
      <c r="F179" s="10"/>
      <c r="G179" s="12" t="s">
        <v>113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2" t="s">
        <v>113</v>
      </c>
      <c r="X179" s="12" t="s">
        <v>113</v>
      </c>
      <c r="Y179" s="12" t="s">
        <v>113</v>
      </c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>
        <f t="shared" si="5"/>
        <v>1</v>
      </c>
      <c r="DA179" s="11" t="s">
        <v>114</v>
      </c>
    </row>
    <row r="180" spans="1:105" s="11" customFormat="1" ht="21.75" customHeight="1">
      <c r="A180" s="13">
        <v>172</v>
      </c>
      <c r="B180" s="40" t="s">
        <v>473</v>
      </c>
      <c r="C180" s="40" t="s">
        <v>474</v>
      </c>
      <c r="D180" s="21" t="s">
        <v>420</v>
      </c>
      <c r="E180" s="9">
        <v>45677</v>
      </c>
      <c r="F180" s="10"/>
      <c r="G180" s="12" t="s">
        <v>113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2" t="s">
        <v>113</v>
      </c>
      <c r="X180" s="12" t="s">
        <v>113</v>
      </c>
      <c r="Y180" s="12" t="s">
        <v>113</v>
      </c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>
        <f t="shared" si="5"/>
        <v>1</v>
      </c>
      <c r="DA180" s="11" t="s">
        <v>114</v>
      </c>
    </row>
    <row r="181" spans="1:105" s="11" customFormat="1" ht="21.75" customHeight="1">
      <c r="A181" s="13">
        <v>173</v>
      </c>
      <c r="B181" s="40" t="s">
        <v>475</v>
      </c>
      <c r="C181" s="40" t="s">
        <v>476</v>
      </c>
      <c r="D181" s="21" t="s">
        <v>420</v>
      </c>
      <c r="E181" s="9">
        <v>45659</v>
      </c>
      <c r="F181" s="10"/>
      <c r="G181" s="12" t="s">
        <v>113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2" t="s">
        <v>113</v>
      </c>
      <c r="X181" s="12" t="s">
        <v>113</v>
      </c>
      <c r="Y181" s="12" t="s">
        <v>113</v>
      </c>
      <c r="Z181" s="12" t="s">
        <v>113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>
        <f t="shared" si="5"/>
        <v>1</v>
      </c>
      <c r="DA181" s="11" t="s">
        <v>114</v>
      </c>
    </row>
    <row r="182" spans="1:105" s="11" customFormat="1" ht="21.75" customHeight="1">
      <c r="A182" s="13">
        <v>174</v>
      </c>
      <c r="B182" s="40" t="s">
        <v>477</v>
      </c>
      <c r="C182" s="40" t="s">
        <v>478</v>
      </c>
      <c r="D182" s="21" t="s">
        <v>420</v>
      </c>
      <c r="E182" s="9">
        <v>45659</v>
      </c>
      <c r="F182" s="10"/>
      <c r="G182" s="12" t="s">
        <v>113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2" t="s">
        <v>113</v>
      </c>
      <c r="X182" s="12" t="s">
        <v>113</v>
      </c>
      <c r="Y182" s="12" t="s">
        <v>113</v>
      </c>
      <c r="Z182" s="12" t="s">
        <v>113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>
        <f t="shared" si="5"/>
        <v>1</v>
      </c>
      <c r="DA182" s="11" t="s">
        <v>114</v>
      </c>
    </row>
    <row r="183" spans="1:105" s="11" customFormat="1" ht="21.75" customHeight="1">
      <c r="A183" s="13">
        <v>175</v>
      </c>
      <c r="B183" s="40" t="s">
        <v>479</v>
      </c>
      <c r="C183" s="40" t="s">
        <v>480</v>
      </c>
      <c r="D183" s="21" t="s">
        <v>420</v>
      </c>
      <c r="E183" s="9">
        <v>45659</v>
      </c>
      <c r="F183" s="10"/>
      <c r="G183" s="12" t="s">
        <v>113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2" t="s">
        <v>113</v>
      </c>
      <c r="X183" s="12" t="s">
        <v>113</v>
      </c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>
        <f t="shared" si="5"/>
        <v>1</v>
      </c>
      <c r="DA183" s="11" t="s">
        <v>114</v>
      </c>
    </row>
    <row r="184" spans="1:105" s="11" customFormat="1" ht="21.75" customHeight="1">
      <c r="A184" s="13">
        <v>176</v>
      </c>
      <c r="B184" s="40" t="s">
        <v>481</v>
      </c>
      <c r="C184" s="40" t="s">
        <v>482</v>
      </c>
      <c r="D184" s="21" t="s">
        <v>420</v>
      </c>
      <c r="E184" s="9">
        <v>45669</v>
      </c>
      <c r="F184" s="10"/>
      <c r="G184" s="12" t="s">
        <v>113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2" t="s">
        <v>113</v>
      </c>
      <c r="AB184" s="12" t="s">
        <v>113</v>
      </c>
      <c r="AC184" s="12" t="s">
        <v>113</v>
      </c>
      <c r="AD184" s="12" t="s">
        <v>113</v>
      </c>
      <c r="AE184" s="12" t="s">
        <v>113</v>
      </c>
      <c r="AF184" s="12" t="s">
        <v>113</v>
      </c>
      <c r="AG184" s="12" t="s">
        <v>113</v>
      </c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>
        <f t="shared" si="5"/>
        <v>1</v>
      </c>
      <c r="DA184" s="11" t="s">
        <v>114</v>
      </c>
    </row>
    <row r="185" spans="1:105" s="11" customFormat="1" ht="21.75" customHeight="1">
      <c r="A185" s="13">
        <v>177</v>
      </c>
      <c r="B185" s="40" t="s">
        <v>483</v>
      </c>
      <c r="C185" s="40" t="s">
        <v>484</v>
      </c>
      <c r="D185" s="21" t="s">
        <v>420</v>
      </c>
      <c r="E185" s="9">
        <v>45677</v>
      </c>
      <c r="F185" s="10"/>
      <c r="G185" s="12" t="s">
        <v>113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2" t="s">
        <v>113</v>
      </c>
      <c r="Y185" s="12" t="s">
        <v>113</v>
      </c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>
        <f t="shared" si="5"/>
        <v>1</v>
      </c>
      <c r="DA185" s="11" t="s">
        <v>114</v>
      </c>
    </row>
    <row r="186" spans="1:105" s="11" customFormat="1" ht="21.75" customHeight="1">
      <c r="A186" s="13">
        <v>178</v>
      </c>
      <c r="B186" s="40" t="s">
        <v>485</v>
      </c>
      <c r="C186" s="40" t="s">
        <v>486</v>
      </c>
      <c r="D186" s="21" t="s">
        <v>420</v>
      </c>
      <c r="E186" s="9">
        <v>45677</v>
      </c>
      <c r="F186" s="10"/>
      <c r="G186" s="12" t="s">
        <v>113</v>
      </c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2" t="s">
        <v>113</v>
      </c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>
        <f t="shared" si="5"/>
        <v>1</v>
      </c>
      <c r="DA186" s="11" t="s">
        <v>114</v>
      </c>
    </row>
    <row r="187" spans="1:105" s="11" customFormat="1" ht="21.75" customHeight="1">
      <c r="A187" s="13">
        <v>179</v>
      </c>
      <c r="B187" s="40" t="s">
        <v>487</v>
      </c>
      <c r="C187" s="40" t="s">
        <v>488</v>
      </c>
      <c r="D187" s="21" t="s">
        <v>420</v>
      </c>
      <c r="E187" s="9">
        <v>45659</v>
      </c>
      <c r="F187" s="10"/>
      <c r="G187" s="12" t="s">
        <v>113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2" t="s">
        <v>113</v>
      </c>
      <c r="X187" s="12" t="s">
        <v>113</v>
      </c>
      <c r="Y187" s="12" t="s">
        <v>113</v>
      </c>
      <c r="Z187" s="12" t="s">
        <v>113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>
        <f t="shared" si="5"/>
        <v>1</v>
      </c>
      <c r="DA187" s="11" t="s">
        <v>114</v>
      </c>
    </row>
    <row r="188" spans="1:105" s="11" customFormat="1" ht="21.75" customHeight="1">
      <c r="A188" s="13">
        <v>180</v>
      </c>
      <c r="B188" s="40" t="s">
        <v>489</v>
      </c>
      <c r="C188" s="40" t="s">
        <v>490</v>
      </c>
      <c r="D188" s="21" t="s">
        <v>420</v>
      </c>
      <c r="E188" s="9">
        <v>45659</v>
      </c>
      <c r="F188" s="10"/>
      <c r="G188" s="12" t="s">
        <v>113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2" t="s">
        <v>113</v>
      </c>
      <c r="X188" s="12" t="s">
        <v>113</v>
      </c>
      <c r="Y188" s="12" t="s">
        <v>113</v>
      </c>
      <c r="Z188" s="12" t="s">
        <v>113</v>
      </c>
      <c r="AA188" s="12" t="s">
        <v>113</v>
      </c>
      <c r="AB188" s="12" t="s">
        <v>113</v>
      </c>
      <c r="AC188" s="12" t="s">
        <v>113</v>
      </c>
      <c r="AD188" s="12" t="s">
        <v>113</v>
      </c>
      <c r="AE188" s="12" t="s">
        <v>113</v>
      </c>
      <c r="AF188" s="12" t="s">
        <v>113</v>
      </c>
      <c r="AG188" s="12" t="s">
        <v>113</v>
      </c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>
        <f t="shared" si="5"/>
        <v>1</v>
      </c>
      <c r="DA188" s="11" t="s">
        <v>114</v>
      </c>
    </row>
    <row r="189" spans="1:105" s="11" customFormat="1" ht="21.75" customHeight="1">
      <c r="A189" s="13">
        <v>181</v>
      </c>
      <c r="B189" s="40" t="s">
        <v>491</v>
      </c>
      <c r="C189" s="40" t="s">
        <v>492</v>
      </c>
      <c r="D189" s="21" t="s">
        <v>420</v>
      </c>
      <c r="E189" s="9">
        <v>45672</v>
      </c>
      <c r="F189" s="10"/>
      <c r="G189" s="12" t="s">
        <v>113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2" t="s">
        <v>113</v>
      </c>
      <c r="X189" s="12" t="s">
        <v>113</v>
      </c>
      <c r="Y189" s="12" t="s">
        <v>113</v>
      </c>
      <c r="Z189" s="12" t="s">
        <v>113</v>
      </c>
      <c r="AA189" s="12" t="s">
        <v>113</v>
      </c>
      <c r="AB189" s="12" t="s">
        <v>113</v>
      </c>
      <c r="AC189" s="12" t="s">
        <v>113</v>
      </c>
      <c r="AD189" s="12" t="s">
        <v>113</v>
      </c>
      <c r="AE189" s="12" t="s">
        <v>113</v>
      </c>
      <c r="AF189" s="12" t="s">
        <v>113</v>
      </c>
      <c r="AG189" s="12" t="s">
        <v>113</v>
      </c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>
        <f t="shared" si="5"/>
        <v>1</v>
      </c>
      <c r="DA189" s="11" t="s">
        <v>114</v>
      </c>
    </row>
    <row r="190" spans="1:105" s="11" customFormat="1" ht="21.75" customHeight="1">
      <c r="A190" s="13">
        <v>182</v>
      </c>
      <c r="B190" s="40" t="s">
        <v>493</v>
      </c>
      <c r="C190" s="40" t="s">
        <v>494</v>
      </c>
      <c r="D190" s="21" t="s">
        <v>420</v>
      </c>
      <c r="E190" s="9">
        <v>45659</v>
      </c>
      <c r="F190" s="10"/>
      <c r="G190" s="12" t="s">
        <v>113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2" t="s">
        <v>113</v>
      </c>
      <c r="X190" s="12" t="s">
        <v>113</v>
      </c>
      <c r="Y190" s="12" t="s">
        <v>113</v>
      </c>
      <c r="Z190" s="12" t="s">
        <v>113</v>
      </c>
      <c r="AA190" s="12" t="s">
        <v>113</v>
      </c>
      <c r="AB190" s="12" t="s">
        <v>113</v>
      </c>
      <c r="AC190" s="12" t="s">
        <v>113</v>
      </c>
      <c r="AD190" s="12" t="s">
        <v>113</v>
      </c>
      <c r="AE190" s="12" t="s">
        <v>113</v>
      </c>
      <c r="AF190" s="12" t="s">
        <v>113</v>
      </c>
      <c r="AG190" s="12" t="s">
        <v>113</v>
      </c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>
        <f t="shared" ref="CZ190:CZ238" si="6">IF(COUNTIF(F190:CY190,"ü")&lt;=0,0,1)</f>
        <v>1</v>
      </c>
      <c r="DA190" s="11" t="s">
        <v>114</v>
      </c>
    </row>
    <row r="191" spans="1:105" s="11" customFormat="1" ht="21.75" customHeight="1">
      <c r="A191" s="13">
        <v>183</v>
      </c>
      <c r="B191" s="40" t="s">
        <v>495</v>
      </c>
      <c r="C191" s="40" t="s">
        <v>496</v>
      </c>
      <c r="D191" s="21" t="s">
        <v>420</v>
      </c>
      <c r="E191" s="9">
        <v>45677</v>
      </c>
      <c r="F191" s="10"/>
      <c r="G191" s="12" t="s">
        <v>113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2" t="s">
        <v>113</v>
      </c>
      <c r="AB191" s="12" t="s">
        <v>113</v>
      </c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>
        <f t="shared" si="6"/>
        <v>1</v>
      </c>
      <c r="DA191" s="11" t="s">
        <v>114</v>
      </c>
    </row>
    <row r="192" spans="1:105" s="11" customFormat="1" ht="21.75" customHeight="1">
      <c r="A192" s="13">
        <v>184</v>
      </c>
      <c r="B192" s="40" t="s">
        <v>497</v>
      </c>
      <c r="C192" s="40" t="s">
        <v>498</v>
      </c>
      <c r="D192" s="21" t="s">
        <v>420</v>
      </c>
      <c r="E192" s="9">
        <v>45679</v>
      </c>
      <c r="F192" s="10"/>
      <c r="G192" s="12" t="s">
        <v>113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2" t="s">
        <v>113</v>
      </c>
      <c r="AF192" s="12" t="s">
        <v>113</v>
      </c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>
        <f t="shared" si="6"/>
        <v>1</v>
      </c>
      <c r="DA192" s="11" t="s">
        <v>114</v>
      </c>
    </row>
    <row r="193" spans="1:105" s="11" customFormat="1" ht="21.75" customHeight="1">
      <c r="A193" s="13">
        <v>185</v>
      </c>
      <c r="B193" s="40" t="s">
        <v>499</v>
      </c>
      <c r="C193" s="40" t="s">
        <v>500</v>
      </c>
      <c r="D193" s="21" t="s">
        <v>420</v>
      </c>
      <c r="E193" s="9">
        <v>45659</v>
      </c>
      <c r="F193" s="10"/>
      <c r="G193" s="12" t="s">
        <v>113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2" t="s">
        <v>113</v>
      </c>
      <c r="AB193" s="12" t="s">
        <v>113</v>
      </c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>
        <f t="shared" si="6"/>
        <v>1</v>
      </c>
      <c r="DA193" s="11" t="s">
        <v>114</v>
      </c>
    </row>
    <row r="194" spans="1:105" s="11" customFormat="1" ht="21.75" customHeight="1">
      <c r="A194" s="13">
        <v>186</v>
      </c>
      <c r="B194" s="40" t="s">
        <v>501</v>
      </c>
      <c r="C194" s="40" t="s">
        <v>502</v>
      </c>
      <c r="D194" s="21" t="s">
        <v>420</v>
      </c>
      <c r="E194" s="9">
        <v>45659</v>
      </c>
      <c r="F194" s="10"/>
      <c r="G194" s="12" t="s">
        <v>113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2" t="s">
        <v>113</v>
      </c>
      <c r="AB194" s="12" t="s">
        <v>113</v>
      </c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>
        <f t="shared" si="6"/>
        <v>1</v>
      </c>
      <c r="DA194" s="11" t="s">
        <v>114</v>
      </c>
    </row>
    <row r="195" spans="1:105" s="11" customFormat="1" ht="21.75" customHeight="1">
      <c r="A195" s="13">
        <v>187</v>
      </c>
      <c r="B195" s="40" t="s">
        <v>503</v>
      </c>
      <c r="C195" s="40" t="s">
        <v>504</v>
      </c>
      <c r="D195" s="21" t="s">
        <v>420</v>
      </c>
      <c r="E195" s="9">
        <v>45659</v>
      </c>
      <c r="F195" s="10"/>
      <c r="G195" s="12" t="s">
        <v>113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2" t="s">
        <v>113</v>
      </c>
      <c r="X195" s="12" t="s">
        <v>113</v>
      </c>
      <c r="Y195" s="10"/>
      <c r="Z195" s="10"/>
      <c r="AA195" s="12" t="s">
        <v>113</v>
      </c>
      <c r="AB195" s="12" t="s">
        <v>113</v>
      </c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>
        <f t="shared" si="6"/>
        <v>1</v>
      </c>
      <c r="DA195" s="11" t="s">
        <v>114</v>
      </c>
    </row>
    <row r="196" spans="1:105" s="11" customFormat="1" ht="21.75" customHeight="1">
      <c r="A196" s="13">
        <v>188</v>
      </c>
      <c r="B196" s="40" t="s">
        <v>505</v>
      </c>
      <c r="C196" s="40" t="s">
        <v>506</v>
      </c>
      <c r="D196" s="21" t="s">
        <v>420</v>
      </c>
      <c r="E196" s="9">
        <v>45669</v>
      </c>
      <c r="F196" s="10"/>
      <c r="G196" s="12" t="s">
        <v>113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2" t="s">
        <v>113</v>
      </c>
      <c r="AE196" s="12" t="s">
        <v>113</v>
      </c>
      <c r="AF196" s="12" t="s">
        <v>113</v>
      </c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>
        <f t="shared" si="6"/>
        <v>1</v>
      </c>
      <c r="DA196" s="11" t="s">
        <v>114</v>
      </c>
    </row>
    <row r="197" spans="1:105" s="11" customFormat="1" ht="21.75" customHeight="1">
      <c r="A197" s="13">
        <v>189</v>
      </c>
      <c r="B197" s="40" t="s">
        <v>507</v>
      </c>
      <c r="C197" s="40" t="s">
        <v>508</v>
      </c>
      <c r="D197" s="21" t="s">
        <v>420</v>
      </c>
      <c r="E197" s="9">
        <v>45679</v>
      </c>
      <c r="F197" s="10"/>
      <c r="G197" s="12" t="s">
        <v>113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2" t="s">
        <v>113</v>
      </c>
      <c r="Y197" s="10"/>
      <c r="Z197" s="10"/>
      <c r="AA197" s="12" t="s">
        <v>113</v>
      </c>
      <c r="AB197" s="10"/>
      <c r="AC197" s="12" t="s">
        <v>113</v>
      </c>
      <c r="AD197" s="10"/>
      <c r="AE197" s="12" t="s">
        <v>113</v>
      </c>
      <c r="AF197" s="12" t="s">
        <v>113</v>
      </c>
      <c r="AG197" s="12" t="s">
        <v>113</v>
      </c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>
        <f t="shared" si="6"/>
        <v>1</v>
      </c>
      <c r="DA197" s="11" t="s">
        <v>114</v>
      </c>
    </row>
    <row r="198" spans="1:105" s="11" customFormat="1" ht="21.75" customHeight="1">
      <c r="A198" s="13">
        <v>190</v>
      </c>
      <c r="B198" s="40" t="s">
        <v>509</v>
      </c>
      <c r="C198" s="40" t="s">
        <v>510</v>
      </c>
      <c r="D198" s="21" t="s">
        <v>420</v>
      </c>
      <c r="E198" s="9">
        <v>45761</v>
      </c>
      <c r="F198" s="10"/>
      <c r="G198" s="12" t="s">
        <v>113</v>
      </c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2" t="s">
        <v>113</v>
      </c>
      <c r="AG198" s="10"/>
      <c r="AH198" s="12" t="s">
        <v>113</v>
      </c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2" t="s">
        <v>113</v>
      </c>
      <c r="BL198" s="10"/>
      <c r="BM198" s="12" t="s">
        <v>113</v>
      </c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>
        <f t="shared" si="6"/>
        <v>1</v>
      </c>
      <c r="DA198" s="11" t="s">
        <v>114</v>
      </c>
    </row>
    <row r="199" spans="1:105" s="11" customFormat="1" ht="21.75" customHeight="1">
      <c r="A199" s="13">
        <v>191</v>
      </c>
      <c r="B199" s="40" t="s">
        <v>511</v>
      </c>
      <c r="C199" s="40" t="s">
        <v>512</v>
      </c>
      <c r="D199" s="21" t="s">
        <v>420</v>
      </c>
      <c r="E199" s="9">
        <v>45669</v>
      </c>
      <c r="F199" s="10"/>
      <c r="G199" s="12" t="s">
        <v>113</v>
      </c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2" t="s">
        <v>113</v>
      </c>
      <c r="X199" s="12" t="s">
        <v>113</v>
      </c>
      <c r="Y199" s="10"/>
      <c r="Z199" s="10"/>
      <c r="AA199" s="10"/>
      <c r="AB199" s="12" t="s">
        <v>113</v>
      </c>
      <c r="AC199" s="10"/>
      <c r="AD199" s="12" t="s">
        <v>113</v>
      </c>
      <c r="AE199" s="12" t="s">
        <v>113</v>
      </c>
      <c r="AF199" s="10"/>
      <c r="AG199" s="12" t="s">
        <v>113</v>
      </c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>
        <f t="shared" si="6"/>
        <v>1</v>
      </c>
      <c r="DA199" s="11" t="s">
        <v>114</v>
      </c>
    </row>
    <row r="200" spans="1:105" s="11" customFormat="1" ht="21.75" customHeight="1">
      <c r="A200" s="13">
        <v>192</v>
      </c>
      <c r="B200" s="40" t="s">
        <v>513</v>
      </c>
      <c r="C200" s="40" t="s">
        <v>514</v>
      </c>
      <c r="D200" s="21" t="s">
        <v>420</v>
      </c>
      <c r="E200" s="9">
        <v>45659</v>
      </c>
      <c r="F200" s="10"/>
      <c r="G200" s="12" t="s">
        <v>113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2" t="s">
        <v>113</v>
      </c>
      <c r="Z200" s="12" t="s">
        <v>113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>
        <f t="shared" si="6"/>
        <v>1</v>
      </c>
      <c r="DA200" s="11" t="s">
        <v>114</v>
      </c>
    </row>
    <row r="201" spans="1:105" s="11" customFormat="1" ht="21.75" customHeight="1">
      <c r="A201" s="13">
        <v>193</v>
      </c>
      <c r="B201" s="40" t="s">
        <v>515</v>
      </c>
      <c r="C201" s="40" t="s">
        <v>516</v>
      </c>
      <c r="D201" s="21" t="s">
        <v>420</v>
      </c>
      <c r="E201" s="9">
        <v>45659</v>
      </c>
      <c r="F201" s="10"/>
      <c r="G201" s="12" t="s">
        <v>113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2" t="s">
        <v>113</v>
      </c>
      <c r="AD201" s="12" t="s">
        <v>113</v>
      </c>
      <c r="AE201" s="12" t="s">
        <v>113</v>
      </c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>
        <f t="shared" si="6"/>
        <v>1</v>
      </c>
      <c r="DA201" s="11" t="s">
        <v>114</v>
      </c>
    </row>
    <row r="202" spans="1:105" s="11" customFormat="1" ht="21.75" customHeight="1">
      <c r="A202" s="13">
        <v>194</v>
      </c>
      <c r="B202" s="40" t="s">
        <v>517</v>
      </c>
      <c r="C202" s="40" t="s">
        <v>518</v>
      </c>
      <c r="D202" s="21" t="s">
        <v>420</v>
      </c>
      <c r="E202" s="9">
        <v>45717</v>
      </c>
      <c r="F202" s="10"/>
      <c r="G202" s="12" t="s">
        <v>113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2" t="s">
        <v>113</v>
      </c>
      <c r="AE202" s="12" t="s">
        <v>113</v>
      </c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>
        <f t="shared" si="6"/>
        <v>1</v>
      </c>
      <c r="DA202" s="11" t="s">
        <v>114</v>
      </c>
    </row>
    <row r="203" spans="1:105" s="11" customFormat="1" ht="21.75" customHeight="1">
      <c r="A203" s="13">
        <v>195</v>
      </c>
      <c r="B203" s="40" t="s">
        <v>519</v>
      </c>
      <c r="C203" s="40" t="s">
        <v>520</v>
      </c>
      <c r="D203" s="21" t="s">
        <v>420</v>
      </c>
      <c r="E203" s="9">
        <v>45717</v>
      </c>
      <c r="F203" s="10"/>
      <c r="G203" s="12" t="s">
        <v>113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2" t="s">
        <v>113</v>
      </c>
      <c r="X203" s="12" t="s">
        <v>113</v>
      </c>
      <c r="Y203" s="12" t="s">
        <v>113</v>
      </c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>
        <f t="shared" si="6"/>
        <v>1</v>
      </c>
      <c r="DA203" s="11" t="s">
        <v>114</v>
      </c>
    </row>
    <row r="204" spans="1:105" s="11" customFormat="1" ht="21.75" customHeight="1">
      <c r="A204" s="13">
        <v>196</v>
      </c>
      <c r="B204" s="40" t="s">
        <v>521</v>
      </c>
      <c r="C204" s="40" t="s">
        <v>522</v>
      </c>
      <c r="D204" s="21" t="s">
        <v>420</v>
      </c>
      <c r="E204" s="9">
        <v>45573</v>
      </c>
      <c r="F204" s="10"/>
      <c r="G204" s="12" t="s">
        <v>113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2" t="s">
        <v>113</v>
      </c>
      <c r="X204" s="12" t="s">
        <v>113</v>
      </c>
      <c r="Y204" s="10"/>
      <c r="Z204" s="10"/>
      <c r="AA204" s="10"/>
      <c r="AB204" s="12" t="s">
        <v>113</v>
      </c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>
        <f t="shared" si="6"/>
        <v>1</v>
      </c>
      <c r="DA204" s="11" t="s">
        <v>114</v>
      </c>
    </row>
    <row r="205" spans="1:105" s="11" customFormat="1" ht="21.75" customHeight="1">
      <c r="A205" s="13">
        <v>197</v>
      </c>
      <c r="B205" s="40" t="s">
        <v>523</v>
      </c>
      <c r="C205" s="40" t="s">
        <v>524</v>
      </c>
      <c r="D205" s="21" t="s">
        <v>420</v>
      </c>
      <c r="E205" s="9">
        <v>45727</v>
      </c>
      <c r="F205" s="10"/>
      <c r="G205" s="12" t="s">
        <v>113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2" t="s">
        <v>113</v>
      </c>
      <c r="X205" s="12" t="s">
        <v>113</v>
      </c>
      <c r="Y205" s="10"/>
      <c r="Z205" s="10"/>
      <c r="AA205" s="10"/>
      <c r="AB205" s="12" t="s">
        <v>113</v>
      </c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>
        <f t="shared" si="6"/>
        <v>1</v>
      </c>
      <c r="DA205" s="11" t="s">
        <v>114</v>
      </c>
    </row>
    <row r="206" spans="1:105" s="11" customFormat="1" ht="21.75" customHeight="1">
      <c r="A206" s="13">
        <v>198</v>
      </c>
      <c r="B206" s="41" t="s">
        <v>525</v>
      </c>
      <c r="C206" s="40" t="s">
        <v>526</v>
      </c>
      <c r="D206" s="21" t="s">
        <v>420</v>
      </c>
      <c r="E206" s="9">
        <v>45677</v>
      </c>
      <c r="F206" s="10"/>
      <c r="G206" s="12" t="s">
        <v>113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2" t="s">
        <v>113</v>
      </c>
      <c r="X206" s="12" t="s">
        <v>113</v>
      </c>
      <c r="Y206" s="12" t="s">
        <v>113</v>
      </c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2" t="s">
        <v>113</v>
      </c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>
        <f t="shared" si="6"/>
        <v>1</v>
      </c>
      <c r="DA206" s="11" t="s">
        <v>114</v>
      </c>
    </row>
    <row r="207" spans="1:105" s="11" customFormat="1" ht="21.75" customHeight="1">
      <c r="A207" s="13">
        <v>199</v>
      </c>
      <c r="B207" s="42" t="s">
        <v>527</v>
      </c>
      <c r="C207" s="42" t="s">
        <v>528</v>
      </c>
      <c r="D207" s="22" t="s">
        <v>420</v>
      </c>
      <c r="E207" s="9">
        <v>45717</v>
      </c>
      <c r="F207" s="10"/>
      <c r="G207" s="12" t="s">
        <v>113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2" t="s">
        <v>113</v>
      </c>
      <c r="X207" s="12" t="s">
        <v>113</v>
      </c>
      <c r="Y207" s="12" t="s">
        <v>113</v>
      </c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>
        <f t="shared" si="6"/>
        <v>1</v>
      </c>
      <c r="DA207" s="11" t="s">
        <v>114</v>
      </c>
    </row>
    <row r="208" spans="1:105" s="11" customFormat="1" ht="21.75" customHeight="1">
      <c r="A208" s="13">
        <v>200</v>
      </c>
      <c r="B208" s="47" t="s">
        <v>529</v>
      </c>
      <c r="C208" s="42" t="s">
        <v>530</v>
      </c>
      <c r="D208" s="22" t="s">
        <v>420</v>
      </c>
      <c r="E208" s="9">
        <v>45810</v>
      </c>
      <c r="F208" s="10"/>
      <c r="G208" s="12" t="s">
        <v>113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2" t="s">
        <v>113</v>
      </c>
      <c r="Y208" s="12" t="s">
        <v>113</v>
      </c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>
        <f t="shared" si="6"/>
        <v>1</v>
      </c>
      <c r="DA208" s="11" t="s">
        <v>114</v>
      </c>
    </row>
    <row r="209" spans="1:105" s="11" customFormat="1" ht="21.75" customHeight="1">
      <c r="A209" s="13">
        <v>201</v>
      </c>
      <c r="B209" s="41" t="s">
        <v>531</v>
      </c>
      <c r="C209" s="40" t="s">
        <v>364</v>
      </c>
      <c r="D209" s="21" t="s">
        <v>420</v>
      </c>
      <c r="E209" s="9">
        <v>45717</v>
      </c>
      <c r="F209" s="10"/>
      <c r="G209" s="12" t="s">
        <v>113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2" t="s">
        <v>113</v>
      </c>
      <c r="X209" s="12" t="s">
        <v>113</v>
      </c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>
        <f t="shared" si="6"/>
        <v>1</v>
      </c>
      <c r="DA209" s="11" t="s">
        <v>114</v>
      </c>
    </row>
    <row r="210" spans="1:105" s="11" customFormat="1" ht="21.75" customHeight="1">
      <c r="A210" s="13">
        <v>202</v>
      </c>
      <c r="B210" s="42" t="s">
        <v>532</v>
      </c>
      <c r="C210" s="42" t="s">
        <v>533</v>
      </c>
      <c r="D210" s="22" t="s">
        <v>420</v>
      </c>
      <c r="E210" s="9">
        <v>45677</v>
      </c>
      <c r="F210" s="10"/>
      <c r="G210" s="12" t="s">
        <v>113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2" t="s">
        <v>113</v>
      </c>
      <c r="X210" s="12" t="s">
        <v>113</v>
      </c>
      <c r="Y210" s="12" t="s">
        <v>113</v>
      </c>
      <c r="Z210" s="12" t="s">
        <v>113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>
        <f t="shared" si="6"/>
        <v>1</v>
      </c>
      <c r="DA210" s="11" t="s">
        <v>114</v>
      </c>
    </row>
    <row r="211" spans="1:105" s="11" customFormat="1" ht="21.75" customHeight="1">
      <c r="A211" s="13">
        <v>203</v>
      </c>
      <c r="B211" s="42" t="s">
        <v>534</v>
      </c>
      <c r="C211" s="42" t="s">
        <v>535</v>
      </c>
      <c r="D211" s="22" t="s">
        <v>420</v>
      </c>
      <c r="E211" s="9">
        <v>45659</v>
      </c>
      <c r="F211" s="10"/>
      <c r="G211" s="12" t="s">
        <v>113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2" t="s">
        <v>113</v>
      </c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>
        <f t="shared" si="6"/>
        <v>1</v>
      </c>
      <c r="DA211" s="11" t="s">
        <v>114</v>
      </c>
    </row>
    <row r="212" spans="1:105" s="11" customFormat="1" ht="21.75" customHeight="1">
      <c r="A212" s="13">
        <v>204</v>
      </c>
      <c r="B212" s="40" t="s">
        <v>536</v>
      </c>
      <c r="C212" s="40" t="s">
        <v>537</v>
      </c>
      <c r="D212" s="21" t="s">
        <v>420</v>
      </c>
      <c r="E212" s="9">
        <v>45727</v>
      </c>
      <c r="F212" s="10"/>
      <c r="G212" s="12" t="s">
        <v>113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2" t="s">
        <v>113</v>
      </c>
      <c r="X212" s="12" t="s">
        <v>113</v>
      </c>
      <c r="Y212" s="10"/>
      <c r="Z212" s="10"/>
      <c r="AA212" s="10"/>
      <c r="AB212" s="12" t="s">
        <v>113</v>
      </c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>
        <f t="shared" si="6"/>
        <v>1</v>
      </c>
      <c r="DA212" s="11" t="s">
        <v>114</v>
      </c>
    </row>
    <row r="213" spans="1:105" s="11" customFormat="1" ht="21.75" customHeight="1">
      <c r="A213" s="13">
        <v>205</v>
      </c>
      <c r="B213" s="40" t="s">
        <v>538</v>
      </c>
      <c r="C213" s="40" t="s">
        <v>539</v>
      </c>
      <c r="D213" s="21" t="s">
        <v>420</v>
      </c>
      <c r="E213" s="9">
        <v>45669</v>
      </c>
      <c r="F213" s="10"/>
      <c r="G213" s="12" t="s">
        <v>113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2" t="s">
        <v>113</v>
      </c>
      <c r="X213" s="12" t="s">
        <v>113</v>
      </c>
      <c r="Y213" s="12" t="s">
        <v>113</v>
      </c>
      <c r="Z213" s="12" t="s">
        <v>113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>
        <f t="shared" si="6"/>
        <v>1</v>
      </c>
      <c r="DA213" s="11" t="s">
        <v>114</v>
      </c>
    </row>
    <row r="214" spans="1:105" s="11" customFormat="1" ht="21.75" customHeight="1">
      <c r="A214" s="13">
        <v>206</v>
      </c>
      <c r="B214" s="40" t="s">
        <v>540</v>
      </c>
      <c r="C214" s="40" t="s">
        <v>541</v>
      </c>
      <c r="D214" s="21" t="s">
        <v>542</v>
      </c>
      <c r="E214" s="9">
        <v>45659</v>
      </c>
      <c r="F214" s="10"/>
      <c r="G214" s="12" t="s">
        <v>113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2" t="s">
        <v>113</v>
      </c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2" t="s">
        <v>113</v>
      </c>
      <c r="CL214" s="10"/>
      <c r="CM214" s="12" t="s">
        <v>113</v>
      </c>
      <c r="CN214" s="12" t="s">
        <v>113</v>
      </c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>
        <f t="shared" si="6"/>
        <v>1</v>
      </c>
      <c r="DA214" s="11" t="s">
        <v>114</v>
      </c>
    </row>
    <row r="215" spans="1:105" s="11" customFormat="1" ht="21.75" customHeight="1">
      <c r="A215" s="13">
        <v>207</v>
      </c>
      <c r="B215" s="40" t="s">
        <v>543</v>
      </c>
      <c r="C215" s="40" t="s">
        <v>544</v>
      </c>
      <c r="D215" s="21" t="s">
        <v>420</v>
      </c>
      <c r="E215" s="9">
        <v>45659</v>
      </c>
      <c r="F215" s="10"/>
      <c r="G215" s="12" t="s">
        <v>113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2" t="s">
        <v>113</v>
      </c>
      <c r="X215" s="12" t="s">
        <v>113</v>
      </c>
      <c r="Y215" s="12" t="s">
        <v>113</v>
      </c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>
        <f t="shared" si="6"/>
        <v>1</v>
      </c>
      <c r="DA215" s="11" t="s">
        <v>114</v>
      </c>
    </row>
    <row r="216" spans="1:105" s="11" customFormat="1" ht="21.75" customHeight="1">
      <c r="A216" s="13">
        <v>208</v>
      </c>
      <c r="B216" s="40" t="s">
        <v>545</v>
      </c>
      <c r="C216" s="40" t="s">
        <v>544</v>
      </c>
      <c r="D216" s="21" t="s">
        <v>420</v>
      </c>
      <c r="E216" s="9">
        <v>45659</v>
      </c>
      <c r="F216" s="10"/>
      <c r="G216" s="12" t="s">
        <v>113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2" t="s">
        <v>113</v>
      </c>
      <c r="X216" s="12" t="s">
        <v>113</v>
      </c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>
        <f t="shared" si="6"/>
        <v>1</v>
      </c>
      <c r="DA216" s="11" t="s">
        <v>114</v>
      </c>
    </row>
    <row r="217" spans="1:105" s="11" customFormat="1" ht="21.75" customHeight="1">
      <c r="A217" s="13">
        <v>209</v>
      </c>
      <c r="B217" s="50" t="s">
        <v>546</v>
      </c>
      <c r="C217" s="49" t="s">
        <v>547</v>
      </c>
      <c r="D217" s="21" t="s">
        <v>420</v>
      </c>
      <c r="E217" s="9">
        <v>45394</v>
      </c>
      <c r="F217" s="10"/>
      <c r="G217" s="12" t="s">
        <v>113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2" t="s">
        <v>113</v>
      </c>
      <c r="Y217" s="12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>
        <f t="shared" si="6"/>
        <v>1</v>
      </c>
      <c r="DA217" s="11" t="s">
        <v>114</v>
      </c>
    </row>
    <row r="218" spans="1:105" s="11" customFormat="1" ht="21.75" customHeight="1">
      <c r="A218" s="13">
        <v>210</v>
      </c>
      <c r="B218" s="42" t="s">
        <v>548</v>
      </c>
      <c r="C218" s="42" t="s">
        <v>549</v>
      </c>
      <c r="D218" s="22" t="s">
        <v>420</v>
      </c>
      <c r="E218" s="9">
        <v>45391</v>
      </c>
      <c r="F218" s="10"/>
      <c r="G218" s="12" t="s">
        <v>113</v>
      </c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2" t="s">
        <v>113</v>
      </c>
      <c r="X218" s="12" t="s">
        <v>113</v>
      </c>
      <c r="Y218" s="10"/>
      <c r="Z218" s="10"/>
      <c r="AA218" s="12" t="s">
        <v>113</v>
      </c>
      <c r="AB218" s="12" t="s">
        <v>113</v>
      </c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>
        <f t="shared" si="6"/>
        <v>1</v>
      </c>
      <c r="DA218" s="11" t="s">
        <v>114</v>
      </c>
    </row>
    <row r="219" spans="1:105" s="11" customFormat="1" ht="21.75" customHeight="1">
      <c r="A219" s="13">
        <v>211</v>
      </c>
      <c r="B219" s="42" t="s">
        <v>550</v>
      </c>
      <c r="C219" s="42" t="s">
        <v>551</v>
      </c>
      <c r="D219" s="22" t="s">
        <v>420</v>
      </c>
      <c r="E219" s="9">
        <v>45778</v>
      </c>
      <c r="F219" s="10"/>
      <c r="G219" s="12" t="s">
        <v>113</v>
      </c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2" t="s">
        <v>113</v>
      </c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2" t="s">
        <v>113</v>
      </c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>
        <f t="shared" si="6"/>
        <v>1</v>
      </c>
      <c r="DA219" s="11" t="s">
        <v>114</v>
      </c>
    </row>
    <row r="220" spans="1:105" s="11" customFormat="1" ht="21.75" customHeight="1">
      <c r="A220" s="13">
        <v>212</v>
      </c>
      <c r="B220" s="42" t="s">
        <v>552</v>
      </c>
      <c r="C220" s="42" t="s">
        <v>553</v>
      </c>
      <c r="D220" s="22" t="s">
        <v>420</v>
      </c>
      <c r="E220" s="9">
        <v>45391</v>
      </c>
      <c r="F220" s="10"/>
      <c r="G220" s="12" t="s">
        <v>113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2" t="s">
        <v>113</v>
      </c>
      <c r="X220" s="12" t="s">
        <v>113</v>
      </c>
      <c r="Y220" s="12" t="s">
        <v>113</v>
      </c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2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>
        <f t="shared" si="6"/>
        <v>1</v>
      </c>
      <c r="DA220" s="11" t="s">
        <v>114</v>
      </c>
    </row>
    <row r="221" spans="1:105" s="11" customFormat="1" ht="21.75" customHeight="1">
      <c r="A221" s="13">
        <v>213</v>
      </c>
      <c r="B221" s="40" t="s">
        <v>554</v>
      </c>
      <c r="C221" s="40" t="s">
        <v>555</v>
      </c>
      <c r="D221" s="21" t="s">
        <v>420</v>
      </c>
      <c r="E221" s="9">
        <v>45394</v>
      </c>
      <c r="F221" s="10"/>
      <c r="G221" s="12" t="s">
        <v>113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2" t="s">
        <v>113</v>
      </c>
      <c r="X221" s="12" t="s">
        <v>113</v>
      </c>
      <c r="Y221" s="12" t="s">
        <v>113</v>
      </c>
      <c r="Z221" s="12" t="s">
        <v>113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>
        <f t="shared" si="6"/>
        <v>1</v>
      </c>
      <c r="DA221" s="11" t="s">
        <v>114</v>
      </c>
    </row>
    <row r="222" spans="1:105" s="11" customFormat="1" ht="21.75" customHeight="1">
      <c r="A222" s="13">
        <v>214</v>
      </c>
      <c r="B222" s="40" t="s">
        <v>556</v>
      </c>
      <c r="C222" s="40" t="s">
        <v>557</v>
      </c>
      <c r="D222" s="21" t="s">
        <v>420</v>
      </c>
      <c r="E222" s="9">
        <v>45677</v>
      </c>
      <c r="F222" s="10"/>
      <c r="G222" s="12" t="s">
        <v>113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2" t="s">
        <v>113</v>
      </c>
      <c r="X222" s="12" t="s">
        <v>113</v>
      </c>
      <c r="Y222" s="12" t="s">
        <v>113</v>
      </c>
      <c r="Z222" s="12" t="s">
        <v>113</v>
      </c>
      <c r="AA222" s="12" t="s">
        <v>113</v>
      </c>
      <c r="AB222" s="12" t="s">
        <v>113</v>
      </c>
      <c r="AC222" s="12" t="s">
        <v>113</v>
      </c>
      <c r="AD222" s="12" t="s">
        <v>113</v>
      </c>
      <c r="AE222" s="12" t="s">
        <v>113</v>
      </c>
      <c r="AF222" s="12" t="s">
        <v>113</v>
      </c>
      <c r="AG222" s="12" t="s">
        <v>113</v>
      </c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>
        <f t="shared" si="6"/>
        <v>1</v>
      </c>
      <c r="DA222" s="11" t="s">
        <v>114</v>
      </c>
    </row>
    <row r="223" spans="1:105" s="11" customFormat="1" ht="21.75" customHeight="1">
      <c r="A223" s="13">
        <v>215</v>
      </c>
      <c r="B223" s="40" t="s">
        <v>558</v>
      </c>
      <c r="C223" s="40" t="s">
        <v>338</v>
      </c>
      <c r="D223" s="21" t="s">
        <v>420</v>
      </c>
      <c r="E223" s="9">
        <v>45669</v>
      </c>
      <c r="F223" s="10"/>
      <c r="G223" s="12" t="s">
        <v>113</v>
      </c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2" t="s">
        <v>113</v>
      </c>
      <c r="X223" s="12" t="s">
        <v>113</v>
      </c>
      <c r="Y223" s="12" t="s">
        <v>113</v>
      </c>
      <c r="Z223" s="12" t="s">
        <v>113</v>
      </c>
      <c r="AA223" s="12" t="s">
        <v>113</v>
      </c>
      <c r="AB223" s="12" t="s">
        <v>113</v>
      </c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>
        <f t="shared" si="6"/>
        <v>1</v>
      </c>
      <c r="DA223" s="11" t="s">
        <v>114</v>
      </c>
    </row>
    <row r="224" spans="1:105" s="11" customFormat="1" ht="21.75" customHeight="1">
      <c r="A224" s="13">
        <v>216</v>
      </c>
      <c r="B224" s="40" t="s">
        <v>559</v>
      </c>
      <c r="C224" s="40" t="s">
        <v>560</v>
      </c>
      <c r="D224" s="21" t="s">
        <v>420</v>
      </c>
      <c r="E224" s="9">
        <v>45659</v>
      </c>
      <c r="F224" s="10"/>
      <c r="G224" s="12" t="s">
        <v>113</v>
      </c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2" t="s">
        <v>113</v>
      </c>
      <c r="X224" s="12" t="s">
        <v>113</v>
      </c>
      <c r="Y224" s="12" t="s">
        <v>113</v>
      </c>
      <c r="Z224" s="10"/>
      <c r="AA224" s="10"/>
      <c r="AB224" s="12" t="s">
        <v>113</v>
      </c>
      <c r="AC224" s="10"/>
      <c r="AD224" s="12" t="s">
        <v>113</v>
      </c>
      <c r="AE224" s="12" t="s">
        <v>113</v>
      </c>
      <c r="AF224" s="12" t="s">
        <v>113</v>
      </c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>
        <f t="shared" si="6"/>
        <v>1</v>
      </c>
      <c r="DA224" s="11" t="s">
        <v>114</v>
      </c>
    </row>
    <row r="225" spans="1:2448" s="11" customFormat="1" ht="21.75" customHeight="1">
      <c r="A225" s="13">
        <v>217</v>
      </c>
      <c r="B225" s="40" t="s">
        <v>561</v>
      </c>
      <c r="C225" s="40" t="s">
        <v>562</v>
      </c>
      <c r="D225" s="21" t="s">
        <v>420</v>
      </c>
      <c r="E225" s="9">
        <v>45659</v>
      </c>
      <c r="F225" s="10"/>
      <c r="G225" s="12" t="s">
        <v>113</v>
      </c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2" t="s">
        <v>113</v>
      </c>
      <c r="X225" s="12" t="s">
        <v>113</v>
      </c>
      <c r="Y225" s="12" t="s">
        <v>113</v>
      </c>
      <c r="Z225" s="12" t="s">
        <v>113</v>
      </c>
      <c r="AA225" s="12" t="s">
        <v>113</v>
      </c>
      <c r="AB225" s="12" t="s">
        <v>113</v>
      </c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>
        <f t="shared" si="6"/>
        <v>1</v>
      </c>
      <c r="DA225" s="11" t="s">
        <v>114</v>
      </c>
    </row>
    <row r="226" spans="1:2448" s="11" customFormat="1" ht="21.75" customHeight="1">
      <c r="A226" s="13">
        <v>218</v>
      </c>
      <c r="B226" s="40" t="s">
        <v>563</v>
      </c>
      <c r="C226" s="40" t="s">
        <v>564</v>
      </c>
      <c r="D226" s="21" t="s">
        <v>420</v>
      </c>
      <c r="E226" s="9">
        <v>45659</v>
      </c>
      <c r="F226" s="10"/>
      <c r="G226" s="12" t="s">
        <v>113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2" t="s">
        <v>113</v>
      </c>
      <c r="X226" s="12" t="s">
        <v>113</v>
      </c>
      <c r="Y226" s="12" t="s">
        <v>113</v>
      </c>
      <c r="Z226" s="12" t="s">
        <v>113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>
        <f t="shared" si="6"/>
        <v>1</v>
      </c>
      <c r="DA226" s="11" t="s">
        <v>114</v>
      </c>
    </row>
    <row r="227" spans="1:2448" s="11" customFormat="1" ht="21.75" customHeight="1">
      <c r="A227" s="13">
        <v>219</v>
      </c>
      <c r="B227" s="40" t="s">
        <v>565</v>
      </c>
      <c r="C227" s="40" t="s">
        <v>566</v>
      </c>
      <c r="D227" s="21" t="s">
        <v>420</v>
      </c>
      <c r="E227" s="9">
        <v>45659</v>
      </c>
      <c r="F227" s="10"/>
      <c r="G227" s="12" t="s">
        <v>113</v>
      </c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2" t="s">
        <v>113</v>
      </c>
      <c r="X227" s="12" t="s">
        <v>113</v>
      </c>
      <c r="Y227" s="12" t="s">
        <v>113</v>
      </c>
      <c r="Z227" s="10"/>
      <c r="AA227" s="10"/>
      <c r="AB227" s="12" t="s">
        <v>113</v>
      </c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>
        <f t="shared" si="6"/>
        <v>1</v>
      </c>
      <c r="DA227" s="11" t="s">
        <v>114</v>
      </c>
    </row>
    <row r="228" spans="1:2448" s="11" customFormat="1" ht="21.75" customHeight="1">
      <c r="A228" s="13">
        <v>220</v>
      </c>
      <c r="B228" s="40" t="s">
        <v>567</v>
      </c>
      <c r="C228" s="40" t="s">
        <v>568</v>
      </c>
      <c r="D228" s="21" t="s">
        <v>420</v>
      </c>
      <c r="E228" s="9">
        <v>45677</v>
      </c>
      <c r="F228" s="10"/>
      <c r="G228" s="12" t="s">
        <v>113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2" t="s">
        <v>113</v>
      </c>
      <c r="X228" s="12" t="s">
        <v>113</v>
      </c>
      <c r="Y228" s="12" t="s">
        <v>113</v>
      </c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>
        <f t="shared" si="6"/>
        <v>1</v>
      </c>
      <c r="DA228" s="11" t="s">
        <v>114</v>
      </c>
    </row>
    <row r="229" spans="1:2448" s="11" customFormat="1" ht="21.75" customHeight="1">
      <c r="A229" s="13">
        <v>221</v>
      </c>
      <c r="B229" s="40" t="s">
        <v>569</v>
      </c>
      <c r="C229" s="40" t="s">
        <v>570</v>
      </c>
      <c r="D229" s="21" t="s">
        <v>420</v>
      </c>
      <c r="E229" s="9">
        <v>45677</v>
      </c>
      <c r="F229" s="10"/>
      <c r="G229" s="12" t="s">
        <v>113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2" t="s">
        <v>113</v>
      </c>
      <c r="X229" s="12" t="s">
        <v>113</v>
      </c>
      <c r="Y229" s="12" t="s">
        <v>113</v>
      </c>
      <c r="Z229" s="12" t="s">
        <v>113</v>
      </c>
      <c r="AA229" s="12" t="s">
        <v>113</v>
      </c>
      <c r="AB229" s="12" t="s">
        <v>113</v>
      </c>
      <c r="AC229" s="10"/>
      <c r="AD229" s="10"/>
      <c r="AE229" s="12" t="s">
        <v>113</v>
      </c>
      <c r="AF229" s="12" t="s">
        <v>113</v>
      </c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>
        <f t="shared" si="6"/>
        <v>1</v>
      </c>
      <c r="DA229" s="11" t="s">
        <v>114</v>
      </c>
    </row>
    <row r="230" spans="1:2448" s="11" customFormat="1" ht="21.75" customHeight="1">
      <c r="A230" s="13">
        <v>222</v>
      </c>
      <c r="B230" s="40" t="s">
        <v>571</v>
      </c>
      <c r="C230" s="40" t="s">
        <v>572</v>
      </c>
      <c r="D230" s="21" t="s">
        <v>420</v>
      </c>
      <c r="E230" s="9">
        <v>45669</v>
      </c>
      <c r="F230" s="10"/>
      <c r="G230" s="12" t="s">
        <v>113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2" t="s">
        <v>113</v>
      </c>
      <c r="X230" s="12" t="s">
        <v>113</v>
      </c>
      <c r="Y230" s="12" t="s">
        <v>113</v>
      </c>
      <c r="Z230" s="12" t="s">
        <v>113</v>
      </c>
      <c r="AA230" s="10"/>
      <c r="AB230" s="12" t="s">
        <v>113</v>
      </c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>
        <f t="shared" si="6"/>
        <v>1</v>
      </c>
      <c r="DA230" s="11" t="s">
        <v>114</v>
      </c>
    </row>
    <row r="231" spans="1:2448" s="11" customFormat="1" ht="21.75" customHeight="1">
      <c r="A231" s="13">
        <v>223</v>
      </c>
      <c r="B231" s="40" t="s">
        <v>573</v>
      </c>
      <c r="C231" s="40" t="s">
        <v>450</v>
      </c>
      <c r="D231" s="21" t="s">
        <v>420</v>
      </c>
      <c r="E231" s="9">
        <v>45669</v>
      </c>
      <c r="F231" s="10"/>
      <c r="G231" s="12" t="s">
        <v>113</v>
      </c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2" t="s">
        <v>113</v>
      </c>
      <c r="X231" s="12" t="s">
        <v>113</v>
      </c>
      <c r="Y231" s="12" t="s">
        <v>113</v>
      </c>
      <c r="Z231" s="12" t="s">
        <v>113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>
        <f t="shared" si="6"/>
        <v>1</v>
      </c>
      <c r="DA231" s="11" t="s">
        <v>114</v>
      </c>
    </row>
    <row r="232" spans="1:2448" s="11" customFormat="1" ht="21.75" customHeight="1">
      <c r="A232" s="13">
        <v>224</v>
      </c>
      <c r="B232" s="40" t="s">
        <v>574</v>
      </c>
      <c r="C232" s="40" t="s">
        <v>575</v>
      </c>
      <c r="D232" s="21" t="s">
        <v>576</v>
      </c>
      <c r="E232" s="9">
        <v>45669</v>
      </c>
      <c r="F232" s="10"/>
      <c r="G232" s="12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2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2" t="s">
        <v>113</v>
      </c>
      <c r="AV232" s="12" t="s">
        <v>113</v>
      </c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2" t="s">
        <v>113</v>
      </c>
      <c r="CK232" s="12" t="s">
        <v>113</v>
      </c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>
        <f t="shared" si="6"/>
        <v>1</v>
      </c>
      <c r="DA232" s="11" t="s">
        <v>114</v>
      </c>
    </row>
    <row r="233" spans="1:2448" s="11" customFormat="1" ht="21.75" customHeight="1">
      <c r="A233" s="13">
        <v>225</v>
      </c>
      <c r="B233" s="40" t="s">
        <v>577</v>
      </c>
      <c r="C233" s="40" t="s">
        <v>578</v>
      </c>
      <c r="D233" s="21" t="s">
        <v>576</v>
      </c>
      <c r="E233" s="9">
        <v>45669</v>
      </c>
      <c r="F233" s="10"/>
      <c r="G233" s="12" t="s">
        <v>113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2" t="s">
        <v>113</v>
      </c>
      <c r="AJ233" s="12" t="s">
        <v>113</v>
      </c>
      <c r="AK233" s="10"/>
      <c r="AL233" s="10"/>
      <c r="AM233" s="10"/>
      <c r="AN233" s="10"/>
      <c r="AO233" s="10"/>
      <c r="AP233" s="12" t="s">
        <v>113</v>
      </c>
      <c r="AQ233" s="10"/>
      <c r="AR233" s="10"/>
      <c r="AS233" s="10"/>
      <c r="AT233" s="10"/>
      <c r="AU233" s="12" t="s">
        <v>113</v>
      </c>
      <c r="AV233" s="12" t="s">
        <v>113</v>
      </c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2" t="s">
        <v>113</v>
      </c>
      <c r="CK233" s="12" t="s">
        <v>113</v>
      </c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>
        <f t="shared" si="6"/>
        <v>1</v>
      </c>
      <c r="DA233" s="11" t="s">
        <v>114</v>
      </c>
    </row>
    <row r="234" spans="1:2448" s="11" customFormat="1" ht="21.75" customHeight="1">
      <c r="A234" s="13">
        <v>226</v>
      </c>
      <c r="B234" s="40" t="s">
        <v>579</v>
      </c>
      <c r="C234" s="40" t="s">
        <v>580</v>
      </c>
      <c r="D234" s="21" t="s">
        <v>576</v>
      </c>
      <c r="E234" s="9">
        <v>45669</v>
      </c>
      <c r="F234" s="10"/>
      <c r="G234" s="12" t="s">
        <v>113</v>
      </c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2" t="s">
        <v>113</v>
      </c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2" t="s">
        <v>113</v>
      </c>
      <c r="AV234" s="12" t="s">
        <v>113</v>
      </c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>
        <f t="shared" si="6"/>
        <v>1</v>
      </c>
      <c r="DA234" s="11" t="s">
        <v>114</v>
      </c>
    </row>
    <row r="235" spans="1:2448" s="11" customFormat="1" ht="21.75" customHeight="1">
      <c r="A235" s="13">
        <v>227</v>
      </c>
      <c r="B235" s="40" t="s">
        <v>581</v>
      </c>
      <c r="C235" s="40" t="s">
        <v>582</v>
      </c>
      <c r="D235" s="21" t="s">
        <v>576</v>
      </c>
      <c r="E235" s="9">
        <v>45669</v>
      </c>
      <c r="F235" s="10"/>
      <c r="G235" s="12" t="s">
        <v>113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2" t="s">
        <v>113</v>
      </c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>
        <f t="shared" si="6"/>
        <v>1</v>
      </c>
      <c r="DA235" s="11" t="s">
        <v>114</v>
      </c>
    </row>
    <row r="236" spans="1:2448" s="11" customFormat="1" ht="21.75" customHeight="1">
      <c r="A236" s="13">
        <v>228</v>
      </c>
      <c r="B236" s="42" t="s">
        <v>583</v>
      </c>
      <c r="C236" s="42" t="s">
        <v>584</v>
      </c>
      <c r="D236" s="22" t="s">
        <v>576</v>
      </c>
      <c r="E236" s="9">
        <v>45717</v>
      </c>
      <c r="F236" s="10"/>
      <c r="G236" s="15" t="s">
        <v>113</v>
      </c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2" t="s">
        <v>113</v>
      </c>
      <c r="AW236" s="10"/>
      <c r="AX236" s="12" t="s">
        <v>113</v>
      </c>
      <c r="AY236" s="10"/>
      <c r="AZ236" s="10"/>
      <c r="BA236" s="10"/>
      <c r="BB236" s="12" t="s">
        <v>113</v>
      </c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>
        <f t="shared" si="6"/>
        <v>1</v>
      </c>
      <c r="DA236" s="11" t="s">
        <v>114</v>
      </c>
    </row>
    <row r="237" spans="1:2448" s="11" customFormat="1" ht="21.75" customHeight="1">
      <c r="A237" s="13">
        <v>229</v>
      </c>
      <c r="B237" s="40" t="s">
        <v>585</v>
      </c>
      <c r="C237" s="40" t="s">
        <v>586</v>
      </c>
      <c r="D237" s="21" t="s">
        <v>576</v>
      </c>
      <c r="E237" s="9">
        <v>45669</v>
      </c>
      <c r="F237" s="10"/>
      <c r="G237" s="15" t="s">
        <v>113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2" t="s">
        <v>113</v>
      </c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>
        <f t="shared" si="6"/>
        <v>1</v>
      </c>
      <c r="DA237" s="11" t="s">
        <v>114</v>
      </c>
    </row>
    <row r="238" spans="1:2448" s="11" customFormat="1" ht="21.75" customHeight="1">
      <c r="A238" s="13">
        <v>230</v>
      </c>
      <c r="B238" s="42" t="s">
        <v>587</v>
      </c>
      <c r="C238" s="42" t="s">
        <v>588</v>
      </c>
      <c r="D238" s="22" t="s">
        <v>576</v>
      </c>
      <c r="E238" s="9">
        <v>45669</v>
      </c>
      <c r="F238" s="10"/>
      <c r="G238" s="15" t="s">
        <v>113</v>
      </c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2" t="s">
        <v>113</v>
      </c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>
        <f t="shared" si="6"/>
        <v>1</v>
      </c>
      <c r="DA238" s="11" t="s">
        <v>114</v>
      </c>
    </row>
    <row r="239" spans="1:2448" s="16" customFormat="1" ht="21.75" customHeight="1">
      <c r="A239" s="13">
        <v>231</v>
      </c>
      <c r="B239" s="40" t="s">
        <v>589</v>
      </c>
      <c r="C239" s="40" t="s">
        <v>590</v>
      </c>
      <c r="D239" s="21" t="s">
        <v>576</v>
      </c>
      <c r="E239" s="9">
        <v>45910</v>
      </c>
      <c r="F239" s="10"/>
      <c r="G239" s="15" t="s">
        <v>113</v>
      </c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2" t="s">
        <v>113</v>
      </c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5" t="s">
        <v>113</v>
      </c>
      <c r="AV239" s="15" t="s">
        <v>113</v>
      </c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2" t="s">
        <v>113</v>
      </c>
      <c r="CK239" s="12" t="s">
        <v>113</v>
      </c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>
        <f t="shared" ref="CZ239:CZ252" si="7">IF(COUNTIF(F239:CY239,"ü")&lt;=0,0,1)</f>
        <v>1</v>
      </c>
      <c r="DA239" s="11" t="s">
        <v>114</v>
      </c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/>
      <c r="HC239" s="11"/>
      <c r="HD239" s="11"/>
      <c r="HE239" s="11"/>
      <c r="HF239" s="11"/>
      <c r="HG239" s="11"/>
      <c r="HH239" s="11"/>
      <c r="HI239" s="11"/>
      <c r="HJ239" s="11"/>
      <c r="HK239" s="11"/>
      <c r="HL239" s="11"/>
      <c r="HM239" s="11"/>
      <c r="HN239" s="11"/>
      <c r="HO239" s="11"/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/>
      <c r="IR239" s="11"/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1"/>
      <c r="NJ239" s="11"/>
      <c r="NK239" s="11"/>
      <c r="NL239" s="11"/>
      <c r="NM239" s="11"/>
      <c r="NN239" s="11"/>
      <c r="NO239" s="11"/>
      <c r="NP239" s="11"/>
      <c r="NQ239" s="11"/>
      <c r="NR239" s="11"/>
      <c r="NS239" s="11"/>
      <c r="NT239" s="11"/>
      <c r="NU239" s="11"/>
      <c r="NV239" s="11"/>
      <c r="NW239" s="11"/>
      <c r="NX239" s="11"/>
      <c r="NY239" s="11"/>
      <c r="NZ239" s="11"/>
      <c r="OA239" s="11"/>
      <c r="OB239" s="11"/>
      <c r="OC239" s="11"/>
      <c r="OD239" s="11"/>
      <c r="OE239" s="11"/>
      <c r="OF239" s="11"/>
      <c r="OG239" s="11"/>
      <c r="OH239" s="11"/>
      <c r="OI239" s="11"/>
      <c r="OJ239" s="11"/>
      <c r="OK239" s="11"/>
      <c r="OL239" s="11"/>
      <c r="OM239" s="11"/>
      <c r="ON239" s="11"/>
      <c r="OO239" s="11"/>
      <c r="OP239" s="11"/>
      <c r="OQ239" s="11"/>
      <c r="OR239" s="11"/>
      <c r="OS239" s="11"/>
      <c r="OT239" s="11"/>
      <c r="OU239" s="11"/>
      <c r="OV239" s="11"/>
      <c r="OW239" s="11"/>
      <c r="OX239" s="11"/>
      <c r="OY239" s="11"/>
      <c r="OZ239" s="11"/>
      <c r="PA239" s="11"/>
      <c r="PB239" s="11"/>
      <c r="PC239" s="11"/>
      <c r="PD239" s="11"/>
      <c r="PE239" s="11"/>
      <c r="PF239" s="11"/>
      <c r="PG239" s="11"/>
      <c r="PH239" s="11"/>
      <c r="PI239" s="11"/>
      <c r="PJ239" s="11"/>
      <c r="PK239" s="11"/>
      <c r="PL239" s="11"/>
      <c r="PM239" s="11"/>
      <c r="PN239" s="11"/>
      <c r="PO239" s="11"/>
      <c r="PP239" s="11"/>
      <c r="PQ239" s="11"/>
      <c r="PR239" s="11"/>
      <c r="PS239" s="11"/>
      <c r="PT239" s="11"/>
      <c r="PU239" s="11"/>
      <c r="PV239" s="11"/>
      <c r="PW239" s="11"/>
      <c r="PX239" s="11"/>
      <c r="PY239" s="11"/>
      <c r="PZ239" s="11"/>
      <c r="QA239" s="11"/>
      <c r="QB239" s="11"/>
      <c r="QC239" s="11"/>
      <c r="QD239" s="11"/>
      <c r="QE239" s="11"/>
      <c r="QF239" s="11"/>
      <c r="QG239" s="11"/>
      <c r="QH239" s="11"/>
      <c r="QI239" s="11"/>
      <c r="QJ239" s="11"/>
      <c r="QK239" s="11"/>
      <c r="QL239" s="11"/>
      <c r="QM239" s="11"/>
      <c r="QN239" s="11"/>
      <c r="QO239" s="11"/>
      <c r="QP239" s="11"/>
      <c r="QQ239" s="11"/>
      <c r="QR239" s="11"/>
      <c r="QS239" s="11"/>
      <c r="QT239" s="11"/>
      <c r="QU239" s="11"/>
      <c r="QV239" s="11"/>
      <c r="QW239" s="11"/>
      <c r="QX239" s="11"/>
      <c r="QY239" s="11"/>
      <c r="QZ239" s="11"/>
      <c r="RA239" s="11"/>
      <c r="RB239" s="11"/>
      <c r="RC239" s="11"/>
      <c r="RD239" s="11"/>
      <c r="RE239" s="11"/>
      <c r="RF239" s="11"/>
      <c r="RG239" s="11"/>
      <c r="RH239" s="11"/>
      <c r="RI239" s="11"/>
      <c r="RJ239" s="11"/>
      <c r="RK239" s="11"/>
      <c r="RL239" s="11"/>
      <c r="RM239" s="11"/>
      <c r="RN239" s="11"/>
      <c r="RO239" s="11"/>
      <c r="RP239" s="11"/>
      <c r="RQ239" s="11"/>
      <c r="RR239" s="11"/>
      <c r="RS239" s="11"/>
      <c r="RT239" s="11"/>
      <c r="RU239" s="11"/>
      <c r="RV239" s="11"/>
      <c r="RW239" s="11"/>
      <c r="RX239" s="11"/>
      <c r="RY239" s="11"/>
      <c r="RZ239" s="11"/>
      <c r="SA239" s="11"/>
      <c r="SB239" s="11"/>
      <c r="SC239" s="11"/>
      <c r="SD239" s="11"/>
      <c r="SE239" s="11"/>
      <c r="SF239" s="11"/>
      <c r="SG239" s="11"/>
      <c r="SH239" s="11"/>
      <c r="SI239" s="11"/>
      <c r="SJ239" s="11"/>
      <c r="SK239" s="11"/>
      <c r="SL239" s="11"/>
      <c r="SM239" s="11"/>
      <c r="SN239" s="11"/>
      <c r="SO239" s="11"/>
      <c r="SP239" s="11"/>
      <c r="SQ239" s="11"/>
      <c r="SR239" s="11"/>
      <c r="SS239" s="11"/>
      <c r="ST239" s="11"/>
      <c r="SU239" s="11"/>
      <c r="SV239" s="11"/>
      <c r="SW239" s="11"/>
      <c r="SX239" s="11"/>
      <c r="SY239" s="11"/>
      <c r="SZ239" s="11"/>
      <c r="TA239" s="11"/>
      <c r="TB239" s="11"/>
      <c r="TC239" s="11"/>
      <c r="TD239" s="11"/>
      <c r="TE239" s="11"/>
      <c r="TF239" s="11"/>
      <c r="TG239" s="11"/>
      <c r="TH239" s="11"/>
      <c r="TI239" s="11"/>
      <c r="TJ239" s="11"/>
      <c r="TK239" s="11"/>
      <c r="TL239" s="11"/>
      <c r="TM239" s="11"/>
      <c r="TN239" s="11"/>
      <c r="TO239" s="11"/>
      <c r="TP239" s="11"/>
      <c r="TQ239" s="11"/>
      <c r="TR239" s="11"/>
      <c r="TS239" s="11"/>
      <c r="TT239" s="11"/>
      <c r="TU239" s="11"/>
      <c r="TV239" s="11"/>
      <c r="TW239" s="11"/>
      <c r="TX239" s="11"/>
      <c r="TY239" s="11"/>
      <c r="TZ239" s="11"/>
      <c r="UA239" s="11"/>
      <c r="UB239" s="11"/>
      <c r="UC239" s="11"/>
      <c r="UD239" s="11"/>
      <c r="UE239" s="11"/>
      <c r="UF239" s="11"/>
      <c r="UG239" s="11"/>
      <c r="UH239" s="11"/>
      <c r="UI239" s="11"/>
      <c r="UJ239" s="11"/>
      <c r="UK239" s="11"/>
      <c r="UL239" s="11"/>
      <c r="UM239" s="11"/>
      <c r="UN239" s="11"/>
      <c r="UO239" s="11"/>
      <c r="UP239" s="11"/>
      <c r="UQ239" s="11"/>
      <c r="UR239" s="11"/>
      <c r="US239" s="11"/>
      <c r="UT239" s="11"/>
      <c r="UU239" s="11"/>
      <c r="UV239" s="11"/>
      <c r="UW239" s="11"/>
      <c r="UX239" s="11"/>
      <c r="UY239" s="11"/>
      <c r="UZ239" s="11"/>
      <c r="VA239" s="11"/>
      <c r="VB239" s="11"/>
      <c r="VC239" s="11"/>
      <c r="VD239" s="11"/>
      <c r="VE239" s="11"/>
      <c r="VF239" s="11"/>
      <c r="VG239" s="11"/>
      <c r="VH239" s="11"/>
      <c r="VI239" s="11"/>
      <c r="VJ239" s="11"/>
      <c r="VK239" s="11"/>
      <c r="VL239" s="11"/>
      <c r="VM239" s="11"/>
      <c r="VN239" s="11"/>
      <c r="VO239" s="11"/>
      <c r="VP239" s="11"/>
      <c r="VQ239" s="11"/>
      <c r="VR239" s="11"/>
      <c r="VS239" s="11"/>
      <c r="VT239" s="11"/>
      <c r="VU239" s="11"/>
      <c r="VV239" s="11"/>
      <c r="VW239" s="11"/>
      <c r="VX239" s="11"/>
      <c r="VY239" s="11"/>
      <c r="VZ239" s="11"/>
      <c r="WA239" s="11"/>
      <c r="WB239" s="11"/>
      <c r="WC239" s="11"/>
      <c r="WD239" s="11"/>
      <c r="WE239" s="11"/>
      <c r="WF239" s="11"/>
      <c r="WG239" s="11"/>
      <c r="WH239" s="11"/>
      <c r="WI239" s="11"/>
      <c r="WJ239" s="11"/>
      <c r="WK239" s="11"/>
      <c r="WL239" s="11"/>
      <c r="WM239" s="11"/>
      <c r="WN239" s="11"/>
      <c r="WO239" s="11"/>
      <c r="WP239" s="11"/>
      <c r="WQ239" s="11"/>
      <c r="WR239" s="11"/>
      <c r="WS239" s="11"/>
      <c r="WT239" s="11"/>
      <c r="WU239" s="11"/>
      <c r="WV239" s="11"/>
      <c r="WW239" s="11"/>
      <c r="WX239" s="11"/>
      <c r="WY239" s="11"/>
      <c r="WZ239" s="11"/>
      <c r="XA239" s="11"/>
      <c r="XB239" s="11"/>
      <c r="XC239" s="11"/>
      <c r="XD239" s="11"/>
      <c r="XE239" s="11"/>
      <c r="XF239" s="11"/>
      <c r="XG239" s="11"/>
      <c r="XH239" s="11"/>
      <c r="XI239" s="11"/>
      <c r="XJ239" s="11"/>
      <c r="XK239" s="11"/>
      <c r="XL239" s="11"/>
      <c r="XM239" s="11"/>
      <c r="XN239" s="11"/>
      <c r="XO239" s="11"/>
      <c r="XP239" s="11"/>
      <c r="XQ239" s="11"/>
      <c r="XR239" s="11"/>
      <c r="XS239" s="11"/>
      <c r="XT239" s="11"/>
      <c r="XU239" s="11"/>
      <c r="XV239" s="11"/>
      <c r="XW239" s="11"/>
      <c r="XX239" s="11"/>
      <c r="XY239" s="11"/>
      <c r="XZ239" s="11"/>
      <c r="YA239" s="11"/>
      <c r="YB239" s="11"/>
      <c r="YC239" s="11"/>
      <c r="YD239" s="11"/>
      <c r="YE239" s="11"/>
      <c r="YF239" s="11"/>
      <c r="YG239" s="11"/>
      <c r="YH239" s="11"/>
      <c r="YI239" s="11"/>
      <c r="YJ239" s="11"/>
      <c r="YK239" s="11"/>
      <c r="YL239" s="11"/>
      <c r="YM239" s="11"/>
      <c r="YN239" s="11"/>
      <c r="YO239" s="11"/>
      <c r="YP239" s="11"/>
      <c r="YQ239" s="11"/>
      <c r="YR239" s="11"/>
      <c r="YS239" s="11"/>
      <c r="YT239" s="11"/>
      <c r="YU239" s="11"/>
      <c r="YV239" s="11"/>
      <c r="YW239" s="11"/>
      <c r="YX239" s="11"/>
      <c r="YY239" s="11"/>
      <c r="YZ239" s="11"/>
      <c r="ZA239" s="11"/>
      <c r="ZB239" s="11"/>
      <c r="ZC239" s="11"/>
      <c r="ZD239" s="11"/>
      <c r="ZE239" s="11"/>
      <c r="ZF239" s="11"/>
      <c r="ZG239" s="11"/>
      <c r="ZH239" s="11"/>
      <c r="ZI239" s="11"/>
      <c r="ZJ239" s="11"/>
      <c r="ZK239" s="11"/>
      <c r="ZL239" s="11"/>
      <c r="ZM239" s="11"/>
      <c r="ZN239" s="11"/>
      <c r="ZO239" s="11"/>
      <c r="ZP239" s="11"/>
      <c r="ZQ239" s="11"/>
      <c r="ZR239" s="11"/>
      <c r="ZS239" s="11"/>
      <c r="ZT239" s="11"/>
      <c r="ZU239" s="11"/>
      <c r="ZV239" s="11"/>
      <c r="ZW239" s="11"/>
      <c r="ZX239" s="11"/>
      <c r="ZY239" s="11"/>
      <c r="ZZ239" s="11"/>
      <c r="AAA239" s="11"/>
      <c r="AAB239" s="11"/>
      <c r="AAC239" s="11"/>
      <c r="AAD239" s="11"/>
      <c r="AAE239" s="11"/>
      <c r="AAF239" s="11"/>
      <c r="AAG239" s="11"/>
      <c r="AAH239" s="11"/>
      <c r="AAI239" s="11"/>
      <c r="AAJ239" s="11"/>
      <c r="AAK239" s="11"/>
      <c r="AAL239" s="11"/>
      <c r="AAM239" s="11"/>
      <c r="AAN239" s="11"/>
      <c r="AAO239" s="11"/>
      <c r="AAP239" s="11"/>
      <c r="AAQ239" s="11"/>
      <c r="AAR239" s="11"/>
      <c r="AAS239" s="11"/>
      <c r="AAT239" s="11"/>
      <c r="AAU239" s="11"/>
      <c r="AAV239" s="11"/>
      <c r="AAW239" s="11"/>
      <c r="AAX239" s="11"/>
      <c r="AAY239" s="11"/>
      <c r="AAZ239" s="11"/>
      <c r="ABA239" s="11"/>
      <c r="ABB239" s="11"/>
      <c r="ABC239" s="11"/>
      <c r="ABD239" s="11"/>
      <c r="ABE239" s="11"/>
      <c r="ABF239" s="11"/>
      <c r="ABG239" s="11"/>
      <c r="ABH239" s="11"/>
      <c r="ABI239" s="11"/>
      <c r="ABJ239" s="11"/>
      <c r="ABK239" s="11"/>
      <c r="ABL239" s="11"/>
      <c r="ABM239" s="11"/>
      <c r="ABN239" s="11"/>
      <c r="ABO239" s="11"/>
      <c r="ABP239" s="11"/>
      <c r="ABQ239" s="11"/>
      <c r="ABR239" s="11"/>
      <c r="ABS239" s="11"/>
      <c r="ABT239" s="11"/>
      <c r="ABU239" s="11"/>
      <c r="ABV239" s="11"/>
      <c r="ABW239" s="11"/>
      <c r="ABX239" s="11"/>
      <c r="ABY239" s="11"/>
      <c r="ABZ239" s="11"/>
      <c r="ACA239" s="11"/>
      <c r="ACB239" s="11"/>
      <c r="ACC239" s="11"/>
      <c r="ACD239" s="11"/>
      <c r="ACE239" s="11"/>
      <c r="ACF239" s="11"/>
      <c r="ACG239" s="11"/>
      <c r="ACH239" s="11"/>
      <c r="ACI239" s="11"/>
      <c r="ACJ239" s="11"/>
      <c r="ACK239" s="11"/>
      <c r="ACL239" s="11"/>
      <c r="ACM239" s="11"/>
      <c r="ACN239" s="11"/>
      <c r="ACO239" s="11"/>
      <c r="ACP239" s="11"/>
      <c r="ACQ239" s="11"/>
      <c r="ACR239" s="11"/>
      <c r="ACS239" s="11"/>
      <c r="ACT239" s="11"/>
      <c r="ACU239" s="11"/>
      <c r="ACV239" s="11"/>
      <c r="ACW239" s="11"/>
      <c r="ACX239" s="11"/>
      <c r="ACY239" s="11"/>
      <c r="ACZ239" s="11"/>
      <c r="ADA239" s="11"/>
      <c r="ADB239" s="11"/>
      <c r="ADC239" s="11"/>
      <c r="ADD239" s="11"/>
      <c r="ADE239" s="11"/>
      <c r="ADF239" s="11"/>
      <c r="ADG239" s="11"/>
      <c r="ADH239" s="11"/>
      <c r="ADI239" s="11"/>
      <c r="ADJ239" s="11"/>
      <c r="ADK239" s="11"/>
      <c r="ADL239" s="11"/>
      <c r="ADM239" s="11"/>
      <c r="ADN239" s="11"/>
      <c r="ADO239" s="11"/>
      <c r="ADP239" s="11"/>
      <c r="ADQ239" s="11"/>
      <c r="ADR239" s="11"/>
      <c r="ADS239" s="11"/>
      <c r="ADT239" s="11"/>
      <c r="ADU239" s="11"/>
      <c r="ADV239" s="11"/>
      <c r="ADW239" s="11"/>
      <c r="ADX239" s="11"/>
      <c r="ADY239" s="11"/>
      <c r="ADZ239" s="11"/>
      <c r="AEA239" s="11"/>
      <c r="AEB239" s="11"/>
      <c r="AEC239" s="11"/>
      <c r="AED239" s="11"/>
      <c r="AEE239" s="11"/>
      <c r="AEF239" s="11"/>
      <c r="AEG239" s="11"/>
      <c r="AEH239" s="11"/>
      <c r="AEI239" s="11"/>
      <c r="AEJ239" s="11"/>
      <c r="AEK239" s="11"/>
      <c r="AEL239" s="11"/>
      <c r="AEM239" s="11"/>
      <c r="AEN239" s="11"/>
      <c r="AEO239" s="11"/>
      <c r="AEP239" s="11"/>
      <c r="AEQ239" s="11"/>
      <c r="AER239" s="11"/>
      <c r="AES239" s="11"/>
      <c r="AET239" s="11"/>
      <c r="AEU239" s="11"/>
      <c r="AEV239" s="11"/>
      <c r="AEW239" s="11"/>
      <c r="AEX239" s="11"/>
      <c r="AEY239" s="11"/>
      <c r="AEZ239" s="11"/>
      <c r="AFA239" s="11"/>
      <c r="AFB239" s="11"/>
      <c r="AFC239" s="11"/>
      <c r="AFD239" s="11"/>
      <c r="AFE239" s="11"/>
      <c r="AFF239" s="11"/>
      <c r="AFG239" s="11"/>
      <c r="AFH239" s="11"/>
      <c r="AFI239" s="11"/>
      <c r="AFJ239" s="11"/>
      <c r="AFK239" s="11"/>
      <c r="AFL239" s="11"/>
      <c r="AFM239" s="11"/>
      <c r="AFN239" s="11"/>
      <c r="AFO239" s="11"/>
      <c r="AFP239" s="11"/>
      <c r="AFQ239" s="11"/>
      <c r="AFR239" s="11"/>
      <c r="AFS239" s="11"/>
      <c r="AFT239" s="11"/>
      <c r="AFU239" s="11"/>
      <c r="AFV239" s="11"/>
      <c r="AFW239" s="11"/>
      <c r="AFX239" s="11"/>
      <c r="AFY239" s="11"/>
      <c r="AFZ239" s="11"/>
      <c r="AGA239" s="11"/>
      <c r="AGB239" s="11"/>
      <c r="AGC239" s="11"/>
      <c r="AGD239" s="11"/>
      <c r="AGE239" s="11"/>
      <c r="AGF239" s="11"/>
      <c r="AGG239" s="11"/>
      <c r="AGH239" s="11"/>
      <c r="AGI239" s="11"/>
      <c r="AGJ239" s="11"/>
      <c r="AGK239" s="11"/>
      <c r="AGL239" s="11"/>
      <c r="AGM239" s="11"/>
      <c r="AGN239" s="11"/>
      <c r="AGO239" s="11"/>
      <c r="AGP239" s="11"/>
      <c r="AGQ239" s="11"/>
      <c r="AGR239" s="11"/>
      <c r="AGS239" s="11"/>
      <c r="AGT239" s="11"/>
      <c r="AGU239" s="11"/>
      <c r="AGV239" s="11"/>
      <c r="AGW239" s="11"/>
      <c r="AGX239" s="11"/>
      <c r="AGY239" s="11"/>
      <c r="AGZ239" s="11"/>
      <c r="AHA239" s="11"/>
      <c r="AHB239" s="11"/>
      <c r="AHC239" s="11"/>
      <c r="AHD239" s="11"/>
      <c r="AHE239" s="11"/>
      <c r="AHF239" s="11"/>
      <c r="AHG239" s="11"/>
      <c r="AHH239" s="11"/>
      <c r="AHI239" s="11"/>
      <c r="AHJ239" s="11"/>
      <c r="AHK239" s="11"/>
      <c r="AHL239" s="11"/>
      <c r="AHM239" s="11"/>
      <c r="AHN239" s="11"/>
      <c r="AHO239" s="11"/>
      <c r="AHP239" s="11"/>
      <c r="AHQ239" s="11"/>
      <c r="AHR239" s="11"/>
      <c r="AHS239" s="11"/>
      <c r="AHT239" s="11"/>
      <c r="AHU239" s="11"/>
      <c r="AHV239" s="11"/>
      <c r="AHW239" s="11"/>
      <c r="AHX239" s="11"/>
      <c r="AHY239" s="11"/>
      <c r="AHZ239" s="11"/>
      <c r="AIA239" s="11"/>
      <c r="AIB239" s="11"/>
      <c r="AIC239" s="11"/>
      <c r="AID239" s="11"/>
      <c r="AIE239" s="11"/>
      <c r="AIF239" s="11"/>
      <c r="AIG239" s="11"/>
      <c r="AIH239" s="11"/>
      <c r="AII239" s="11"/>
      <c r="AIJ239" s="11"/>
      <c r="AIK239" s="11"/>
      <c r="AIL239" s="11"/>
      <c r="AIM239" s="11"/>
      <c r="AIN239" s="11"/>
      <c r="AIO239" s="11"/>
      <c r="AIP239" s="11"/>
      <c r="AIQ239" s="11"/>
      <c r="AIR239" s="11"/>
      <c r="AIS239" s="11"/>
      <c r="AIT239" s="11"/>
      <c r="AIU239" s="11"/>
      <c r="AIV239" s="11"/>
      <c r="AIW239" s="11"/>
      <c r="AIX239" s="11"/>
      <c r="AIY239" s="11"/>
      <c r="AIZ239" s="11"/>
      <c r="AJA239" s="11"/>
      <c r="AJB239" s="11"/>
      <c r="AJC239" s="11"/>
      <c r="AJD239" s="11"/>
      <c r="AJE239" s="11"/>
      <c r="AJF239" s="11"/>
      <c r="AJG239" s="11"/>
      <c r="AJH239" s="11"/>
      <c r="AJI239" s="11"/>
      <c r="AJJ239" s="11"/>
      <c r="AJK239" s="11"/>
      <c r="AJL239" s="11"/>
      <c r="AJM239" s="11"/>
      <c r="AJN239" s="11"/>
      <c r="AJO239" s="11"/>
      <c r="AJP239" s="11"/>
      <c r="AJQ239" s="11"/>
      <c r="AJR239" s="11"/>
      <c r="AJS239" s="11"/>
      <c r="AJT239" s="11"/>
      <c r="AJU239" s="11"/>
      <c r="AJV239" s="11"/>
      <c r="AJW239" s="11"/>
      <c r="AJX239" s="11"/>
      <c r="AJY239" s="11"/>
      <c r="AJZ239" s="11"/>
      <c r="AKA239" s="11"/>
      <c r="AKB239" s="11"/>
      <c r="AKC239" s="11"/>
      <c r="AKD239" s="11"/>
      <c r="AKE239" s="11"/>
      <c r="AKF239" s="11"/>
      <c r="AKG239" s="11"/>
      <c r="AKH239" s="11"/>
      <c r="AKI239" s="11"/>
      <c r="AKJ239" s="11"/>
      <c r="AKK239" s="11"/>
      <c r="AKL239" s="11"/>
      <c r="AKM239" s="11"/>
      <c r="AKN239" s="11"/>
      <c r="AKO239" s="11"/>
      <c r="AKP239" s="11"/>
      <c r="AKQ239" s="11"/>
      <c r="AKR239" s="11"/>
      <c r="AKS239" s="11"/>
      <c r="AKT239" s="11"/>
      <c r="AKU239" s="11"/>
      <c r="AKV239" s="11"/>
      <c r="AKW239" s="11"/>
      <c r="AKX239" s="11"/>
      <c r="AKY239" s="11"/>
      <c r="AKZ239" s="11"/>
      <c r="ALA239" s="11"/>
      <c r="ALB239" s="11"/>
      <c r="ALC239" s="11"/>
      <c r="ALD239" s="11"/>
      <c r="ALE239" s="11"/>
      <c r="ALF239" s="11"/>
      <c r="ALG239" s="11"/>
      <c r="ALH239" s="11"/>
      <c r="ALI239" s="11"/>
      <c r="ALJ239" s="11"/>
      <c r="ALK239" s="11"/>
      <c r="ALL239" s="11"/>
      <c r="ALM239" s="11"/>
      <c r="ALN239" s="11"/>
      <c r="ALO239" s="11"/>
      <c r="ALP239" s="11"/>
      <c r="ALQ239" s="11"/>
      <c r="ALR239" s="11"/>
      <c r="ALS239" s="11"/>
      <c r="ALT239" s="11"/>
      <c r="ALU239" s="11"/>
      <c r="ALV239" s="11"/>
      <c r="ALW239" s="11"/>
      <c r="ALX239" s="11"/>
      <c r="ALY239" s="11"/>
      <c r="ALZ239" s="11"/>
      <c r="AMA239" s="11"/>
      <c r="AMB239" s="11"/>
      <c r="AMC239" s="11"/>
      <c r="AMD239" s="11"/>
      <c r="AME239" s="11"/>
      <c r="AMF239" s="11"/>
      <c r="AMG239" s="11"/>
      <c r="AMH239" s="11"/>
      <c r="AMI239" s="11"/>
      <c r="AMJ239" s="11"/>
      <c r="AMK239" s="11"/>
      <c r="AML239" s="11"/>
      <c r="AMM239" s="11"/>
      <c r="AMN239" s="11"/>
      <c r="AMO239" s="11"/>
      <c r="AMP239" s="11"/>
      <c r="AMQ239" s="11"/>
      <c r="AMR239" s="11"/>
      <c r="AMS239" s="11"/>
      <c r="AMT239" s="11"/>
      <c r="AMU239" s="11"/>
      <c r="AMV239" s="11"/>
      <c r="AMW239" s="11"/>
      <c r="AMX239" s="11"/>
      <c r="AMY239" s="11"/>
      <c r="AMZ239" s="11"/>
      <c r="ANA239" s="11"/>
      <c r="ANB239" s="11"/>
      <c r="ANC239" s="11"/>
      <c r="AND239" s="11"/>
      <c r="ANE239" s="11"/>
      <c r="ANF239" s="11"/>
      <c r="ANG239" s="11"/>
      <c r="ANH239" s="11"/>
      <c r="ANI239" s="11"/>
      <c r="ANJ239" s="11"/>
      <c r="ANK239" s="11"/>
      <c r="ANL239" s="11"/>
      <c r="ANM239" s="11"/>
      <c r="ANN239" s="11"/>
      <c r="ANO239" s="11"/>
      <c r="ANP239" s="11"/>
      <c r="ANQ239" s="11"/>
      <c r="ANR239" s="11"/>
      <c r="ANS239" s="11"/>
      <c r="ANT239" s="11"/>
      <c r="ANU239" s="11"/>
      <c r="ANV239" s="11"/>
      <c r="ANW239" s="11"/>
      <c r="ANX239" s="11"/>
      <c r="ANY239" s="11"/>
      <c r="ANZ239" s="11"/>
      <c r="AOA239" s="11"/>
      <c r="AOB239" s="11"/>
      <c r="AOC239" s="11"/>
      <c r="AOD239" s="11"/>
      <c r="AOE239" s="11"/>
      <c r="AOF239" s="11"/>
      <c r="AOG239" s="11"/>
      <c r="AOH239" s="11"/>
      <c r="AOI239" s="11"/>
      <c r="AOJ239" s="11"/>
      <c r="AOK239" s="11"/>
      <c r="AOL239" s="11"/>
      <c r="AOM239" s="11"/>
      <c r="AON239" s="11"/>
      <c r="AOO239" s="11"/>
      <c r="AOP239" s="11"/>
      <c r="AOQ239" s="11"/>
      <c r="AOR239" s="11"/>
      <c r="AOS239" s="11"/>
      <c r="AOT239" s="11"/>
      <c r="AOU239" s="11"/>
      <c r="AOV239" s="11"/>
      <c r="AOW239" s="11"/>
      <c r="AOX239" s="11"/>
      <c r="AOY239" s="11"/>
      <c r="AOZ239" s="11"/>
      <c r="APA239" s="11"/>
      <c r="APB239" s="11"/>
      <c r="APC239" s="11"/>
      <c r="APD239" s="11"/>
      <c r="APE239" s="11"/>
      <c r="APF239" s="11"/>
      <c r="APG239" s="11"/>
      <c r="APH239" s="11"/>
      <c r="API239" s="11"/>
      <c r="APJ239" s="11"/>
      <c r="APK239" s="11"/>
      <c r="APL239" s="11"/>
      <c r="APM239" s="11"/>
      <c r="APN239" s="11"/>
      <c r="APO239" s="11"/>
      <c r="APP239" s="11"/>
      <c r="APQ239" s="11"/>
      <c r="APR239" s="11"/>
      <c r="APS239" s="11"/>
      <c r="APT239" s="11"/>
      <c r="APU239" s="11"/>
      <c r="APV239" s="11"/>
      <c r="APW239" s="11"/>
      <c r="APX239" s="11"/>
      <c r="APY239" s="11"/>
      <c r="APZ239" s="11"/>
      <c r="AQA239" s="11"/>
      <c r="AQB239" s="11"/>
      <c r="AQC239" s="11"/>
      <c r="AQD239" s="11"/>
      <c r="AQE239" s="11"/>
      <c r="AQF239" s="11"/>
      <c r="AQG239" s="11"/>
      <c r="AQH239" s="11"/>
      <c r="AQI239" s="11"/>
      <c r="AQJ239" s="11"/>
      <c r="AQK239" s="11"/>
      <c r="AQL239" s="11"/>
      <c r="AQM239" s="11"/>
      <c r="AQN239" s="11"/>
      <c r="AQO239" s="11"/>
      <c r="AQP239" s="11"/>
      <c r="AQQ239" s="11"/>
      <c r="AQR239" s="11"/>
      <c r="AQS239" s="11"/>
      <c r="AQT239" s="11"/>
      <c r="AQU239" s="11"/>
      <c r="AQV239" s="11"/>
      <c r="AQW239" s="11"/>
      <c r="AQX239" s="11"/>
      <c r="AQY239" s="11"/>
      <c r="AQZ239" s="11"/>
      <c r="ARA239" s="11"/>
      <c r="ARB239" s="11"/>
      <c r="ARC239" s="11"/>
      <c r="ARD239" s="11"/>
      <c r="ARE239" s="11"/>
      <c r="ARF239" s="11"/>
      <c r="ARG239" s="11"/>
      <c r="ARH239" s="11"/>
      <c r="ARI239" s="11"/>
      <c r="ARJ239" s="11"/>
      <c r="ARK239" s="11"/>
      <c r="ARL239" s="11"/>
      <c r="ARM239" s="11"/>
      <c r="ARN239" s="11"/>
      <c r="ARO239" s="11"/>
      <c r="ARP239" s="11"/>
      <c r="ARQ239" s="11"/>
      <c r="ARR239" s="11"/>
      <c r="ARS239" s="11"/>
      <c r="ART239" s="11"/>
      <c r="ARU239" s="11"/>
      <c r="ARV239" s="11"/>
      <c r="ARW239" s="11"/>
      <c r="ARX239" s="11"/>
      <c r="ARY239" s="11"/>
      <c r="ARZ239" s="11"/>
      <c r="ASA239" s="11"/>
      <c r="ASB239" s="11"/>
      <c r="ASC239" s="11"/>
      <c r="ASD239" s="11"/>
      <c r="ASE239" s="11"/>
      <c r="ASF239" s="11"/>
      <c r="ASG239" s="11"/>
      <c r="ASH239" s="11"/>
      <c r="ASI239" s="11"/>
      <c r="ASJ239" s="11"/>
      <c r="ASK239" s="11"/>
      <c r="ASL239" s="11"/>
      <c r="ASM239" s="11"/>
      <c r="ASN239" s="11"/>
      <c r="ASO239" s="11"/>
      <c r="ASP239" s="11"/>
      <c r="ASQ239" s="11"/>
      <c r="ASR239" s="11"/>
      <c r="ASS239" s="11"/>
      <c r="AST239" s="11"/>
      <c r="ASU239" s="11"/>
      <c r="ASV239" s="11"/>
      <c r="ASW239" s="11"/>
      <c r="ASX239" s="11"/>
      <c r="ASY239" s="11"/>
      <c r="ASZ239" s="11"/>
      <c r="ATA239" s="11"/>
      <c r="ATB239" s="11"/>
      <c r="ATC239" s="11"/>
      <c r="ATD239" s="11"/>
      <c r="ATE239" s="11"/>
      <c r="ATF239" s="11"/>
      <c r="ATG239" s="11"/>
      <c r="ATH239" s="11"/>
      <c r="ATI239" s="11"/>
      <c r="ATJ239" s="11"/>
      <c r="ATK239" s="11"/>
      <c r="ATL239" s="11"/>
      <c r="ATM239" s="11"/>
      <c r="ATN239" s="11"/>
      <c r="ATO239" s="11"/>
      <c r="ATP239" s="11"/>
      <c r="ATQ239" s="11"/>
      <c r="ATR239" s="11"/>
      <c r="ATS239" s="11"/>
      <c r="ATT239" s="11"/>
      <c r="ATU239" s="11"/>
      <c r="ATV239" s="11"/>
      <c r="ATW239" s="11"/>
      <c r="ATX239" s="11"/>
      <c r="ATY239" s="11"/>
      <c r="ATZ239" s="11"/>
      <c r="AUA239" s="11"/>
      <c r="AUB239" s="11"/>
      <c r="AUC239" s="11"/>
      <c r="AUD239" s="11"/>
      <c r="AUE239" s="11"/>
      <c r="AUF239" s="11"/>
      <c r="AUG239" s="11"/>
      <c r="AUH239" s="11"/>
      <c r="AUI239" s="11"/>
      <c r="AUJ239" s="11"/>
      <c r="AUK239" s="11"/>
      <c r="AUL239" s="11"/>
      <c r="AUM239" s="11"/>
      <c r="AUN239" s="11"/>
      <c r="AUO239" s="11"/>
      <c r="AUP239" s="11"/>
      <c r="AUQ239" s="11"/>
      <c r="AUR239" s="11"/>
      <c r="AUS239" s="11"/>
      <c r="AUT239" s="11"/>
      <c r="AUU239" s="11"/>
      <c r="AUV239" s="11"/>
      <c r="AUW239" s="11"/>
      <c r="AUX239" s="11"/>
      <c r="AUY239" s="11"/>
      <c r="AUZ239" s="11"/>
      <c r="AVA239" s="11"/>
      <c r="AVB239" s="11"/>
      <c r="AVC239" s="11"/>
      <c r="AVD239" s="11"/>
      <c r="AVE239" s="11"/>
      <c r="AVF239" s="11"/>
      <c r="AVG239" s="11"/>
      <c r="AVH239" s="11"/>
      <c r="AVI239" s="11"/>
      <c r="AVJ239" s="11"/>
      <c r="AVK239" s="11"/>
      <c r="AVL239" s="11"/>
      <c r="AVM239" s="11"/>
      <c r="AVN239" s="11"/>
      <c r="AVO239" s="11"/>
      <c r="AVP239" s="11"/>
      <c r="AVQ239" s="11"/>
      <c r="AVR239" s="11"/>
      <c r="AVS239" s="11"/>
      <c r="AVT239" s="11"/>
      <c r="AVU239" s="11"/>
      <c r="AVV239" s="11"/>
      <c r="AVW239" s="11"/>
      <c r="AVX239" s="11"/>
      <c r="AVY239" s="11"/>
      <c r="AVZ239" s="11"/>
      <c r="AWA239" s="11"/>
      <c r="AWB239" s="11"/>
      <c r="AWC239" s="11"/>
      <c r="AWD239" s="11"/>
      <c r="AWE239" s="11"/>
      <c r="AWF239" s="11"/>
      <c r="AWG239" s="11"/>
      <c r="AWH239" s="11"/>
      <c r="AWI239" s="11"/>
      <c r="AWJ239" s="11"/>
      <c r="AWK239" s="11"/>
      <c r="AWL239" s="11"/>
      <c r="AWM239" s="11"/>
      <c r="AWN239" s="11"/>
      <c r="AWO239" s="11"/>
      <c r="AWP239" s="11"/>
      <c r="AWQ239" s="11"/>
      <c r="AWR239" s="11"/>
      <c r="AWS239" s="11"/>
      <c r="AWT239" s="11"/>
      <c r="AWU239" s="11"/>
      <c r="AWV239" s="11"/>
      <c r="AWW239" s="11"/>
      <c r="AWX239" s="11"/>
      <c r="AWY239" s="11"/>
      <c r="AWZ239" s="11"/>
      <c r="AXA239" s="11"/>
      <c r="AXB239" s="11"/>
      <c r="AXC239" s="11"/>
      <c r="AXD239" s="11"/>
      <c r="AXE239" s="11"/>
      <c r="AXF239" s="11"/>
      <c r="AXG239" s="11"/>
      <c r="AXH239" s="11"/>
      <c r="AXI239" s="11"/>
      <c r="AXJ239" s="11"/>
      <c r="AXK239" s="11"/>
      <c r="AXL239" s="11"/>
      <c r="AXM239" s="11"/>
      <c r="AXN239" s="11"/>
      <c r="AXO239" s="11"/>
      <c r="AXP239" s="11"/>
      <c r="AXQ239" s="11"/>
      <c r="AXR239" s="11"/>
      <c r="AXS239" s="11"/>
      <c r="AXT239" s="11"/>
      <c r="AXU239" s="11"/>
      <c r="AXV239" s="11"/>
      <c r="AXW239" s="11"/>
      <c r="AXX239" s="11"/>
      <c r="AXY239" s="11"/>
      <c r="AXZ239" s="11"/>
      <c r="AYA239" s="11"/>
      <c r="AYB239" s="11"/>
      <c r="AYC239" s="11"/>
      <c r="AYD239" s="11"/>
      <c r="AYE239" s="11"/>
      <c r="AYF239" s="11"/>
      <c r="AYG239" s="11"/>
      <c r="AYH239" s="11"/>
      <c r="AYI239" s="11"/>
      <c r="AYJ239" s="11"/>
      <c r="AYK239" s="11"/>
      <c r="AYL239" s="11"/>
      <c r="AYM239" s="11"/>
      <c r="AYN239" s="11"/>
      <c r="AYO239" s="11"/>
      <c r="AYP239" s="11"/>
      <c r="AYQ239" s="11"/>
      <c r="AYR239" s="11"/>
      <c r="AYS239" s="11"/>
      <c r="AYT239" s="11"/>
      <c r="AYU239" s="11"/>
      <c r="AYV239" s="11"/>
      <c r="AYW239" s="11"/>
      <c r="AYX239" s="11"/>
      <c r="AYY239" s="11"/>
      <c r="AYZ239" s="11"/>
      <c r="AZA239" s="11"/>
      <c r="AZB239" s="11"/>
      <c r="AZC239" s="11"/>
      <c r="AZD239" s="11"/>
      <c r="AZE239" s="11"/>
      <c r="AZF239" s="11"/>
      <c r="AZG239" s="11"/>
      <c r="AZH239" s="11"/>
      <c r="AZI239" s="11"/>
      <c r="AZJ239" s="11"/>
      <c r="AZK239" s="11"/>
      <c r="AZL239" s="11"/>
      <c r="AZM239" s="11"/>
      <c r="AZN239" s="11"/>
      <c r="AZO239" s="11"/>
      <c r="AZP239" s="11"/>
      <c r="AZQ239" s="11"/>
      <c r="AZR239" s="11"/>
      <c r="AZS239" s="11"/>
      <c r="AZT239" s="11"/>
      <c r="AZU239" s="11"/>
      <c r="AZV239" s="11"/>
      <c r="AZW239" s="11"/>
      <c r="AZX239" s="11"/>
      <c r="AZY239" s="11"/>
      <c r="AZZ239" s="11"/>
      <c r="BAA239" s="11"/>
      <c r="BAB239" s="11"/>
      <c r="BAC239" s="11"/>
      <c r="BAD239" s="11"/>
      <c r="BAE239" s="11"/>
      <c r="BAF239" s="11"/>
      <c r="BAG239" s="11"/>
      <c r="BAH239" s="11"/>
      <c r="BAI239" s="11"/>
      <c r="BAJ239" s="11"/>
      <c r="BAK239" s="11"/>
      <c r="BAL239" s="11"/>
      <c r="BAM239" s="11"/>
      <c r="BAN239" s="11"/>
      <c r="BAO239" s="11"/>
      <c r="BAP239" s="11"/>
      <c r="BAQ239" s="11"/>
      <c r="BAR239" s="11"/>
      <c r="BAS239" s="11"/>
      <c r="BAT239" s="11"/>
      <c r="BAU239" s="11"/>
      <c r="BAV239" s="11"/>
      <c r="BAW239" s="11"/>
      <c r="BAX239" s="11"/>
      <c r="BAY239" s="11"/>
      <c r="BAZ239" s="11"/>
      <c r="BBA239" s="11"/>
      <c r="BBB239" s="11"/>
      <c r="BBC239" s="11"/>
      <c r="BBD239" s="11"/>
      <c r="BBE239" s="11"/>
      <c r="BBF239" s="11"/>
      <c r="BBG239" s="11"/>
      <c r="BBH239" s="11"/>
      <c r="BBI239" s="11"/>
      <c r="BBJ239" s="11"/>
      <c r="BBK239" s="11"/>
      <c r="BBL239" s="11"/>
      <c r="BBM239" s="11"/>
      <c r="BBN239" s="11"/>
      <c r="BBO239" s="11"/>
      <c r="BBP239" s="11"/>
      <c r="BBQ239" s="11"/>
      <c r="BBR239" s="11"/>
      <c r="BBS239" s="11"/>
      <c r="BBT239" s="11"/>
      <c r="BBU239" s="11"/>
      <c r="BBV239" s="11"/>
      <c r="BBW239" s="11"/>
      <c r="BBX239" s="11"/>
      <c r="BBY239" s="11"/>
      <c r="BBZ239" s="11"/>
      <c r="BCA239" s="11"/>
      <c r="BCB239" s="11"/>
      <c r="BCC239" s="11"/>
      <c r="BCD239" s="11"/>
      <c r="BCE239" s="11"/>
      <c r="BCF239" s="11"/>
      <c r="BCG239" s="11"/>
      <c r="BCH239" s="11"/>
      <c r="BCI239" s="11"/>
      <c r="BCJ239" s="11"/>
      <c r="BCK239" s="11"/>
      <c r="BCL239" s="11"/>
      <c r="BCM239" s="11"/>
      <c r="BCN239" s="11"/>
      <c r="BCO239" s="11"/>
      <c r="BCP239" s="11"/>
      <c r="BCQ239" s="11"/>
      <c r="BCR239" s="11"/>
      <c r="BCS239" s="11"/>
      <c r="BCT239" s="11"/>
      <c r="BCU239" s="11"/>
      <c r="BCV239" s="11"/>
      <c r="BCW239" s="11"/>
      <c r="BCX239" s="11"/>
      <c r="BCY239" s="11"/>
      <c r="BCZ239" s="11"/>
      <c r="BDA239" s="11"/>
      <c r="BDB239" s="11"/>
      <c r="BDC239" s="11"/>
      <c r="BDD239" s="11"/>
      <c r="BDE239" s="11"/>
      <c r="BDF239" s="11"/>
      <c r="BDG239" s="11"/>
      <c r="BDH239" s="11"/>
      <c r="BDI239" s="11"/>
      <c r="BDJ239" s="11"/>
      <c r="BDK239" s="11"/>
      <c r="BDL239" s="11"/>
      <c r="BDM239" s="11"/>
      <c r="BDN239" s="11"/>
      <c r="BDO239" s="11"/>
      <c r="BDP239" s="11"/>
      <c r="BDQ239" s="11"/>
      <c r="BDR239" s="11"/>
      <c r="BDS239" s="11"/>
      <c r="BDT239" s="11"/>
      <c r="BDU239" s="11"/>
      <c r="BDV239" s="11"/>
      <c r="BDW239" s="11"/>
      <c r="BDX239" s="11"/>
      <c r="BDY239" s="11"/>
      <c r="BDZ239" s="11"/>
      <c r="BEA239" s="11"/>
      <c r="BEB239" s="11"/>
      <c r="BEC239" s="11"/>
      <c r="BED239" s="11"/>
      <c r="BEE239" s="11"/>
      <c r="BEF239" s="11"/>
      <c r="BEG239" s="11"/>
      <c r="BEH239" s="11"/>
      <c r="BEI239" s="11"/>
      <c r="BEJ239" s="11"/>
      <c r="BEK239" s="11"/>
      <c r="BEL239" s="11"/>
      <c r="BEM239" s="11"/>
      <c r="BEN239" s="11"/>
      <c r="BEO239" s="11"/>
      <c r="BEP239" s="11"/>
      <c r="BEQ239" s="11"/>
      <c r="BER239" s="11"/>
      <c r="BES239" s="11"/>
      <c r="BET239" s="11"/>
      <c r="BEU239" s="11"/>
      <c r="BEV239" s="11"/>
      <c r="BEW239" s="11"/>
      <c r="BEX239" s="11"/>
      <c r="BEY239" s="11"/>
      <c r="BEZ239" s="11"/>
      <c r="BFA239" s="11"/>
      <c r="BFB239" s="11"/>
      <c r="BFC239" s="11"/>
      <c r="BFD239" s="11"/>
      <c r="BFE239" s="11"/>
      <c r="BFF239" s="11"/>
      <c r="BFG239" s="11"/>
      <c r="BFH239" s="11"/>
      <c r="BFI239" s="11"/>
      <c r="BFJ239" s="11"/>
      <c r="BFK239" s="11"/>
      <c r="BFL239" s="11"/>
      <c r="BFM239" s="11"/>
      <c r="BFN239" s="11"/>
      <c r="BFO239" s="11"/>
      <c r="BFP239" s="11"/>
      <c r="BFQ239" s="11"/>
      <c r="BFR239" s="11"/>
      <c r="BFS239" s="11"/>
      <c r="BFT239" s="11"/>
      <c r="BFU239" s="11"/>
      <c r="BFV239" s="11"/>
      <c r="BFW239" s="11"/>
      <c r="BFX239" s="11"/>
      <c r="BFY239" s="11"/>
      <c r="BFZ239" s="11"/>
      <c r="BGA239" s="11"/>
      <c r="BGB239" s="11"/>
      <c r="BGC239" s="11"/>
      <c r="BGD239" s="11"/>
      <c r="BGE239" s="11"/>
      <c r="BGF239" s="11"/>
      <c r="BGG239" s="11"/>
      <c r="BGH239" s="11"/>
      <c r="BGI239" s="11"/>
      <c r="BGJ239" s="11"/>
      <c r="BGK239" s="11"/>
      <c r="BGL239" s="11"/>
      <c r="BGM239" s="11"/>
      <c r="BGN239" s="11"/>
      <c r="BGO239" s="11"/>
      <c r="BGP239" s="11"/>
      <c r="BGQ239" s="11"/>
      <c r="BGR239" s="11"/>
      <c r="BGS239" s="11"/>
      <c r="BGT239" s="11"/>
      <c r="BGU239" s="11"/>
      <c r="BGV239" s="11"/>
      <c r="BGW239" s="11"/>
      <c r="BGX239" s="11"/>
      <c r="BGY239" s="11"/>
      <c r="BGZ239" s="11"/>
      <c r="BHA239" s="11"/>
      <c r="BHB239" s="11"/>
      <c r="BHC239" s="11"/>
      <c r="BHD239" s="11"/>
      <c r="BHE239" s="11"/>
      <c r="BHF239" s="11"/>
      <c r="BHG239" s="11"/>
      <c r="BHH239" s="11"/>
      <c r="BHI239" s="11"/>
      <c r="BHJ239" s="11"/>
      <c r="BHK239" s="11"/>
      <c r="BHL239" s="11"/>
      <c r="BHM239" s="11"/>
      <c r="BHN239" s="11"/>
      <c r="BHO239" s="11"/>
      <c r="BHP239" s="11"/>
      <c r="BHQ239" s="11"/>
      <c r="BHR239" s="11"/>
      <c r="BHS239" s="11"/>
      <c r="BHT239" s="11"/>
      <c r="BHU239" s="11"/>
      <c r="BHV239" s="11"/>
      <c r="BHW239" s="11"/>
      <c r="BHX239" s="11"/>
      <c r="BHY239" s="11"/>
      <c r="BHZ239" s="11"/>
      <c r="BIA239" s="11"/>
      <c r="BIB239" s="11"/>
      <c r="BIC239" s="11"/>
      <c r="BID239" s="11"/>
      <c r="BIE239" s="11"/>
      <c r="BIF239" s="11"/>
      <c r="BIG239" s="11"/>
      <c r="BIH239" s="11"/>
      <c r="BII239" s="11"/>
      <c r="BIJ239" s="11"/>
      <c r="BIK239" s="11"/>
      <c r="BIL239" s="11"/>
      <c r="BIM239" s="11"/>
      <c r="BIN239" s="11"/>
      <c r="BIO239" s="11"/>
      <c r="BIP239" s="11"/>
      <c r="BIQ239" s="11"/>
      <c r="BIR239" s="11"/>
      <c r="BIS239" s="11"/>
      <c r="BIT239" s="11"/>
      <c r="BIU239" s="11"/>
      <c r="BIV239" s="11"/>
      <c r="BIW239" s="11"/>
      <c r="BIX239" s="11"/>
      <c r="BIY239" s="11"/>
      <c r="BIZ239" s="11"/>
      <c r="BJA239" s="11"/>
      <c r="BJB239" s="11"/>
      <c r="BJC239" s="11"/>
      <c r="BJD239" s="11"/>
      <c r="BJE239" s="11"/>
      <c r="BJF239" s="11"/>
      <c r="BJG239" s="11"/>
      <c r="BJH239" s="11"/>
      <c r="BJI239" s="11"/>
      <c r="BJJ239" s="11"/>
      <c r="BJK239" s="11"/>
      <c r="BJL239" s="11"/>
      <c r="BJM239" s="11"/>
      <c r="BJN239" s="11"/>
      <c r="BJO239" s="11"/>
      <c r="BJP239" s="11"/>
      <c r="BJQ239" s="11"/>
      <c r="BJR239" s="11"/>
      <c r="BJS239" s="11"/>
      <c r="BJT239" s="11"/>
      <c r="BJU239" s="11"/>
      <c r="BJV239" s="11"/>
      <c r="BJW239" s="11"/>
      <c r="BJX239" s="11"/>
      <c r="BJY239" s="11"/>
      <c r="BJZ239" s="11"/>
      <c r="BKA239" s="11"/>
      <c r="BKB239" s="11"/>
      <c r="BKC239" s="11"/>
      <c r="BKD239" s="11"/>
      <c r="BKE239" s="11"/>
      <c r="BKF239" s="11"/>
      <c r="BKG239" s="11"/>
      <c r="BKH239" s="11"/>
      <c r="BKI239" s="11"/>
      <c r="BKJ239" s="11"/>
      <c r="BKK239" s="11"/>
      <c r="BKL239" s="11"/>
      <c r="BKM239" s="11"/>
      <c r="BKN239" s="11"/>
      <c r="BKO239" s="11"/>
      <c r="BKP239" s="11"/>
      <c r="BKQ239" s="11"/>
      <c r="BKR239" s="11"/>
      <c r="BKS239" s="11"/>
      <c r="BKT239" s="11"/>
      <c r="BKU239" s="11"/>
      <c r="BKV239" s="11"/>
      <c r="BKW239" s="11"/>
      <c r="BKX239" s="11"/>
      <c r="BKY239" s="11"/>
      <c r="BKZ239" s="11"/>
      <c r="BLA239" s="11"/>
      <c r="BLB239" s="11"/>
      <c r="BLC239" s="11"/>
      <c r="BLD239" s="11"/>
      <c r="BLE239" s="11"/>
      <c r="BLF239" s="11"/>
      <c r="BLG239" s="11"/>
      <c r="BLH239" s="11"/>
      <c r="BLI239" s="11"/>
      <c r="BLJ239" s="11"/>
      <c r="BLK239" s="11"/>
      <c r="BLL239" s="11"/>
      <c r="BLM239" s="11"/>
      <c r="BLN239" s="11"/>
      <c r="BLO239" s="11"/>
      <c r="BLP239" s="11"/>
      <c r="BLQ239" s="11"/>
      <c r="BLR239" s="11"/>
      <c r="BLS239" s="11"/>
      <c r="BLT239" s="11"/>
      <c r="BLU239" s="11"/>
      <c r="BLV239" s="11"/>
      <c r="BLW239" s="11"/>
      <c r="BLX239" s="11"/>
      <c r="BLY239" s="11"/>
      <c r="BLZ239" s="11"/>
      <c r="BMA239" s="11"/>
      <c r="BMB239" s="11"/>
      <c r="BMC239" s="11"/>
      <c r="BMD239" s="11"/>
      <c r="BME239" s="11"/>
      <c r="BMF239" s="11"/>
      <c r="BMG239" s="11"/>
      <c r="BMH239" s="11"/>
      <c r="BMI239" s="11"/>
      <c r="BMJ239" s="11"/>
      <c r="BMK239" s="11"/>
      <c r="BML239" s="11"/>
      <c r="BMM239" s="11"/>
      <c r="BMN239" s="11"/>
      <c r="BMO239" s="11"/>
      <c r="BMP239" s="11"/>
      <c r="BMQ239" s="11"/>
      <c r="BMR239" s="11"/>
      <c r="BMS239" s="11"/>
      <c r="BMT239" s="11"/>
      <c r="BMU239" s="11"/>
      <c r="BMV239" s="11"/>
      <c r="BMW239" s="11"/>
      <c r="BMX239" s="11"/>
      <c r="BMY239" s="11"/>
      <c r="BMZ239" s="11"/>
      <c r="BNA239" s="11"/>
      <c r="BNB239" s="11"/>
      <c r="BNC239" s="11"/>
      <c r="BND239" s="11"/>
      <c r="BNE239" s="11"/>
      <c r="BNF239" s="11"/>
      <c r="BNG239" s="11"/>
      <c r="BNH239" s="11"/>
      <c r="BNI239" s="11"/>
      <c r="BNJ239" s="11"/>
      <c r="BNK239" s="11"/>
      <c r="BNL239" s="11"/>
      <c r="BNM239" s="11"/>
      <c r="BNN239" s="11"/>
      <c r="BNO239" s="11"/>
      <c r="BNP239" s="11"/>
      <c r="BNQ239" s="11"/>
      <c r="BNR239" s="11"/>
      <c r="BNS239" s="11"/>
      <c r="BNT239" s="11"/>
      <c r="BNU239" s="11"/>
      <c r="BNV239" s="11"/>
      <c r="BNW239" s="11"/>
      <c r="BNX239" s="11"/>
      <c r="BNY239" s="11"/>
      <c r="BNZ239" s="11"/>
      <c r="BOA239" s="11"/>
      <c r="BOB239" s="11"/>
      <c r="BOC239" s="11"/>
      <c r="BOD239" s="11"/>
      <c r="BOE239" s="11"/>
      <c r="BOF239" s="11"/>
      <c r="BOG239" s="11"/>
      <c r="BOH239" s="11"/>
      <c r="BOI239" s="11"/>
      <c r="BOJ239" s="11"/>
      <c r="BOK239" s="11"/>
      <c r="BOL239" s="11"/>
      <c r="BOM239" s="11"/>
      <c r="BON239" s="11"/>
      <c r="BOO239" s="11"/>
      <c r="BOP239" s="11"/>
      <c r="BOQ239" s="11"/>
      <c r="BOR239" s="11"/>
      <c r="BOS239" s="11"/>
      <c r="BOT239" s="11"/>
      <c r="BOU239" s="11"/>
      <c r="BOV239" s="11"/>
      <c r="BOW239" s="11"/>
      <c r="BOX239" s="11"/>
      <c r="BOY239" s="11"/>
      <c r="BOZ239" s="11"/>
      <c r="BPA239" s="11"/>
      <c r="BPB239" s="11"/>
      <c r="BPC239" s="11"/>
      <c r="BPD239" s="11"/>
      <c r="BPE239" s="11"/>
      <c r="BPF239" s="11"/>
      <c r="BPG239" s="11"/>
      <c r="BPH239" s="11"/>
      <c r="BPI239" s="11"/>
      <c r="BPJ239" s="11"/>
      <c r="BPK239" s="11"/>
      <c r="BPL239" s="11"/>
      <c r="BPM239" s="11"/>
      <c r="BPN239" s="11"/>
      <c r="BPO239" s="11"/>
      <c r="BPP239" s="11"/>
      <c r="BPQ239" s="11"/>
      <c r="BPR239" s="11"/>
      <c r="BPS239" s="11"/>
      <c r="BPT239" s="11"/>
      <c r="BPU239" s="11"/>
      <c r="BPV239" s="11"/>
      <c r="BPW239" s="11"/>
      <c r="BPX239" s="11"/>
      <c r="BPY239" s="11"/>
      <c r="BPZ239" s="11"/>
      <c r="BQA239" s="11"/>
      <c r="BQB239" s="11"/>
      <c r="BQC239" s="11"/>
      <c r="BQD239" s="11"/>
      <c r="BQE239" s="11"/>
      <c r="BQF239" s="11"/>
      <c r="BQG239" s="11"/>
      <c r="BQH239" s="11"/>
      <c r="BQI239" s="11"/>
      <c r="BQJ239" s="11"/>
      <c r="BQK239" s="11"/>
      <c r="BQL239" s="11"/>
      <c r="BQM239" s="11"/>
      <c r="BQN239" s="11"/>
      <c r="BQO239" s="11"/>
      <c r="BQP239" s="11"/>
      <c r="BQQ239" s="11"/>
      <c r="BQR239" s="11"/>
      <c r="BQS239" s="11"/>
      <c r="BQT239" s="11"/>
      <c r="BQU239" s="11"/>
      <c r="BQV239" s="11"/>
      <c r="BQW239" s="11"/>
      <c r="BQX239" s="11"/>
      <c r="BQY239" s="11"/>
      <c r="BQZ239" s="11"/>
      <c r="BRA239" s="11"/>
      <c r="BRB239" s="11"/>
      <c r="BRC239" s="11"/>
      <c r="BRD239" s="11"/>
      <c r="BRE239" s="11"/>
      <c r="BRF239" s="11"/>
      <c r="BRG239" s="11"/>
      <c r="BRH239" s="11"/>
      <c r="BRI239" s="11"/>
      <c r="BRJ239" s="11"/>
      <c r="BRK239" s="11"/>
      <c r="BRL239" s="11"/>
      <c r="BRM239" s="11"/>
      <c r="BRN239" s="11"/>
      <c r="BRO239" s="11"/>
      <c r="BRP239" s="11"/>
      <c r="BRQ239" s="11"/>
      <c r="BRR239" s="11"/>
      <c r="BRS239" s="11"/>
      <c r="BRT239" s="11"/>
      <c r="BRU239" s="11"/>
      <c r="BRV239" s="11"/>
      <c r="BRW239" s="11"/>
      <c r="BRX239" s="11"/>
      <c r="BRY239" s="11"/>
      <c r="BRZ239" s="11"/>
      <c r="BSA239" s="11"/>
      <c r="BSB239" s="11"/>
      <c r="BSC239" s="11"/>
      <c r="BSD239" s="11"/>
      <c r="BSE239" s="11"/>
      <c r="BSF239" s="11"/>
      <c r="BSG239" s="11"/>
      <c r="BSH239" s="11"/>
      <c r="BSI239" s="11"/>
      <c r="BSJ239" s="11"/>
      <c r="BSK239" s="11"/>
      <c r="BSL239" s="11"/>
      <c r="BSM239" s="11"/>
      <c r="BSN239" s="11"/>
      <c r="BSO239" s="11"/>
      <c r="BSP239" s="11"/>
      <c r="BSQ239" s="11"/>
      <c r="BSR239" s="11"/>
      <c r="BSS239" s="11"/>
      <c r="BST239" s="11"/>
      <c r="BSU239" s="11"/>
      <c r="BSV239" s="11"/>
      <c r="BSW239" s="11"/>
      <c r="BSX239" s="11"/>
      <c r="BSY239" s="11"/>
      <c r="BSZ239" s="11"/>
      <c r="BTA239" s="11"/>
      <c r="BTB239" s="11"/>
      <c r="BTC239" s="11"/>
      <c r="BTD239" s="11"/>
      <c r="BTE239" s="11"/>
      <c r="BTF239" s="11"/>
      <c r="BTG239" s="11"/>
      <c r="BTH239" s="11"/>
      <c r="BTI239" s="11"/>
      <c r="BTJ239" s="11"/>
      <c r="BTK239" s="11"/>
      <c r="BTL239" s="11"/>
      <c r="BTM239" s="11"/>
      <c r="BTN239" s="11"/>
      <c r="BTO239" s="11"/>
      <c r="BTP239" s="11"/>
      <c r="BTQ239" s="11"/>
      <c r="BTR239" s="11"/>
      <c r="BTS239" s="11"/>
      <c r="BTT239" s="11"/>
      <c r="BTU239" s="11"/>
      <c r="BTV239" s="11"/>
      <c r="BTW239" s="11"/>
      <c r="BTX239" s="11"/>
      <c r="BTY239" s="11"/>
      <c r="BTZ239" s="11"/>
      <c r="BUA239" s="11"/>
      <c r="BUB239" s="11"/>
      <c r="BUC239" s="11"/>
      <c r="BUD239" s="11"/>
      <c r="BUE239" s="11"/>
      <c r="BUF239" s="11"/>
      <c r="BUG239" s="11"/>
      <c r="BUH239" s="11"/>
      <c r="BUI239" s="11"/>
      <c r="BUJ239" s="11"/>
      <c r="BUK239" s="11"/>
      <c r="BUL239" s="11"/>
      <c r="BUM239" s="11"/>
      <c r="BUN239" s="11"/>
      <c r="BUO239" s="11"/>
      <c r="BUP239" s="11"/>
      <c r="BUQ239" s="11"/>
      <c r="BUR239" s="11"/>
      <c r="BUS239" s="11"/>
      <c r="BUT239" s="11"/>
      <c r="BUU239" s="11"/>
      <c r="BUV239" s="11"/>
      <c r="BUW239" s="11"/>
      <c r="BUX239" s="11"/>
      <c r="BUY239" s="11"/>
      <c r="BUZ239" s="11"/>
      <c r="BVA239" s="11"/>
      <c r="BVB239" s="11"/>
      <c r="BVC239" s="11"/>
      <c r="BVD239" s="11"/>
      <c r="BVE239" s="11"/>
      <c r="BVF239" s="11"/>
      <c r="BVG239" s="11"/>
      <c r="BVH239" s="11"/>
      <c r="BVI239" s="11"/>
      <c r="BVJ239" s="11"/>
      <c r="BVK239" s="11"/>
      <c r="BVL239" s="11"/>
      <c r="BVM239" s="11"/>
      <c r="BVN239" s="11"/>
      <c r="BVO239" s="11"/>
      <c r="BVP239" s="11"/>
      <c r="BVQ239" s="11"/>
      <c r="BVR239" s="11"/>
      <c r="BVS239" s="11"/>
      <c r="BVT239" s="11"/>
      <c r="BVU239" s="11"/>
      <c r="BVV239" s="11"/>
      <c r="BVW239" s="11"/>
      <c r="BVX239" s="11"/>
      <c r="BVY239" s="11"/>
      <c r="BVZ239" s="11"/>
      <c r="BWA239" s="11"/>
      <c r="BWB239" s="11"/>
      <c r="BWC239" s="11"/>
      <c r="BWD239" s="11"/>
      <c r="BWE239" s="11"/>
      <c r="BWF239" s="11"/>
      <c r="BWG239" s="11"/>
      <c r="BWH239" s="11"/>
      <c r="BWI239" s="11"/>
      <c r="BWJ239" s="11"/>
      <c r="BWK239" s="11"/>
      <c r="BWL239" s="11"/>
      <c r="BWM239" s="11"/>
      <c r="BWN239" s="11"/>
      <c r="BWO239" s="11"/>
      <c r="BWP239" s="11"/>
      <c r="BWQ239" s="11"/>
      <c r="BWR239" s="11"/>
      <c r="BWS239" s="11"/>
      <c r="BWT239" s="11"/>
      <c r="BWU239" s="11"/>
      <c r="BWV239" s="11"/>
      <c r="BWW239" s="11"/>
      <c r="BWX239" s="11"/>
      <c r="BWY239" s="11"/>
      <c r="BWZ239" s="11"/>
      <c r="BXA239" s="11"/>
      <c r="BXB239" s="11"/>
      <c r="BXC239" s="11"/>
      <c r="BXD239" s="11"/>
      <c r="BXE239" s="11"/>
      <c r="BXF239" s="11"/>
      <c r="BXG239" s="11"/>
      <c r="BXH239" s="11"/>
      <c r="BXI239" s="11"/>
      <c r="BXJ239" s="11"/>
      <c r="BXK239" s="11"/>
      <c r="BXL239" s="11"/>
      <c r="BXM239" s="11"/>
      <c r="BXN239" s="11"/>
      <c r="BXO239" s="11"/>
      <c r="BXP239" s="11"/>
      <c r="BXQ239" s="11"/>
      <c r="BXR239" s="11"/>
      <c r="BXS239" s="11"/>
      <c r="BXT239" s="11"/>
      <c r="BXU239" s="11"/>
      <c r="BXV239" s="11"/>
      <c r="BXW239" s="11"/>
      <c r="BXX239" s="11"/>
      <c r="BXY239" s="11"/>
      <c r="BXZ239" s="11"/>
      <c r="BYA239" s="11"/>
      <c r="BYB239" s="11"/>
      <c r="BYC239" s="11"/>
      <c r="BYD239" s="11"/>
      <c r="BYE239" s="11"/>
      <c r="BYF239" s="11"/>
      <c r="BYG239" s="11"/>
      <c r="BYH239" s="11"/>
      <c r="BYI239" s="11"/>
      <c r="BYJ239" s="11"/>
      <c r="BYK239" s="11"/>
      <c r="BYL239" s="11"/>
      <c r="BYM239" s="11"/>
      <c r="BYN239" s="11"/>
      <c r="BYO239" s="11"/>
      <c r="BYP239" s="11"/>
      <c r="BYQ239" s="11"/>
      <c r="BYR239" s="11"/>
      <c r="BYS239" s="11"/>
      <c r="BYT239" s="11"/>
      <c r="BYU239" s="11"/>
      <c r="BYV239" s="11"/>
      <c r="BYW239" s="11"/>
      <c r="BYX239" s="11"/>
      <c r="BYY239" s="11"/>
      <c r="BYZ239" s="11"/>
      <c r="BZA239" s="11"/>
      <c r="BZB239" s="11"/>
      <c r="BZC239" s="11"/>
      <c r="BZD239" s="11"/>
      <c r="BZE239" s="11"/>
      <c r="BZF239" s="11"/>
      <c r="BZG239" s="11"/>
      <c r="BZH239" s="11"/>
      <c r="BZI239" s="11"/>
      <c r="BZJ239" s="11"/>
      <c r="BZK239" s="11"/>
      <c r="BZL239" s="11"/>
      <c r="BZM239" s="11"/>
      <c r="BZN239" s="11"/>
      <c r="BZO239" s="11"/>
      <c r="BZP239" s="11"/>
      <c r="BZQ239" s="11"/>
      <c r="BZR239" s="11"/>
      <c r="BZS239" s="11"/>
      <c r="BZT239" s="11"/>
      <c r="BZU239" s="11"/>
      <c r="BZV239" s="11"/>
      <c r="BZW239" s="11"/>
      <c r="BZX239" s="11"/>
      <c r="BZY239" s="11"/>
      <c r="BZZ239" s="11"/>
      <c r="CAA239" s="11"/>
      <c r="CAB239" s="11"/>
      <c r="CAC239" s="11"/>
      <c r="CAD239" s="11"/>
      <c r="CAE239" s="11"/>
      <c r="CAF239" s="11"/>
      <c r="CAG239" s="11"/>
      <c r="CAH239" s="11"/>
      <c r="CAI239" s="11"/>
      <c r="CAJ239" s="11"/>
      <c r="CAK239" s="11"/>
      <c r="CAL239" s="11"/>
      <c r="CAM239" s="11"/>
      <c r="CAN239" s="11"/>
      <c r="CAO239" s="11"/>
      <c r="CAP239" s="11"/>
      <c r="CAQ239" s="11"/>
      <c r="CAR239" s="11"/>
      <c r="CAS239" s="11"/>
      <c r="CAT239" s="11"/>
      <c r="CAU239" s="11"/>
      <c r="CAV239" s="11"/>
      <c r="CAW239" s="11"/>
      <c r="CAX239" s="11"/>
      <c r="CAY239" s="11"/>
      <c r="CAZ239" s="11"/>
      <c r="CBA239" s="11"/>
      <c r="CBB239" s="11"/>
      <c r="CBC239" s="11"/>
      <c r="CBD239" s="11"/>
      <c r="CBE239" s="11"/>
      <c r="CBF239" s="11"/>
      <c r="CBG239" s="11"/>
      <c r="CBH239" s="11"/>
      <c r="CBI239" s="11"/>
      <c r="CBJ239" s="11"/>
      <c r="CBK239" s="11"/>
      <c r="CBL239" s="11"/>
      <c r="CBM239" s="11"/>
      <c r="CBN239" s="11"/>
      <c r="CBO239" s="11"/>
      <c r="CBP239" s="11"/>
      <c r="CBQ239" s="11"/>
      <c r="CBR239" s="11"/>
      <c r="CBS239" s="11"/>
      <c r="CBT239" s="11"/>
      <c r="CBU239" s="11"/>
      <c r="CBV239" s="11"/>
      <c r="CBW239" s="11"/>
      <c r="CBX239" s="11"/>
      <c r="CBY239" s="11"/>
      <c r="CBZ239" s="11"/>
      <c r="CCA239" s="11"/>
      <c r="CCB239" s="11"/>
      <c r="CCC239" s="11"/>
      <c r="CCD239" s="11"/>
      <c r="CCE239" s="11"/>
      <c r="CCF239" s="11"/>
      <c r="CCG239" s="11"/>
      <c r="CCH239" s="11"/>
      <c r="CCI239" s="11"/>
      <c r="CCJ239" s="11"/>
      <c r="CCK239" s="11"/>
      <c r="CCL239" s="11"/>
      <c r="CCM239" s="11"/>
      <c r="CCN239" s="11"/>
      <c r="CCO239" s="11"/>
      <c r="CCP239" s="11"/>
      <c r="CCQ239" s="11"/>
      <c r="CCR239" s="11"/>
      <c r="CCS239" s="11"/>
      <c r="CCT239" s="11"/>
      <c r="CCU239" s="11"/>
      <c r="CCV239" s="11"/>
      <c r="CCW239" s="11"/>
      <c r="CCX239" s="11"/>
      <c r="CCY239" s="11"/>
      <c r="CCZ239" s="11"/>
      <c r="CDA239" s="11"/>
      <c r="CDB239" s="11"/>
      <c r="CDC239" s="11"/>
      <c r="CDD239" s="11"/>
      <c r="CDE239" s="11"/>
      <c r="CDF239" s="11"/>
      <c r="CDG239" s="11"/>
      <c r="CDH239" s="11"/>
      <c r="CDI239" s="11"/>
      <c r="CDJ239" s="11"/>
      <c r="CDK239" s="11"/>
      <c r="CDL239" s="11"/>
      <c r="CDM239" s="11"/>
      <c r="CDN239" s="11"/>
      <c r="CDO239" s="11"/>
      <c r="CDP239" s="11"/>
      <c r="CDQ239" s="11"/>
      <c r="CDR239" s="11"/>
      <c r="CDS239" s="11"/>
      <c r="CDT239" s="11"/>
      <c r="CDU239" s="11"/>
      <c r="CDV239" s="11"/>
      <c r="CDW239" s="11"/>
      <c r="CDX239" s="11"/>
      <c r="CDY239" s="11"/>
      <c r="CDZ239" s="11"/>
      <c r="CEA239" s="11"/>
      <c r="CEB239" s="11"/>
      <c r="CEC239" s="11"/>
      <c r="CED239" s="11"/>
      <c r="CEE239" s="11"/>
      <c r="CEF239" s="11"/>
      <c r="CEG239" s="11"/>
      <c r="CEH239" s="11"/>
      <c r="CEI239" s="11"/>
      <c r="CEJ239" s="11"/>
      <c r="CEK239" s="11"/>
      <c r="CEL239" s="11"/>
      <c r="CEM239" s="11"/>
      <c r="CEN239" s="11"/>
      <c r="CEO239" s="11"/>
      <c r="CEP239" s="11"/>
      <c r="CEQ239" s="11"/>
      <c r="CER239" s="11"/>
      <c r="CES239" s="11"/>
      <c r="CET239" s="11"/>
      <c r="CEU239" s="11"/>
      <c r="CEV239" s="11"/>
      <c r="CEW239" s="11"/>
      <c r="CEX239" s="11"/>
      <c r="CEY239" s="11"/>
      <c r="CEZ239" s="11"/>
      <c r="CFA239" s="11"/>
      <c r="CFB239" s="11"/>
      <c r="CFC239" s="11"/>
      <c r="CFD239" s="11"/>
      <c r="CFE239" s="11"/>
      <c r="CFF239" s="11"/>
      <c r="CFG239" s="11"/>
      <c r="CFH239" s="11"/>
      <c r="CFI239" s="11"/>
      <c r="CFJ239" s="11"/>
      <c r="CFK239" s="11"/>
      <c r="CFL239" s="11"/>
      <c r="CFM239" s="11"/>
      <c r="CFN239" s="11"/>
      <c r="CFO239" s="11"/>
      <c r="CFP239" s="11"/>
      <c r="CFQ239" s="11"/>
      <c r="CFR239" s="11"/>
      <c r="CFS239" s="11"/>
      <c r="CFT239" s="11"/>
      <c r="CFU239" s="11"/>
      <c r="CFV239" s="11"/>
      <c r="CFW239" s="11"/>
      <c r="CFX239" s="11"/>
      <c r="CFY239" s="11"/>
      <c r="CFZ239" s="11"/>
      <c r="CGA239" s="11"/>
      <c r="CGB239" s="11"/>
      <c r="CGC239" s="11"/>
      <c r="CGD239" s="11"/>
      <c r="CGE239" s="11"/>
      <c r="CGF239" s="11"/>
      <c r="CGG239" s="11"/>
      <c r="CGH239" s="11"/>
      <c r="CGI239" s="11"/>
      <c r="CGJ239" s="11"/>
      <c r="CGK239" s="11"/>
      <c r="CGL239" s="11"/>
      <c r="CGM239" s="11"/>
      <c r="CGN239" s="11"/>
      <c r="CGO239" s="11"/>
      <c r="CGP239" s="11"/>
      <c r="CGQ239" s="11"/>
      <c r="CGR239" s="11"/>
      <c r="CGS239" s="11"/>
      <c r="CGT239" s="11"/>
      <c r="CGU239" s="11"/>
      <c r="CGV239" s="11"/>
      <c r="CGW239" s="11"/>
      <c r="CGX239" s="11"/>
      <c r="CGY239" s="11"/>
      <c r="CGZ239" s="11"/>
      <c r="CHA239" s="11"/>
      <c r="CHB239" s="11"/>
      <c r="CHC239" s="11"/>
      <c r="CHD239" s="11"/>
      <c r="CHE239" s="11"/>
      <c r="CHF239" s="11"/>
      <c r="CHG239" s="11"/>
      <c r="CHH239" s="11"/>
      <c r="CHI239" s="11"/>
      <c r="CHJ239" s="11"/>
      <c r="CHK239" s="11"/>
      <c r="CHL239" s="11"/>
      <c r="CHM239" s="11"/>
      <c r="CHN239" s="11"/>
      <c r="CHO239" s="11"/>
      <c r="CHP239" s="11"/>
      <c r="CHQ239" s="11"/>
      <c r="CHR239" s="11"/>
      <c r="CHS239" s="11"/>
      <c r="CHT239" s="11"/>
      <c r="CHU239" s="11"/>
      <c r="CHV239" s="11"/>
      <c r="CHW239" s="11"/>
      <c r="CHX239" s="11"/>
      <c r="CHY239" s="11"/>
      <c r="CHZ239" s="11"/>
      <c r="CIA239" s="11"/>
      <c r="CIB239" s="11"/>
      <c r="CIC239" s="11"/>
      <c r="CID239" s="11"/>
      <c r="CIE239" s="11"/>
      <c r="CIF239" s="11"/>
      <c r="CIG239" s="11"/>
      <c r="CIH239" s="11"/>
      <c r="CII239" s="11"/>
      <c r="CIJ239" s="11"/>
      <c r="CIK239" s="11"/>
      <c r="CIL239" s="11"/>
      <c r="CIM239" s="11"/>
      <c r="CIN239" s="11"/>
      <c r="CIO239" s="11"/>
      <c r="CIP239" s="11"/>
      <c r="CIQ239" s="11"/>
      <c r="CIR239" s="11"/>
      <c r="CIS239" s="11"/>
      <c r="CIT239" s="11"/>
      <c r="CIU239" s="11"/>
      <c r="CIV239" s="11"/>
      <c r="CIW239" s="11"/>
      <c r="CIX239" s="11"/>
      <c r="CIY239" s="11"/>
      <c r="CIZ239" s="11"/>
      <c r="CJA239" s="11"/>
      <c r="CJB239" s="11"/>
      <c r="CJC239" s="11"/>
      <c r="CJD239" s="11"/>
      <c r="CJE239" s="11"/>
      <c r="CJF239" s="11"/>
      <c r="CJG239" s="11"/>
      <c r="CJH239" s="11"/>
      <c r="CJI239" s="11"/>
      <c r="CJJ239" s="11"/>
      <c r="CJK239" s="11"/>
      <c r="CJL239" s="11"/>
      <c r="CJM239" s="11"/>
      <c r="CJN239" s="11"/>
      <c r="CJO239" s="11"/>
      <c r="CJP239" s="11"/>
      <c r="CJQ239" s="11"/>
      <c r="CJR239" s="11"/>
      <c r="CJS239" s="11"/>
      <c r="CJT239" s="11"/>
      <c r="CJU239" s="11"/>
      <c r="CJV239" s="11"/>
      <c r="CJW239" s="11"/>
      <c r="CJX239" s="11"/>
      <c r="CJY239" s="11"/>
      <c r="CJZ239" s="11"/>
      <c r="CKA239" s="11"/>
      <c r="CKB239" s="11"/>
      <c r="CKC239" s="11"/>
      <c r="CKD239" s="11"/>
      <c r="CKE239" s="11"/>
      <c r="CKF239" s="11"/>
      <c r="CKG239" s="11"/>
      <c r="CKH239" s="11"/>
      <c r="CKI239" s="11"/>
      <c r="CKJ239" s="11"/>
      <c r="CKK239" s="11"/>
      <c r="CKL239" s="11"/>
      <c r="CKM239" s="11"/>
      <c r="CKN239" s="11"/>
      <c r="CKO239" s="11"/>
      <c r="CKP239" s="11"/>
      <c r="CKQ239" s="11"/>
      <c r="CKR239" s="11"/>
      <c r="CKS239" s="11"/>
      <c r="CKT239" s="11"/>
      <c r="CKU239" s="11"/>
      <c r="CKV239" s="11"/>
      <c r="CKW239" s="11"/>
      <c r="CKX239" s="11"/>
      <c r="CKY239" s="11"/>
      <c r="CKZ239" s="11"/>
      <c r="CLA239" s="11"/>
      <c r="CLB239" s="11"/>
      <c r="CLC239" s="11"/>
      <c r="CLD239" s="11"/>
      <c r="CLE239" s="11"/>
      <c r="CLF239" s="11"/>
      <c r="CLG239" s="11"/>
      <c r="CLH239" s="11"/>
      <c r="CLI239" s="11"/>
      <c r="CLJ239" s="11"/>
      <c r="CLK239" s="11"/>
      <c r="CLL239" s="11"/>
      <c r="CLM239" s="11"/>
      <c r="CLN239" s="11"/>
      <c r="CLO239" s="11"/>
      <c r="CLP239" s="11"/>
      <c r="CLQ239" s="11"/>
      <c r="CLR239" s="11"/>
      <c r="CLS239" s="11"/>
      <c r="CLT239" s="11"/>
      <c r="CLU239" s="11"/>
      <c r="CLV239" s="11"/>
      <c r="CLW239" s="11"/>
      <c r="CLX239" s="11"/>
      <c r="CLY239" s="11"/>
      <c r="CLZ239" s="11"/>
      <c r="CMA239" s="11"/>
      <c r="CMB239" s="11"/>
      <c r="CMC239" s="11"/>
      <c r="CMD239" s="11"/>
      <c r="CME239" s="11"/>
      <c r="CMF239" s="11"/>
      <c r="CMG239" s="11"/>
      <c r="CMH239" s="11"/>
      <c r="CMI239" s="11"/>
      <c r="CMJ239" s="11"/>
      <c r="CMK239" s="11"/>
      <c r="CML239" s="11"/>
      <c r="CMM239" s="11"/>
      <c r="CMN239" s="11"/>
      <c r="CMO239" s="11"/>
      <c r="CMP239" s="11"/>
      <c r="CMQ239" s="11"/>
      <c r="CMR239" s="11"/>
      <c r="CMS239" s="11"/>
      <c r="CMT239" s="11"/>
      <c r="CMU239" s="11"/>
      <c r="CMV239" s="11"/>
      <c r="CMW239" s="11"/>
      <c r="CMX239" s="11"/>
      <c r="CMY239" s="11"/>
      <c r="CMZ239" s="11"/>
      <c r="CNA239" s="11"/>
      <c r="CNB239" s="11"/>
      <c r="CNC239" s="11"/>
      <c r="CND239" s="11"/>
      <c r="CNE239" s="11"/>
      <c r="CNF239" s="11"/>
      <c r="CNG239" s="11"/>
      <c r="CNH239" s="11"/>
      <c r="CNI239" s="11"/>
      <c r="CNJ239" s="11"/>
      <c r="CNK239" s="11"/>
      <c r="CNL239" s="11"/>
      <c r="CNM239" s="11"/>
      <c r="CNN239" s="11"/>
      <c r="CNO239" s="11"/>
      <c r="CNP239" s="11"/>
      <c r="CNQ239" s="11"/>
      <c r="CNR239" s="11"/>
      <c r="CNS239" s="11"/>
      <c r="CNT239" s="11"/>
      <c r="CNU239" s="11"/>
      <c r="CNV239" s="11"/>
      <c r="CNW239" s="11"/>
      <c r="CNX239" s="11"/>
      <c r="CNY239" s="11"/>
      <c r="CNZ239" s="11"/>
      <c r="COA239" s="11"/>
      <c r="COB239" s="11"/>
      <c r="COC239" s="11"/>
      <c r="COD239" s="11"/>
      <c r="COE239" s="11"/>
      <c r="COF239" s="11"/>
      <c r="COG239" s="11"/>
      <c r="COH239" s="11"/>
      <c r="COI239" s="11"/>
      <c r="COJ239" s="11"/>
      <c r="COK239" s="11"/>
      <c r="COL239" s="11"/>
      <c r="COM239" s="11"/>
      <c r="CON239" s="11"/>
      <c r="COO239" s="11"/>
      <c r="COP239" s="11"/>
      <c r="COQ239" s="11"/>
      <c r="COR239" s="11"/>
      <c r="COS239" s="11"/>
      <c r="COT239" s="11"/>
      <c r="COU239" s="11"/>
      <c r="COV239" s="11"/>
      <c r="COW239" s="11"/>
      <c r="COX239" s="11"/>
      <c r="COY239" s="11"/>
      <c r="COZ239" s="11"/>
      <c r="CPA239" s="11"/>
      <c r="CPB239" s="11"/>
      <c r="CPC239" s="11"/>
      <c r="CPD239" s="11"/>
    </row>
    <row r="240" spans="1:2448" s="16" customFormat="1" ht="21.75" customHeight="1">
      <c r="A240" s="13">
        <v>232</v>
      </c>
      <c r="B240" s="40" t="s">
        <v>591</v>
      </c>
      <c r="C240" s="40" t="s">
        <v>592</v>
      </c>
      <c r="D240" s="21" t="s">
        <v>576</v>
      </c>
      <c r="E240" s="9">
        <v>45669</v>
      </c>
      <c r="F240" s="10"/>
      <c r="G240" s="15" t="s">
        <v>113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2" t="s">
        <v>113</v>
      </c>
      <c r="AL240" s="10"/>
      <c r="AM240" s="10"/>
      <c r="AN240" s="10"/>
      <c r="AO240" s="10"/>
      <c r="AP240" s="10"/>
      <c r="AQ240" s="10"/>
      <c r="AR240" s="10"/>
      <c r="AS240" s="10"/>
      <c r="AT240" s="10"/>
      <c r="AU240" s="12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>
        <f t="shared" si="7"/>
        <v>1</v>
      </c>
      <c r="DA240" s="11" t="s">
        <v>114</v>
      </c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/>
      <c r="HC240" s="11"/>
      <c r="HD240" s="11"/>
      <c r="HE240" s="11"/>
      <c r="HF240" s="11"/>
      <c r="HG240" s="11"/>
      <c r="HH240" s="11"/>
      <c r="HI240" s="11"/>
      <c r="HJ240" s="11"/>
      <c r="HK240" s="11"/>
      <c r="HL240" s="11"/>
      <c r="HM240" s="11"/>
      <c r="HN240" s="11"/>
      <c r="HO240" s="11"/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/>
      <c r="IF240" s="11"/>
      <c r="IG240" s="11"/>
      <c r="IH240" s="11"/>
      <c r="II240" s="11"/>
      <c r="IJ240" s="11"/>
      <c r="IK240" s="11"/>
      <c r="IL240" s="11"/>
      <c r="IM240" s="11"/>
      <c r="IN240" s="11"/>
      <c r="IO240" s="11"/>
      <c r="IP240" s="11"/>
      <c r="IQ240" s="11"/>
      <c r="IR240" s="11"/>
      <c r="IS240" s="11"/>
      <c r="IT240" s="11"/>
      <c r="IU240" s="11"/>
      <c r="IV240" s="11"/>
      <c r="IW240" s="11"/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  <c r="KU240" s="11"/>
      <c r="KV240" s="11"/>
      <c r="KW240" s="11"/>
      <c r="KX240" s="11"/>
      <c r="KY240" s="11"/>
      <c r="KZ240" s="11"/>
      <c r="LA240" s="11"/>
      <c r="LB240" s="11"/>
      <c r="LC240" s="11"/>
      <c r="LD240" s="11"/>
      <c r="LE240" s="11"/>
      <c r="LF240" s="11"/>
      <c r="LG240" s="11"/>
      <c r="LH240" s="11"/>
      <c r="LI240" s="11"/>
      <c r="LJ240" s="11"/>
      <c r="LK240" s="11"/>
      <c r="LL240" s="11"/>
      <c r="LM240" s="11"/>
      <c r="LN240" s="11"/>
      <c r="LO240" s="11"/>
      <c r="LP240" s="11"/>
      <c r="LQ240" s="11"/>
      <c r="LR240" s="11"/>
      <c r="LS240" s="11"/>
      <c r="LT240" s="11"/>
      <c r="LU240" s="11"/>
      <c r="LV240" s="11"/>
      <c r="LW240" s="11"/>
      <c r="LX240" s="11"/>
      <c r="LY240" s="11"/>
      <c r="LZ240" s="11"/>
      <c r="MA240" s="11"/>
      <c r="MB240" s="11"/>
      <c r="MC240" s="11"/>
      <c r="MD240" s="11"/>
      <c r="ME240" s="11"/>
      <c r="MF240" s="11"/>
      <c r="MG240" s="11"/>
      <c r="MH240" s="11"/>
      <c r="MI240" s="11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  <c r="NE240" s="11"/>
      <c r="NF240" s="11"/>
      <c r="NG240" s="11"/>
      <c r="NH240" s="11"/>
      <c r="NI240" s="11"/>
      <c r="NJ240" s="11"/>
      <c r="NK240" s="11"/>
      <c r="NL240" s="11"/>
      <c r="NM240" s="11"/>
      <c r="NN240" s="11"/>
      <c r="NO240" s="11"/>
      <c r="NP240" s="11"/>
      <c r="NQ240" s="11"/>
      <c r="NR240" s="11"/>
      <c r="NS240" s="11"/>
      <c r="NT240" s="11"/>
      <c r="NU240" s="11"/>
      <c r="NV240" s="11"/>
      <c r="NW240" s="11"/>
      <c r="NX240" s="11"/>
      <c r="NY240" s="11"/>
      <c r="NZ240" s="11"/>
      <c r="OA240" s="11"/>
      <c r="OB240" s="11"/>
      <c r="OC240" s="11"/>
      <c r="OD240" s="11"/>
      <c r="OE240" s="11"/>
      <c r="OF240" s="11"/>
      <c r="OG240" s="11"/>
      <c r="OH240" s="11"/>
      <c r="OI240" s="11"/>
      <c r="OJ240" s="11"/>
      <c r="OK240" s="11"/>
      <c r="OL240" s="11"/>
      <c r="OM240" s="11"/>
      <c r="ON240" s="11"/>
      <c r="OO240" s="11"/>
      <c r="OP240" s="11"/>
      <c r="OQ240" s="11"/>
      <c r="OR240" s="11"/>
      <c r="OS240" s="11"/>
      <c r="OT240" s="11"/>
      <c r="OU240" s="11"/>
      <c r="OV240" s="11"/>
      <c r="OW240" s="11"/>
      <c r="OX240" s="11"/>
      <c r="OY240" s="11"/>
      <c r="OZ240" s="11"/>
      <c r="PA240" s="11"/>
      <c r="PB240" s="11"/>
      <c r="PC240" s="11"/>
      <c r="PD240" s="11"/>
      <c r="PE240" s="11"/>
      <c r="PF240" s="11"/>
      <c r="PG240" s="11"/>
      <c r="PH240" s="11"/>
      <c r="PI240" s="11"/>
      <c r="PJ240" s="11"/>
      <c r="PK240" s="11"/>
      <c r="PL240" s="11"/>
      <c r="PM240" s="11"/>
      <c r="PN240" s="11"/>
      <c r="PO240" s="11"/>
      <c r="PP240" s="11"/>
      <c r="PQ240" s="11"/>
      <c r="PR240" s="11"/>
      <c r="PS240" s="11"/>
      <c r="PT240" s="11"/>
      <c r="PU240" s="11"/>
      <c r="PV240" s="11"/>
      <c r="PW240" s="11"/>
      <c r="PX240" s="11"/>
      <c r="PY240" s="11"/>
      <c r="PZ240" s="11"/>
      <c r="QA240" s="11"/>
      <c r="QB240" s="11"/>
      <c r="QC240" s="11"/>
      <c r="QD240" s="11"/>
      <c r="QE240" s="11"/>
      <c r="QF240" s="11"/>
      <c r="QG240" s="11"/>
      <c r="QH240" s="11"/>
      <c r="QI240" s="11"/>
      <c r="QJ240" s="11"/>
      <c r="QK240" s="11"/>
      <c r="QL240" s="11"/>
      <c r="QM240" s="11"/>
      <c r="QN240" s="11"/>
      <c r="QO240" s="11"/>
      <c r="QP240" s="11"/>
      <c r="QQ240" s="11"/>
      <c r="QR240" s="11"/>
      <c r="QS240" s="11"/>
      <c r="QT240" s="11"/>
      <c r="QU240" s="11"/>
      <c r="QV240" s="11"/>
      <c r="QW240" s="11"/>
      <c r="QX240" s="11"/>
      <c r="QY240" s="11"/>
      <c r="QZ240" s="11"/>
      <c r="RA240" s="11"/>
      <c r="RB240" s="11"/>
      <c r="RC240" s="11"/>
      <c r="RD240" s="11"/>
      <c r="RE240" s="11"/>
      <c r="RF240" s="11"/>
      <c r="RG240" s="11"/>
      <c r="RH240" s="11"/>
      <c r="RI240" s="11"/>
      <c r="RJ240" s="11"/>
      <c r="RK240" s="11"/>
      <c r="RL240" s="11"/>
      <c r="RM240" s="11"/>
      <c r="RN240" s="11"/>
      <c r="RO240" s="11"/>
      <c r="RP240" s="11"/>
      <c r="RQ240" s="11"/>
      <c r="RR240" s="11"/>
      <c r="RS240" s="11"/>
      <c r="RT240" s="11"/>
      <c r="RU240" s="11"/>
      <c r="RV240" s="11"/>
      <c r="RW240" s="11"/>
      <c r="RX240" s="11"/>
      <c r="RY240" s="11"/>
      <c r="RZ240" s="11"/>
      <c r="SA240" s="11"/>
      <c r="SB240" s="11"/>
      <c r="SC240" s="11"/>
      <c r="SD240" s="11"/>
      <c r="SE240" s="11"/>
      <c r="SF240" s="11"/>
      <c r="SG240" s="11"/>
      <c r="SH240" s="11"/>
      <c r="SI240" s="11"/>
      <c r="SJ240" s="11"/>
      <c r="SK240" s="11"/>
      <c r="SL240" s="11"/>
      <c r="SM240" s="11"/>
      <c r="SN240" s="11"/>
      <c r="SO240" s="11"/>
      <c r="SP240" s="11"/>
      <c r="SQ240" s="11"/>
      <c r="SR240" s="11"/>
      <c r="SS240" s="11"/>
      <c r="ST240" s="11"/>
      <c r="SU240" s="11"/>
      <c r="SV240" s="11"/>
      <c r="SW240" s="11"/>
      <c r="SX240" s="11"/>
      <c r="SY240" s="11"/>
      <c r="SZ240" s="11"/>
      <c r="TA240" s="11"/>
      <c r="TB240" s="11"/>
      <c r="TC240" s="11"/>
      <c r="TD240" s="11"/>
      <c r="TE240" s="11"/>
      <c r="TF240" s="11"/>
      <c r="TG240" s="11"/>
      <c r="TH240" s="11"/>
      <c r="TI240" s="11"/>
      <c r="TJ240" s="11"/>
      <c r="TK240" s="11"/>
      <c r="TL240" s="11"/>
      <c r="TM240" s="11"/>
      <c r="TN240" s="11"/>
      <c r="TO240" s="11"/>
      <c r="TP240" s="11"/>
      <c r="TQ240" s="11"/>
      <c r="TR240" s="11"/>
      <c r="TS240" s="11"/>
      <c r="TT240" s="11"/>
      <c r="TU240" s="11"/>
      <c r="TV240" s="11"/>
      <c r="TW240" s="11"/>
      <c r="TX240" s="11"/>
      <c r="TY240" s="11"/>
      <c r="TZ240" s="11"/>
      <c r="UA240" s="11"/>
      <c r="UB240" s="11"/>
      <c r="UC240" s="11"/>
      <c r="UD240" s="11"/>
      <c r="UE240" s="11"/>
      <c r="UF240" s="11"/>
      <c r="UG240" s="11"/>
      <c r="UH240" s="11"/>
      <c r="UI240" s="11"/>
      <c r="UJ240" s="11"/>
      <c r="UK240" s="11"/>
      <c r="UL240" s="11"/>
      <c r="UM240" s="11"/>
      <c r="UN240" s="11"/>
      <c r="UO240" s="11"/>
      <c r="UP240" s="11"/>
      <c r="UQ240" s="11"/>
      <c r="UR240" s="11"/>
      <c r="US240" s="11"/>
      <c r="UT240" s="11"/>
      <c r="UU240" s="11"/>
      <c r="UV240" s="11"/>
      <c r="UW240" s="11"/>
      <c r="UX240" s="11"/>
      <c r="UY240" s="11"/>
      <c r="UZ240" s="11"/>
      <c r="VA240" s="11"/>
      <c r="VB240" s="11"/>
      <c r="VC240" s="11"/>
      <c r="VD240" s="11"/>
      <c r="VE240" s="11"/>
      <c r="VF240" s="11"/>
      <c r="VG240" s="11"/>
      <c r="VH240" s="11"/>
      <c r="VI240" s="11"/>
      <c r="VJ240" s="11"/>
      <c r="VK240" s="11"/>
      <c r="VL240" s="11"/>
      <c r="VM240" s="11"/>
      <c r="VN240" s="11"/>
      <c r="VO240" s="11"/>
      <c r="VP240" s="11"/>
      <c r="VQ240" s="11"/>
      <c r="VR240" s="11"/>
      <c r="VS240" s="11"/>
      <c r="VT240" s="11"/>
      <c r="VU240" s="11"/>
      <c r="VV240" s="11"/>
      <c r="VW240" s="11"/>
      <c r="VX240" s="11"/>
      <c r="VY240" s="11"/>
      <c r="VZ240" s="11"/>
      <c r="WA240" s="11"/>
      <c r="WB240" s="11"/>
      <c r="WC240" s="11"/>
      <c r="WD240" s="11"/>
      <c r="WE240" s="11"/>
      <c r="WF240" s="11"/>
      <c r="WG240" s="11"/>
      <c r="WH240" s="11"/>
      <c r="WI240" s="11"/>
      <c r="WJ240" s="11"/>
      <c r="WK240" s="11"/>
      <c r="WL240" s="11"/>
      <c r="WM240" s="11"/>
      <c r="WN240" s="11"/>
      <c r="WO240" s="11"/>
      <c r="WP240" s="11"/>
      <c r="WQ240" s="11"/>
      <c r="WR240" s="11"/>
      <c r="WS240" s="11"/>
      <c r="WT240" s="11"/>
      <c r="WU240" s="11"/>
      <c r="WV240" s="11"/>
      <c r="WW240" s="11"/>
      <c r="WX240" s="11"/>
      <c r="WY240" s="11"/>
      <c r="WZ240" s="11"/>
      <c r="XA240" s="11"/>
      <c r="XB240" s="11"/>
      <c r="XC240" s="11"/>
      <c r="XD240" s="11"/>
      <c r="XE240" s="11"/>
      <c r="XF240" s="11"/>
      <c r="XG240" s="11"/>
      <c r="XH240" s="11"/>
      <c r="XI240" s="11"/>
      <c r="XJ240" s="11"/>
      <c r="XK240" s="11"/>
      <c r="XL240" s="11"/>
      <c r="XM240" s="11"/>
      <c r="XN240" s="11"/>
      <c r="XO240" s="11"/>
      <c r="XP240" s="11"/>
      <c r="XQ240" s="11"/>
      <c r="XR240" s="11"/>
      <c r="XS240" s="11"/>
      <c r="XT240" s="11"/>
      <c r="XU240" s="11"/>
      <c r="XV240" s="11"/>
      <c r="XW240" s="11"/>
      <c r="XX240" s="11"/>
      <c r="XY240" s="11"/>
      <c r="XZ240" s="11"/>
      <c r="YA240" s="11"/>
      <c r="YB240" s="11"/>
      <c r="YC240" s="11"/>
      <c r="YD240" s="11"/>
      <c r="YE240" s="11"/>
      <c r="YF240" s="11"/>
      <c r="YG240" s="11"/>
      <c r="YH240" s="11"/>
      <c r="YI240" s="11"/>
      <c r="YJ240" s="11"/>
      <c r="YK240" s="11"/>
      <c r="YL240" s="11"/>
      <c r="YM240" s="11"/>
      <c r="YN240" s="11"/>
      <c r="YO240" s="11"/>
      <c r="YP240" s="11"/>
      <c r="YQ240" s="11"/>
      <c r="YR240" s="11"/>
      <c r="YS240" s="11"/>
      <c r="YT240" s="11"/>
      <c r="YU240" s="11"/>
      <c r="YV240" s="11"/>
      <c r="YW240" s="11"/>
      <c r="YX240" s="11"/>
      <c r="YY240" s="11"/>
      <c r="YZ240" s="11"/>
      <c r="ZA240" s="11"/>
      <c r="ZB240" s="11"/>
      <c r="ZC240" s="11"/>
      <c r="ZD240" s="11"/>
      <c r="ZE240" s="11"/>
      <c r="ZF240" s="11"/>
      <c r="ZG240" s="11"/>
      <c r="ZH240" s="11"/>
      <c r="ZI240" s="11"/>
      <c r="ZJ240" s="11"/>
      <c r="ZK240" s="11"/>
      <c r="ZL240" s="11"/>
      <c r="ZM240" s="11"/>
      <c r="ZN240" s="11"/>
      <c r="ZO240" s="11"/>
      <c r="ZP240" s="11"/>
      <c r="ZQ240" s="11"/>
      <c r="ZR240" s="11"/>
      <c r="ZS240" s="11"/>
      <c r="ZT240" s="11"/>
      <c r="ZU240" s="11"/>
      <c r="ZV240" s="11"/>
      <c r="ZW240" s="11"/>
      <c r="ZX240" s="11"/>
      <c r="ZY240" s="11"/>
      <c r="ZZ240" s="11"/>
      <c r="AAA240" s="11"/>
      <c r="AAB240" s="11"/>
      <c r="AAC240" s="11"/>
      <c r="AAD240" s="11"/>
      <c r="AAE240" s="11"/>
      <c r="AAF240" s="11"/>
      <c r="AAG240" s="11"/>
      <c r="AAH240" s="11"/>
      <c r="AAI240" s="11"/>
      <c r="AAJ240" s="11"/>
      <c r="AAK240" s="11"/>
      <c r="AAL240" s="11"/>
      <c r="AAM240" s="11"/>
      <c r="AAN240" s="11"/>
      <c r="AAO240" s="11"/>
      <c r="AAP240" s="11"/>
      <c r="AAQ240" s="11"/>
      <c r="AAR240" s="11"/>
      <c r="AAS240" s="11"/>
      <c r="AAT240" s="11"/>
      <c r="AAU240" s="11"/>
      <c r="AAV240" s="11"/>
      <c r="AAW240" s="11"/>
      <c r="AAX240" s="11"/>
      <c r="AAY240" s="11"/>
      <c r="AAZ240" s="11"/>
      <c r="ABA240" s="11"/>
      <c r="ABB240" s="11"/>
      <c r="ABC240" s="11"/>
      <c r="ABD240" s="11"/>
      <c r="ABE240" s="11"/>
      <c r="ABF240" s="11"/>
      <c r="ABG240" s="11"/>
      <c r="ABH240" s="11"/>
      <c r="ABI240" s="11"/>
      <c r="ABJ240" s="11"/>
      <c r="ABK240" s="11"/>
      <c r="ABL240" s="11"/>
      <c r="ABM240" s="11"/>
      <c r="ABN240" s="11"/>
      <c r="ABO240" s="11"/>
      <c r="ABP240" s="11"/>
      <c r="ABQ240" s="11"/>
      <c r="ABR240" s="11"/>
      <c r="ABS240" s="11"/>
      <c r="ABT240" s="11"/>
      <c r="ABU240" s="11"/>
      <c r="ABV240" s="11"/>
      <c r="ABW240" s="11"/>
      <c r="ABX240" s="11"/>
      <c r="ABY240" s="11"/>
      <c r="ABZ240" s="11"/>
      <c r="ACA240" s="11"/>
      <c r="ACB240" s="11"/>
      <c r="ACC240" s="11"/>
      <c r="ACD240" s="11"/>
      <c r="ACE240" s="11"/>
      <c r="ACF240" s="11"/>
      <c r="ACG240" s="11"/>
      <c r="ACH240" s="11"/>
      <c r="ACI240" s="11"/>
      <c r="ACJ240" s="11"/>
      <c r="ACK240" s="11"/>
      <c r="ACL240" s="11"/>
      <c r="ACM240" s="11"/>
      <c r="ACN240" s="11"/>
      <c r="ACO240" s="11"/>
      <c r="ACP240" s="11"/>
      <c r="ACQ240" s="11"/>
      <c r="ACR240" s="11"/>
      <c r="ACS240" s="11"/>
      <c r="ACT240" s="11"/>
      <c r="ACU240" s="11"/>
      <c r="ACV240" s="11"/>
      <c r="ACW240" s="11"/>
      <c r="ACX240" s="11"/>
      <c r="ACY240" s="11"/>
      <c r="ACZ240" s="11"/>
      <c r="ADA240" s="11"/>
      <c r="ADB240" s="11"/>
      <c r="ADC240" s="11"/>
      <c r="ADD240" s="11"/>
      <c r="ADE240" s="11"/>
      <c r="ADF240" s="11"/>
      <c r="ADG240" s="11"/>
      <c r="ADH240" s="11"/>
      <c r="ADI240" s="11"/>
      <c r="ADJ240" s="11"/>
      <c r="ADK240" s="11"/>
      <c r="ADL240" s="11"/>
      <c r="ADM240" s="11"/>
      <c r="ADN240" s="11"/>
      <c r="ADO240" s="11"/>
      <c r="ADP240" s="11"/>
      <c r="ADQ240" s="11"/>
      <c r="ADR240" s="11"/>
      <c r="ADS240" s="11"/>
      <c r="ADT240" s="11"/>
      <c r="ADU240" s="11"/>
      <c r="ADV240" s="11"/>
      <c r="ADW240" s="11"/>
      <c r="ADX240" s="11"/>
      <c r="ADY240" s="11"/>
      <c r="ADZ240" s="11"/>
      <c r="AEA240" s="11"/>
      <c r="AEB240" s="11"/>
      <c r="AEC240" s="11"/>
      <c r="AED240" s="11"/>
      <c r="AEE240" s="11"/>
      <c r="AEF240" s="11"/>
      <c r="AEG240" s="11"/>
      <c r="AEH240" s="11"/>
      <c r="AEI240" s="11"/>
      <c r="AEJ240" s="11"/>
      <c r="AEK240" s="11"/>
      <c r="AEL240" s="11"/>
      <c r="AEM240" s="11"/>
      <c r="AEN240" s="11"/>
      <c r="AEO240" s="11"/>
      <c r="AEP240" s="11"/>
      <c r="AEQ240" s="11"/>
      <c r="AER240" s="11"/>
      <c r="AES240" s="11"/>
      <c r="AET240" s="11"/>
      <c r="AEU240" s="11"/>
      <c r="AEV240" s="11"/>
      <c r="AEW240" s="11"/>
      <c r="AEX240" s="11"/>
      <c r="AEY240" s="11"/>
      <c r="AEZ240" s="11"/>
      <c r="AFA240" s="11"/>
      <c r="AFB240" s="11"/>
      <c r="AFC240" s="11"/>
      <c r="AFD240" s="11"/>
      <c r="AFE240" s="11"/>
      <c r="AFF240" s="11"/>
      <c r="AFG240" s="11"/>
      <c r="AFH240" s="11"/>
      <c r="AFI240" s="11"/>
      <c r="AFJ240" s="11"/>
      <c r="AFK240" s="11"/>
      <c r="AFL240" s="11"/>
      <c r="AFM240" s="11"/>
      <c r="AFN240" s="11"/>
      <c r="AFO240" s="11"/>
      <c r="AFP240" s="11"/>
      <c r="AFQ240" s="11"/>
      <c r="AFR240" s="11"/>
      <c r="AFS240" s="11"/>
      <c r="AFT240" s="11"/>
      <c r="AFU240" s="11"/>
      <c r="AFV240" s="11"/>
      <c r="AFW240" s="11"/>
      <c r="AFX240" s="11"/>
      <c r="AFY240" s="11"/>
      <c r="AFZ240" s="11"/>
      <c r="AGA240" s="11"/>
      <c r="AGB240" s="11"/>
      <c r="AGC240" s="11"/>
      <c r="AGD240" s="11"/>
      <c r="AGE240" s="11"/>
      <c r="AGF240" s="11"/>
      <c r="AGG240" s="11"/>
      <c r="AGH240" s="11"/>
      <c r="AGI240" s="11"/>
      <c r="AGJ240" s="11"/>
      <c r="AGK240" s="11"/>
      <c r="AGL240" s="11"/>
      <c r="AGM240" s="11"/>
      <c r="AGN240" s="11"/>
      <c r="AGO240" s="11"/>
      <c r="AGP240" s="11"/>
      <c r="AGQ240" s="11"/>
      <c r="AGR240" s="11"/>
      <c r="AGS240" s="11"/>
      <c r="AGT240" s="11"/>
      <c r="AGU240" s="11"/>
      <c r="AGV240" s="11"/>
      <c r="AGW240" s="11"/>
      <c r="AGX240" s="11"/>
      <c r="AGY240" s="11"/>
      <c r="AGZ240" s="11"/>
      <c r="AHA240" s="11"/>
      <c r="AHB240" s="11"/>
      <c r="AHC240" s="11"/>
      <c r="AHD240" s="11"/>
      <c r="AHE240" s="11"/>
      <c r="AHF240" s="11"/>
      <c r="AHG240" s="11"/>
      <c r="AHH240" s="11"/>
      <c r="AHI240" s="11"/>
      <c r="AHJ240" s="11"/>
      <c r="AHK240" s="11"/>
      <c r="AHL240" s="11"/>
      <c r="AHM240" s="11"/>
      <c r="AHN240" s="11"/>
      <c r="AHO240" s="11"/>
      <c r="AHP240" s="11"/>
      <c r="AHQ240" s="11"/>
      <c r="AHR240" s="11"/>
      <c r="AHS240" s="11"/>
      <c r="AHT240" s="11"/>
      <c r="AHU240" s="11"/>
      <c r="AHV240" s="11"/>
      <c r="AHW240" s="11"/>
      <c r="AHX240" s="11"/>
      <c r="AHY240" s="11"/>
      <c r="AHZ240" s="11"/>
      <c r="AIA240" s="11"/>
      <c r="AIB240" s="11"/>
      <c r="AIC240" s="11"/>
      <c r="AID240" s="11"/>
      <c r="AIE240" s="11"/>
      <c r="AIF240" s="11"/>
      <c r="AIG240" s="11"/>
      <c r="AIH240" s="11"/>
      <c r="AII240" s="11"/>
      <c r="AIJ240" s="11"/>
      <c r="AIK240" s="11"/>
      <c r="AIL240" s="11"/>
      <c r="AIM240" s="11"/>
      <c r="AIN240" s="11"/>
      <c r="AIO240" s="11"/>
      <c r="AIP240" s="11"/>
      <c r="AIQ240" s="11"/>
      <c r="AIR240" s="11"/>
      <c r="AIS240" s="11"/>
      <c r="AIT240" s="11"/>
      <c r="AIU240" s="11"/>
      <c r="AIV240" s="11"/>
      <c r="AIW240" s="11"/>
      <c r="AIX240" s="11"/>
      <c r="AIY240" s="11"/>
      <c r="AIZ240" s="11"/>
      <c r="AJA240" s="11"/>
      <c r="AJB240" s="11"/>
      <c r="AJC240" s="11"/>
      <c r="AJD240" s="11"/>
      <c r="AJE240" s="11"/>
      <c r="AJF240" s="11"/>
      <c r="AJG240" s="11"/>
      <c r="AJH240" s="11"/>
      <c r="AJI240" s="11"/>
      <c r="AJJ240" s="11"/>
      <c r="AJK240" s="11"/>
      <c r="AJL240" s="11"/>
      <c r="AJM240" s="11"/>
      <c r="AJN240" s="11"/>
      <c r="AJO240" s="11"/>
      <c r="AJP240" s="11"/>
      <c r="AJQ240" s="11"/>
      <c r="AJR240" s="11"/>
      <c r="AJS240" s="11"/>
      <c r="AJT240" s="11"/>
      <c r="AJU240" s="11"/>
      <c r="AJV240" s="11"/>
      <c r="AJW240" s="11"/>
      <c r="AJX240" s="11"/>
      <c r="AJY240" s="11"/>
      <c r="AJZ240" s="11"/>
      <c r="AKA240" s="11"/>
      <c r="AKB240" s="11"/>
      <c r="AKC240" s="11"/>
      <c r="AKD240" s="11"/>
      <c r="AKE240" s="11"/>
      <c r="AKF240" s="11"/>
      <c r="AKG240" s="11"/>
      <c r="AKH240" s="11"/>
      <c r="AKI240" s="11"/>
      <c r="AKJ240" s="11"/>
      <c r="AKK240" s="11"/>
      <c r="AKL240" s="11"/>
      <c r="AKM240" s="11"/>
      <c r="AKN240" s="11"/>
      <c r="AKO240" s="11"/>
      <c r="AKP240" s="11"/>
      <c r="AKQ240" s="11"/>
      <c r="AKR240" s="11"/>
      <c r="AKS240" s="11"/>
      <c r="AKT240" s="11"/>
      <c r="AKU240" s="11"/>
      <c r="AKV240" s="11"/>
      <c r="AKW240" s="11"/>
      <c r="AKX240" s="11"/>
      <c r="AKY240" s="11"/>
      <c r="AKZ240" s="11"/>
      <c r="ALA240" s="11"/>
      <c r="ALB240" s="11"/>
      <c r="ALC240" s="11"/>
      <c r="ALD240" s="11"/>
      <c r="ALE240" s="11"/>
      <c r="ALF240" s="11"/>
      <c r="ALG240" s="11"/>
      <c r="ALH240" s="11"/>
      <c r="ALI240" s="11"/>
      <c r="ALJ240" s="11"/>
      <c r="ALK240" s="11"/>
      <c r="ALL240" s="11"/>
      <c r="ALM240" s="11"/>
      <c r="ALN240" s="11"/>
      <c r="ALO240" s="11"/>
      <c r="ALP240" s="11"/>
      <c r="ALQ240" s="11"/>
      <c r="ALR240" s="11"/>
      <c r="ALS240" s="11"/>
      <c r="ALT240" s="11"/>
      <c r="ALU240" s="11"/>
      <c r="ALV240" s="11"/>
      <c r="ALW240" s="11"/>
      <c r="ALX240" s="11"/>
      <c r="ALY240" s="11"/>
      <c r="ALZ240" s="11"/>
      <c r="AMA240" s="11"/>
      <c r="AMB240" s="11"/>
      <c r="AMC240" s="11"/>
      <c r="AMD240" s="11"/>
      <c r="AME240" s="11"/>
      <c r="AMF240" s="11"/>
      <c r="AMG240" s="11"/>
      <c r="AMH240" s="11"/>
      <c r="AMI240" s="11"/>
      <c r="AMJ240" s="11"/>
      <c r="AMK240" s="11"/>
      <c r="AML240" s="11"/>
      <c r="AMM240" s="11"/>
      <c r="AMN240" s="11"/>
      <c r="AMO240" s="11"/>
      <c r="AMP240" s="11"/>
      <c r="AMQ240" s="11"/>
      <c r="AMR240" s="11"/>
      <c r="AMS240" s="11"/>
      <c r="AMT240" s="11"/>
      <c r="AMU240" s="11"/>
      <c r="AMV240" s="11"/>
      <c r="AMW240" s="11"/>
      <c r="AMX240" s="11"/>
      <c r="AMY240" s="11"/>
      <c r="AMZ240" s="11"/>
      <c r="ANA240" s="11"/>
      <c r="ANB240" s="11"/>
      <c r="ANC240" s="11"/>
      <c r="AND240" s="11"/>
      <c r="ANE240" s="11"/>
      <c r="ANF240" s="11"/>
      <c r="ANG240" s="11"/>
      <c r="ANH240" s="11"/>
      <c r="ANI240" s="11"/>
      <c r="ANJ240" s="11"/>
      <c r="ANK240" s="11"/>
      <c r="ANL240" s="11"/>
      <c r="ANM240" s="11"/>
      <c r="ANN240" s="11"/>
      <c r="ANO240" s="11"/>
      <c r="ANP240" s="11"/>
      <c r="ANQ240" s="11"/>
      <c r="ANR240" s="11"/>
      <c r="ANS240" s="11"/>
      <c r="ANT240" s="11"/>
      <c r="ANU240" s="11"/>
      <c r="ANV240" s="11"/>
      <c r="ANW240" s="11"/>
      <c r="ANX240" s="11"/>
      <c r="ANY240" s="11"/>
      <c r="ANZ240" s="11"/>
      <c r="AOA240" s="11"/>
      <c r="AOB240" s="11"/>
      <c r="AOC240" s="11"/>
      <c r="AOD240" s="11"/>
      <c r="AOE240" s="11"/>
      <c r="AOF240" s="11"/>
      <c r="AOG240" s="11"/>
      <c r="AOH240" s="11"/>
      <c r="AOI240" s="11"/>
      <c r="AOJ240" s="11"/>
      <c r="AOK240" s="11"/>
      <c r="AOL240" s="11"/>
      <c r="AOM240" s="11"/>
      <c r="AON240" s="11"/>
      <c r="AOO240" s="11"/>
      <c r="AOP240" s="11"/>
      <c r="AOQ240" s="11"/>
      <c r="AOR240" s="11"/>
      <c r="AOS240" s="11"/>
      <c r="AOT240" s="11"/>
      <c r="AOU240" s="11"/>
      <c r="AOV240" s="11"/>
      <c r="AOW240" s="11"/>
      <c r="AOX240" s="11"/>
      <c r="AOY240" s="11"/>
      <c r="AOZ240" s="11"/>
      <c r="APA240" s="11"/>
      <c r="APB240" s="11"/>
      <c r="APC240" s="11"/>
      <c r="APD240" s="11"/>
      <c r="APE240" s="11"/>
      <c r="APF240" s="11"/>
      <c r="APG240" s="11"/>
      <c r="APH240" s="11"/>
      <c r="API240" s="11"/>
      <c r="APJ240" s="11"/>
      <c r="APK240" s="11"/>
      <c r="APL240" s="11"/>
      <c r="APM240" s="11"/>
      <c r="APN240" s="11"/>
      <c r="APO240" s="11"/>
      <c r="APP240" s="11"/>
      <c r="APQ240" s="11"/>
      <c r="APR240" s="11"/>
      <c r="APS240" s="11"/>
      <c r="APT240" s="11"/>
      <c r="APU240" s="11"/>
      <c r="APV240" s="11"/>
      <c r="APW240" s="11"/>
      <c r="APX240" s="11"/>
      <c r="APY240" s="11"/>
      <c r="APZ240" s="11"/>
      <c r="AQA240" s="11"/>
      <c r="AQB240" s="11"/>
      <c r="AQC240" s="11"/>
      <c r="AQD240" s="11"/>
      <c r="AQE240" s="11"/>
      <c r="AQF240" s="11"/>
      <c r="AQG240" s="11"/>
      <c r="AQH240" s="11"/>
      <c r="AQI240" s="11"/>
      <c r="AQJ240" s="11"/>
      <c r="AQK240" s="11"/>
      <c r="AQL240" s="11"/>
      <c r="AQM240" s="11"/>
      <c r="AQN240" s="11"/>
      <c r="AQO240" s="11"/>
      <c r="AQP240" s="11"/>
      <c r="AQQ240" s="11"/>
      <c r="AQR240" s="11"/>
      <c r="AQS240" s="11"/>
      <c r="AQT240" s="11"/>
      <c r="AQU240" s="11"/>
      <c r="AQV240" s="11"/>
      <c r="AQW240" s="11"/>
      <c r="AQX240" s="11"/>
      <c r="AQY240" s="11"/>
      <c r="AQZ240" s="11"/>
      <c r="ARA240" s="11"/>
      <c r="ARB240" s="11"/>
      <c r="ARC240" s="11"/>
      <c r="ARD240" s="11"/>
      <c r="ARE240" s="11"/>
      <c r="ARF240" s="11"/>
      <c r="ARG240" s="11"/>
      <c r="ARH240" s="11"/>
      <c r="ARI240" s="11"/>
      <c r="ARJ240" s="11"/>
      <c r="ARK240" s="11"/>
      <c r="ARL240" s="11"/>
      <c r="ARM240" s="11"/>
      <c r="ARN240" s="11"/>
      <c r="ARO240" s="11"/>
      <c r="ARP240" s="11"/>
      <c r="ARQ240" s="11"/>
      <c r="ARR240" s="11"/>
      <c r="ARS240" s="11"/>
      <c r="ART240" s="11"/>
      <c r="ARU240" s="11"/>
      <c r="ARV240" s="11"/>
      <c r="ARW240" s="11"/>
      <c r="ARX240" s="11"/>
      <c r="ARY240" s="11"/>
      <c r="ARZ240" s="11"/>
      <c r="ASA240" s="11"/>
      <c r="ASB240" s="11"/>
      <c r="ASC240" s="11"/>
      <c r="ASD240" s="11"/>
      <c r="ASE240" s="11"/>
      <c r="ASF240" s="11"/>
      <c r="ASG240" s="11"/>
      <c r="ASH240" s="11"/>
      <c r="ASI240" s="11"/>
      <c r="ASJ240" s="11"/>
      <c r="ASK240" s="11"/>
      <c r="ASL240" s="11"/>
      <c r="ASM240" s="11"/>
      <c r="ASN240" s="11"/>
      <c r="ASO240" s="11"/>
      <c r="ASP240" s="11"/>
      <c r="ASQ240" s="11"/>
      <c r="ASR240" s="11"/>
      <c r="ASS240" s="11"/>
      <c r="AST240" s="11"/>
      <c r="ASU240" s="11"/>
      <c r="ASV240" s="11"/>
      <c r="ASW240" s="11"/>
      <c r="ASX240" s="11"/>
      <c r="ASY240" s="11"/>
      <c r="ASZ240" s="11"/>
      <c r="ATA240" s="11"/>
      <c r="ATB240" s="11"/>
      <c r="ATC240" s="11"/>
      <c r="ATD240" s="11"/>
      <c r="ATE240" s="11"/>
      <c r="ATF240" s="11"/>
      <c r="ATG240" s="11"/>
      <c r="ATH240" s="11"/>
      <c r="ATI240" s="11"/>
      <c r="ATJ240" s="11"/>
      <c r="ATK240" s="11"/>
      <c r="ATL240" s="11"/>
      <c r="ATM240" s="11"/>
      <c r="ATN240" s="11"/>
      <c r="ATO240" s="11"/>
      <c r="ATP240" s="11"/>
      <c r="ATQ240" s="11"/>
      <c r="ATR240" s="11"/>
      <c r="ATS240" s="11"/>
      <c r="ATT240" s="11"/>
      <c r="ATU240" s="11"/>
      <c r="ATV240" s="11"/>
      <c r="ATW240" s="11"/>
      <c r="ATX240" s="11"/>
      <c r="ATY240" s="11"/>
      <c r="ATZ240" s="11"/>
      <c r="AUA240" s="11"/>
      <c r="AUB240" s="11"/>
      <c r="AUC240" s="11"/>
      <c r="AUD240" s="11"/>
      <c r="AUE240" s="11"/>
      <c r="AUF240" s="11"/>
      <c r="AUG240" s="11"/>
      <c r="AUH240" s="11"/>
      <c r="AUI240" s="11"/>
      <c r="AUJ240" s="11"/>
      <c r="AUK240" s="11"/>
      <c r="AUL240" s="11"/>
      <c r="AUM240" s="11"/>
      <c r="AUN240" s="11"/>
      <c r="AUO240" s="11"/>
      <c r="AUP240" s="11"/>
      <c r="AUQ240" s="11"/>
      <c r="AUR240" s="11"/>
      <c r="AUS240" s="11"/>
      <c r="AUT240" s="11"/>
      <c r="AUU240" s="11"/>
      <c r="AUV240" s="11"/>
      <c r="AUW240" s="11"/>
      <c r="AUX240" s="11"/>
      <c r="AUY240" s="11"/>
      <c r="AUZ240" s="11"/>
      <c r="AVA240" s="11"/>
      <c r="AVB240" s="11"/>
      <c r="AVC240" s="11"/>
      <c r="AVD240" s="11"/>
      <c r="AVE240" s="11"/>
      <c r="AVF240" s="11"/>
      <c r="AVG240" s="11"/>
      <c r="AVH240" s="11"/>
      <c r="AVI240" s="11"/>
      <c r="AVJ240" s="11"/>
      <c r="AVK240" s="11"/>
      <c r="AVL240" s="11"/>
      <c r="AVM240" s="11"/>
      <c r="AVN240" s="11"/>
      <c r="AVO240" s="11"/>
      <c r="AVP240" s="11"/>
      <c r="AVQ240" s="11"/>
      <c r="AVR240" s="11"/>
      <c r="AVS240" s="11"/>
      <c r="AVT240" s="11"/>
      <c r="AVU240" s="11"/>
      <c r="AVV240" s="11"/>
      <c r="AVW240" s="11"/>
      <c r="AVX240" s="11"/>
      <c r="AVY240" s="11"/>
      <c r="AVZ240" s="11"/>
      <c r="AWA240" s="11"/>
      <c r="AWB240" s="11"/>
      <c r="AWC240" s="11"/>
      <c r="AWD240" s="11"/>
      <c r="AWE240" s="11"/>
      <c r="AWF240" s="11"/>
      <c r="AWG240" s="11"/>
      <c r="AWH240" s="11"/>
      <c r="AWI240" s="11"/>
      <c r="AWJ240" s="11"/>
      <c r="AWK240" s="11"/>
      <c r="AWL240" s="11"/>
      <c r="AWM240" s="11"/>
      <c r="AWN240" s="11"/>
      <c r="AWO240" s="11"/>
      <c r="AWP240" s="11"/>
      <c r="AWQ240" s="11"/>
      <c r="AWR240" s="11"/>
      <c r="AWS240" s="11"/>
      <c r="AWT240" s="11"/>
      <c r="AWU240" s="11"/>
      <c r="AWV240" s="11"/>
      <c r="AWW240" s="11"/>
      <c r="AWX240" s="11"/>
      <c r="AWY240" s="11"/>
      <c r="AWZ240" s="11"/>
      <c r="AXA240" s="11"/>
      <c r="AXB240" s="11"/>
      <c r="AXC240" s="11"/>
      <c r="AXD240" s="11"/>
      <c r="AXE240" s="11"/>
      <c r="AXF240" s="11"/>
      <c r="AXG240" s="11"/>
      <c r="AXH240" s="11"/>
      <c r="AXI240" s="11"/>
      <c r="AXJ240" s="11"/>
      <c r="AXK240" s="11"/>
      <c r="AXL240" s="11"/>
      <c r="AXM240" s="11"/>
      <c r="AXN240" s="11"/>
      <c r="AXO240" s="11"/>
      <c r="AXP240" s="11"/>
      <c r="AXQ240" s="11"/>
      <c r="AXR240" s="11"/>
      <c r="AXS240" s="11"/>
      <c r="AXT240" s="11"/>
      <c r="AXU240" s="11"/>
      <c r="AXV240" s="11"/>
      <c r="AXW240" s="11"/>
      <c r="AXX240" s="11"/>
      <c r="AXY240" s="11"/>
      <c r="AXZ240" s="11"/>
      <c r="AYA240" s="11"/>
      <c r="AYB240" s="11"/>
      <c r="AYC240" s="11"/>
      <c r="AYD240" s="11"/>
      <c r="AYE240" s="11"/>
      <c r="AYF240" s="11"/>
      <c r="AYG240" s="11"/>
      <c r="AYH240" s="11"/>
      <c r="AYI240" s="11"/>
      <c r="AYJ240" s="11"/>
      <c r="AYK240" s="11"/>
      <c r="AYL240" s="11"/>
      <c r="AYM240" s="11"/>
      <c r="AYN240" s="11"/>
      <c r="AYO240" s="11"/>
      <c r="AYP240" s="11"/>
      <c r="AYQ240" s="11"/>
      <c r="AYR240" s="11"/>
      <c r="AYS240" s="11"/>
      <c r="AYT240" s="11"/>
      <c r="AYU240" s="11"/>
      <c r="AYV240" s="11"/>
      <c r="AYW240" s="11"/>
      <c r="AYX240" s="11"/>
      <c r="AYY240" s="11"/>
      <c r="AYZ240" s="11"/>
      <c r="AZA240" s="11"/>
      <c r="AZB240" s="11"/>
      <c r="AZC240" s="11"/>
      <c r="AZD240" s="11"/>
      <c r="AZE240" s="11"/>
      <c r="AZF240" s="11"/>
      <c r="AZG240" s="11"/>
      <c r="AZH240" s="11"/>
      <c r="AZI240" s="11"/>
      <c r="AZJ240" s="11"/>
      <c r="AZK240" s="11"/>
      <c r="AZL240" s="11"/>
      <c r="AZM240" s="11"/>
      <c r="AZN240" s="11"/>
      <c r="AZO240" s="11"/>
      <c r="AZP240" s="11"/>
      <c r="AZQ240" s="11"/>
      <c r="AZR240" s="11"/>
      <c r="AZS240" s="11"/>
      <c r="AZT240" s="11"/>
      <c r="AZU240" s="11"/>
      <c r="AZV240" s="11"/>
      <c r="AZW240" s="11"/>
      <c r="AZX240" s="11"/>
      <c r="AZY240" s="11"/>
      <c r="AZZ240" s="11"/>
      <c r="BAA240" s="11"/>
      <c r="BAB240" s="11"/>
      <c r="BAC240" s="11"/>
      <c r="BAD240" s="11"/>
      <c r="BAE240" s="11"/>
      <c r="BAF240" s="11"/>
      <c r="BAG240" s="11"/>
      <c r="BAH240" s="11"/>
      <c r="BAI240" s="11"/>
      <c r="BAJ240" s="11"/>
      <c r="BAK240" s="11"/>
      <c r="BAL240" s="11"/>
      <c r="BAM240" s="11"/>
      <c r="BAN240" s="11"/>
      <c r="BAO240" s="11"/>
      <c r="BAP240" s="11"/>
      <c r="BAQ240" s="11"/>
      <c r="BAR240" s="11"/>
      <c r="BAS240" s="11"/>
      <c r="BAT240" s="11"/>
      <c r="BAU240" s="11"/>
      <c r="BAV240" s="11"/>
      <c r="BAW240" s="11"/>
      <c r="BAX240" s="11"/>
      <c r="BAY240" s="11"/>
      <c r="BAZ240" s="11"/>
      <c r="BBA240" s="11"/>
      <c r="BBB240" s="11"/>
      <c r="BBC240" s="11"/>
      <c r="BBD240" s="11"/>
      <c r="BBE240" s="11"/>
      <c r="BBF240" s="11"/>
      <c r="BBG240" s="11"/>
      <c r="BBH240" s="11"/>
      <c r="BBI240" s="11"/>
      <c r="BBJ240" s="11"/>
      <c r="BBK240" s="11"/>
      <c r="BBL240" s="11"/>
      <c r="BBM240" s="11"/>
      <c r="BBN240" s="11"/>
      <c r="BBO240" s="11"/>
      <c r="BBP240" s="11"/>
      <c r="BBQ240" s="11"/>
      <c r="BBR240" s="11"/>
      <c r="BBS240" s="11"/>
      <c r="BBT240" s="11"/>
      <c r="BBU240" s="11"/>
      <c r="BBV240" s="11"/>
      <c r="BBW240" s="11"/>
      <c r="BBX240" s="11"/>
      <c r="BBY240" s="11"/>
      <c r="BBZ240" s="11"/>
      <c r="BCA240" s="11"/>
      <c r="BCB240" s="11"/>
      <c r="BCC240" s="11"/>
      <c r="BCD240" s="11"/>
      <c r="BCE240" s="11"/>
      <c r="BCF240" s="11"/>
      <c r="BCG240" s="11"/>
      <c r="BCH240" s="11"/>
      <c r="BCI240" s="11"/>
      <c r="BCJ240" s="11"/>
      <c r="BCK240" s="11"/>
      <c r="BCL240" s="11"/>
      <c r="BCM240" s="11"/>
      <c r="BCN240" s="11"/>
      <c r="BCO240" s="11"/>
      <c r="BCP240" s="11"/>
      <c r="BCQ240" s="11"/>
      <c r="BCR240" s="11"/>
      <c r="BCS240" s="11"/>
      <c r="BCT240" s="11"/>
      <c r="BCU240" s="11"/>
      <c r="BCV240" s="11"/>
      <c r="BCW240" s="11"/>
      <c r="BCX240" s="11"/>
      <c r="BCY240" s="11"/>
      <c r="BCZ240" s="11"/>
      <c r="BDA240" s="11"/>
      <c r="BDB240" s="11"/>
      <c r="BDC240" s="11"/>
      <c r="BDD240" s="11"/>
      <c r="BDE240" s="11"/>
      <c r="BDF240" s="11"/>
      <c r="BDG240" s="11"/>
      <c r="BDH240" s="11"/>
      <c r="BDI240" s="11"/>
      <c r="BDJ240" s="11"/>
      <c r="BDK240" s="11"/>
      <c r="BDL240" s="11"/>
      <c r="BDM240" s="11"/>
      <c r="BDN240" s="11"/>
      <c r="BDO240" s="11"/>
      <c r="BDP240" s="11"/>
      <c r="BDQ240" s="11"/>
      <c r="BDR240" s="11"/>
      <c r="BDS240" s="11"/>
      <c r="BDT240" s="11"/>
      <c r="BDU240" s="11"/>
      <c r="BDV240" s="11"/>
      <c r="BDW240" s="11"/>
      <c r="BDX240" s="11"/>
      <c r="BDY240" s="11"/>
      <c r="BDZ240" s="11"/>
      <c r="BEA240" s="11"/>
      <c r="BEB240" s="11"/>
      <c r="BEC240" s="11"/>
      <c r="BED240" s="11"/>
      <c r="BEE240" s="11"/>
      <c r="BEF240" s="11"/>
      <c r="BEG240" s="11"/>
      <c r="BEH240" s="11"/>
      <c r="BEI240" s="11"/>
      <c r="BEJ240" s="11"/>
      <c r="BEK240" s="11"/>
      <c r="BEL240" s="11"/>
      <c r="BEM240" s="11"/>
      <c r="BEN240" s="11"/>
      <c r="BEO240" s="11"/>
      <c r="BEP240" s="11"/>
      <c r="BEQ240" s="11"/>
      <c r="BER240" s="11"/>
      <c r="BES240" s="11"/>
      <c r="BET240" s="11"/>
      <c r="BEU240" s="11"/>
      <c r="BEV240" s="11"/>
      <c r="BEW240" s="11"/>
      <c r="BEX240" s="11"/>
      <c r="BEY240" s="11"/>
      <c r="BEZ240" s="11"/>
      <c r="BFA240" s="11"/>
      <c r="BFB240" s="11"/>
      <c r="BFC240" s="11"/>
      <c r="BFD240" s="11"/>
      <c r="BFE240" s="11"/>
      <c r="BFF240" s="11"/>
      <c r="BFG240" s="11"/>
      <c r="BFH240" s="11"/>
      <c r="BFI240" s="11"/>
      <c r="BFJ240" s="11"/>
      <c r="BFK240" s="11"/>
      <c r="BFL240" s="11"/>
      <c r="BFM240" s="11"/>
      <c r="BFN240" s="11"/>
      <c r="BFO240" s="11"/>
      <c r="BFP240" s="11"/>
      <c r="BFQ240" s="11"/>
      <c r="BFR240" s="11"/>
      <c r="BFS240" s="11"/>
      <c r="BFT240" s="11"/>
      <c r="BFU240" s="11"/>
      <c r="BFV240" s="11"/>
      <c r="BFW240" s="11"/>
      <c r="BFX240" s="11"/>
      <c r="BFY240" s="11"/>
      <c r="BFZ240" s="11"/>
      <c r="BGA240" s="11"/>
      <c r="BGB240" s="11"/>
      <c r="BGC240" s="11"/>
      <c r="BGD240" s="11"/>
      <c r="BGE240" s="11"/>
      <c r="BGF240" s="11"/>
      <c r="BGG240" s="11"/>
      <c r="BGH240" s="11"/>
      <c r="BGI240" s="11"/>
      <c r="BGJ240" s="11"/>
      <c r="BGK240" s="11"/>
      <c r="BGL240" s="11"/>
      <c r="BGM240" s="11"/>
      <c r="BGN240" s="11"/>
      <c r="BGO240" s="11"/>
      <c r="BGP240" s="11"/>
      <c r="BGQ240" s="11"/>
      <c r="BGR240" s="11"/>
      <c r="BGS240" s="11"/>
      <c r="BGT240" s="11"/>
      <c r="BGU240" s="11"/>
      <c r="BGV240" s="11"/>
      <c r="BGW240" s="11"/>
      <c r="BGX240" s="11"/>
      <c r="BGY240" s="11"/>
      <c r="BGZ240" s="11"/>
      <c r="BHA240" s="11"/>
      <c r="BHB240" s="11"/>
      <c r="BHC240" s="11"/>
      <c r="BHD240" s="11"/>
      <c r="BHE240" s="11"/>
      <c r="BHF240" s="11"/>
      <c r="BHG240" s="11"/>
      <c r="BHH240" s="11"/>
      <c r="BHI240" s="11"/>
      <c r="BHJ240" s="11"/>
      <c r="BHK240" s="11"/>
      <c r="BHL240" s="11"/>
      <c r="BHM240" s="11"/>
      <c r="BHN240" s="11"/>
      <c r="BHO240" s="11"/>
      <c r="BHP240" s="11"/>
      <c r="BHQ240" s="11"/>
      <c r="BHR240" s="11"/>
      <c r="BHS240" s="11"/>
      <c r="BHT240" s="11"/>
      <c r="BHU240" s="11"/>
      <c r="BHV240" s="11"/>
      <c r="BHW240" s="11"/>
      <c r="BHX240" s="11"/>
      <c r="BHY240" s="11"/>
      <c r="BHZ240" s="11"/>
      <c r="BIA240" s="11"/>
      <c r="BIB240" s="11"/>
      <c r="BIC240" s="11"/>
      <c r="BID240" s="11"/>
      <c r="BIE240" s="11"/>
      <c r="BIF240" s="11"/>
      <c r="BIG240" s="11"/>
      <c r="BIH240" s="11"/>
      <c r="BII240" s="11"/>
      <c r="BIJ240" s="11"/>
      <c r="BIK240" s="11"/>
      <c r="BIL240" s="11"/>
      <c r="BIM240" s="11"/>
      <c r="BIN240" s="11"/>
      <c r="BIO240" s="11"/>
      <c r="BIP240" s="11"/>
      <c r="BIQ240" s="11"/>
      <c r="BIR240" s="11"/>
      <c r="BIS240" s="11"/>
      <c r="BIT240" s="11"/>
      <c r="BIU240" s="11"/>
      <c r="BIV240" s="11"/>
      <c r="BIW240" s="11"/>
      <c r="BIX240" s="11"/>
      <c r="BIY240" s="11"/>
      <c r="BIZ240" s="11"/>
      <c r="BJA240" s="11"/>
      <c r="BJB240" s="11"/>
      <c r="BJC240" s="11"/>
      <c r="BJD240" s="11"/>
      <c r="BJE240" s="11"/>
      <c r="BJF240" s="11"/>
      <c r="BJG240" s="11"/>
      <c r="BJH240" s="11"/>
      <c r="BJI240" s="11"/>
      <c r="BJJ240" s="11"/>
      <c r="BJK240" s="11"/>
      <c r="BJL240" s="11"/>
      <c r="BJM240" s="11"/>
      <c r="BJN240" s="11"/>
      <c r="BJO240" s="11"/>
      <c r="BJP240" s="11"/>
      <c r="BJQ240" s="11"/>
      <c r="BJR240" s="11"/>
      <c r="BJS240" s="11"/>
      <c r="BJT240" s="11"/>
      <c r="BJU240" s="11"/>
      <c r="BJV240" s="11"/>
      <c r="BJW240" s="11"/>
      <c r="BJX240" s="11"/>
      <c r="BJY240" s="11"/>
      <c r="BJZ240" s="11"/>
      <c r="BKA240" s="11"/>
      <c r="BKB240" s="11"/>
      <c r="BKC240" s="11"/>
      <c r="BKD240" s="11"/>
      <c r="BKE240" s="11"/>
      <c r="BKF240" s="11"/>
      <c r="BKG240" s="11"/>
      <c r="BKH240" s="11"/>
      <c r="BKI240" s="11"/>
      <c r="BKJ240" s="11"/>
      <c r="BKK240" s="11"/>
      <c r="BKL240" s="11"/>
      <c r="BKM240" s="11"/>
      <c r="BKN240" s="11"/>
      <c r="BKO240" s="11"/>
      <c r="BKP240" s="11"/>
      <c r="BKQ240" s="11"/>
      <c r="BKR240" s="11"/>
      <c r="BKS240" s="11"/>
      <c r="BKT240" s="11"/>
      <c r="BKU240" s="11"/>
      <c r="BKV240" s="11"/>
      <c r="BKW240" s="11"/>
      <c r="BKX240" s="11"/>
      <c r="BKY240" s="11"/>
      <c r="BKZ240" s="11"/>
      <c r="BLA240" s="11"/>
      <c r="BLB240" s="11"/>
      <c r="BLC240" s="11"/>
      <c r="BLD240" s="11"/>
      <c r="BLE240" s="11"/>
      <c r="BLF240" s="11"/>
      <c r="BLG240" s="11"/>
      <c r="BLH240" s="11"/>
      <c r="BLI240" s="11"/>
      <c r="BLJ240" s="11"/>
      <c r="BLK240" s="11"/>
      <c r="BLL240" s="11"/>
      <c r="BLM240" s="11"/>
      <c r="BLN240" s="11"/>
      <c r="BLO240" s="11"/>
      <c r="BLP240" s="11"/>
      <c r="BLQ240" s="11"/>
      <c r="BLR240" s="11"/>
      <c r="BLS240" s="11"/>
      <c r="BLT240" s="11"/>
      <c r="BLU240" s="11"/>
      <c r="BLV240" s="11"/>
      <c r="BLW240" s="11"/>
      <c r="BLX240" s="11"/>
      <c r="BLY240" s="11"/>
      <c r="BLZ240" s="11"/>
      <c r="BMA240" s="11"/>
      <c r="BMB240" s="11"/>
      <c r="BMC240" s="11"/>
      <c r="BMD240" s="11"/>
      <c r="BME240" s="11"/>
      <c r="BMF240" s="11"/>
      <c r="BMG240" s="11"/>
      <c r="BMH240" s="11"/>
      <c r="BMI240" s="11"/>
      <c r="BMJ240" s="11"/>
      <c r="BMK240" s="11"/>
      <c r="BML240" s="11"/>
      <c r="BMM240" s="11"/>
      <c r="BMN240" s="11"/>
      <c r="BMO240" s="11"/>
      <c r="BMP240" s="11"/>
      <c r="BMQ240" s="11"/>
      <c r="BMR240" s="11"/>
      <c r="BMS240" s="11"/>
      <c r="BMT240" s="11"/>
      <c r="BMU240" s="11"/>
      <c r="BMV240" s="11"/>
      <c r="BMW240" s="11"/>
      <c r="BMX240" s="11"/>
      <c r="BMY240" s="11"/>
      <c r="BMZ240" s="11"/>
      <c r="BNA240" s="11"/>
      <c r="BNB240" s="11"/>
      <c r="BNC240" s="11"/>
      <c r="BND240" s="11"/>
      <c r="BNE240" s="11"/>
      <c r="BNF240" s="11"/>
      <c r="BNG240" s="11"/>
      <c r="BNH240" s="11"/>
      <c r="BNI240" s="11"/>
      <c r="BNJ240" s="11"/>
      <c r="BNK240" s="11"/>
      <c r="BNL240" s="11"/>
      <c r="BNM240" s="11"/>
      <c r="BNN240" s="11"/>
      <c r="BNO240" s="11"/>
      <c r="BNP240" s="11"/>
      <c r="BNQ240" s="11"/>
      <c r="BNR240" s="11"/>
      <c r="BNS240" s="11"/>
      <c r="BNT240" s="11"/>
      <c r="BNU240" s="11"/>
      <c r="BNV240" s="11"/>
      <c r="BNW240" s="11"/>
      <c r="BNX240" s="11"/>
      <c r="BNY240" s="11"/>
      <c r="BNZ240" s="11"/>
      <c r="BOA240" s="11"/>
      <c r="BOB240" s="11"/>
      <c r="BOC240" s="11"/>
      <c r="BOD240" s="11"/>
      <c r="BOE240" s="11"/>
      <c r="BOF240" s="11"/>
      <c r="BOG240" s="11"/>
      <c r="BOH240" s="11"/>
      <c r="BOI240" s="11"/>
      <c r="BOJ240" s="11"/>
      <c r="BOK240" s="11"/>
      <c r="BOL240" s="11"/>
      <c r="BOM240" s="11"/>
      <c r="BON240" s="11"/>
      <c r="BOO240" s="11"/>
      <c r="BOP240" s="11"/>
      <c r="BOQ240" s="11"/>
      <c r="BOR240" s="11"/>
      <c r="BOS240" s="11"/>
      <c r="BOT240" s="11"/>
      <c r="BOU240" s="11"/>
      <c r="BOV240" s="11"/>
      <c r="BOW240" s="11"/>
      <c r="BOX240" s="11"/>
      <c r="BOY240" s="11"/>
      <c r="BOZ240" s="11"/>
      <c r="BPA240" s="11"/>
      <c r="BPB240" s="11"/>
      <c r="BPC240" s="11"/>
      <c r="BPD240" s="11"/>
      <c r="BPE240" s="11"/>
      <c r="BPF240" s="11"/>
      <c r="BPG240" s="11"/>
      <c r="BPH240" s="11"/>
      <c r="BPI240" s="11"/>
      <c r="BPJ240" s="11"/>
      <c r="BPK240" s="11"/>
      <c r="BPL240" s="11"/>
      <c r="BPM240" s="11"/>
      <c r="BPN240" s="11"/>
      <c r="BPO240" s="11"/>
      <c r="BPP240" s="11"/>
      <c r="BPQ240" s="11"/>
      <c r="BPR240" s="11"/>
      <c r="BPS240" s="11"/>
      <c r="BPT240" s="11"/>
      <c r="BPU240" s="11"/>
      <c r="BPV240" s="11"/>
      <c r="BPW240" s="11"/>
      <c r="BPX240" s="11"/>
      <c r="BPY240" s="11"/>
      <c r="BPZ240" s="11"/>
      <c r="BQA240" s="11"/>
      <c r="BQB240" s="11"/>
      <c r="BQC240" s="11"/>
      <c r="BQD240" s="11"/>
      <c r="BQE240" s="11"/>
      <c r="BQF240" s="11"/>
      <c r="BQG240" s="11"/>
      <c r="BQH240" s="11"/>
      <c r="BQI240" s="11"/>
      <c r="BQJ240" s="11"/>
      <c r="BQK240" s="11"/>
      <c r="BQL240" s="11"/>
      <c r="BQM240" s="11"/>
      <c r="BQN240" s="11"/>
      <c r="BQO240" s="11"/>
      <c r="BQP240" s="11"/>
      <c r="BQQ240" s="11"/>
      <c r="BQR240" s="11"/>
      <c r="BQS240" s="11"/>
      <c r="BQT240" s="11"/>
      <c r="BQU240" s="11"/>
      <c r="BQV240" s="11"/>
      <c r="BQW240" s="11"/>
      <c r="BQX240" s="11"/>
      <c r="BQY240" s="11"/>
      <c r="BQZ240" s="11"/>
      <c r="BRA240" s="11"/>
      <c r="BRB240" s="11"/>
      <c r="BRC240" s="11"/>
      <c r="BRD240" s="11"/>
      <c r="BRE240" s="11"/>
      <c r="BRF240" s="11"/>
      <c r="BRG240" s="11"/>
      <c r="BRH240" s="11"/>
      <c r="BRI240" s="11"/>
      <c r="BRJ240" s="11"/>
      <c r="BRK240" s="11"/>
      <c r="BRL240" s="11"/>
      <c r="BRM240" s="11"/>
      <c r="BRN240" s="11"/>
      <c r="BRO240" s="11"/>
      <c r="BRP240" s="11"/>
      <c r="BRQ240" s="11"/>
      <c r="BRR240" s="11"/>
      <c r="BRS240" s="11"/>
      <c r="BRT240" s="11"/>
      <c r="BRU240" s="11"/>
      <c r="BRV240" s="11"/>
      <c r="BRW240" s="11"/>
      <c r="BRX240" s="11"/>
      <c r="BRY240" s="11"/>
      <c r="BRZ240" s="11"/>
      <c r="BSA240" s="11"/>
      <c r="BSB240" s="11"/>
      <c r="BSC240" s="11"/>
      <c r="BSD240" s="11"/>
      <c r="BSE240" s="11"/>
      <c r="BSF240" s="11"/>
      <c r="BSG240" s="11"/>
      <c r="BSH240" s="11"/>
      <c r="BSI240" s="11"/>
      <c r="BSJ240" s="11"/>
      <c r="BSK240" s="11"/>
      <c r="BSL240" s="11"/>
      <c r="BSM240" s="11"/>
      <c r="BSN240" s="11"/>
      <c r="BSO240" s="11"/>
      <c r="BSP240" s="11"/>
      <c r="BSQ240" s="11"/>
      <c r="BSR240" s="11"/>
      <c r="BSS240" s="11"/>
      <c r="BST240" s="11"/>
      <c r="BSU240" s="11"/>
      <c r="BSV240" s="11"/>
      <c r="BSW240" s="11"/>
      <c r="BSX240" s="11"/>
      <c r="BSY240" s="11"/>
      <c r="BSZ240" s="11"/>
      <c r="BTA240" s="11"/>
      <c r="BTB240" s="11"/>
      <c r="BTC240" s="11"/>
      <c r="BTD240" s="11"/>
      <c r="BTE240" s="11"/>
      <c r="BTF240" s="11"/>
      <c r="BTG240" s="11"/>
      <c r="BTH240" s="11"/>
      <c r="BTI240" s="11"/>
      <c r="BTJ240" s="11"/>
      <c r="BTK240" s="11"/>
      <c r="BTL240" s="11"/>
      <c r="BTM240" s="11"/>
      <c r="BTN240" s="11"/>
      <c r="BTO240" s="11"/>
      <c r="BTP240" s="11"/>
      <c r="BTQ240" s="11"/>
      <c r="BTR240" s="11"/>
      <c r="BTS240" s="11"/>
      <c r="BTT240" s="11"/>
      <c r="BTU240" s="11"/>
      <c r="BTV240" s="11"/>
      <c r="BTW240" s="11"/>
      <c r="BTX240" s="11"/>
      <c r="BTY240" s="11"/>
      <c r="BTZ240" s="11"/>
      <c r="BUA240" s="11"/>
      <c r="BUB240" s="11"/>
      <c r="BUC240" s="11"/>
      <c r="BUD240" s="11"/>
      <c r="BUE240" s="11"/>
      <c r="BUF240" s="11"/>
      <c r="BUG240" s="11"/>
      <c r="BUH240" s="11"/>
      <c r="BUI240" s="11"/>
      <c r="BUJ240" s="11"/>
      <c r="BUK240" s="11"/>
      <c r="BUL240" s="11"/>
      <c r="BUM240" s="11"/>
      <c r="BUN240" s="11"/>
      <c r="BUO240" s="11"/>
      <c r="BUP240" s="11"/>
      <c r="BUQ240" s="11"/>
      <c r="BUR240" s="11"/>
      <c r="BUS240" s="11"/>
      <c r="BUT240" s="11"/>
      <c r="BUU240" s="11"/>
      <c r="BUV240" s="11"/>
      <c r="BUW240" s="11"/>
      <c r="BUX240" s="11"/>
      <c r="BUY240" s="11"/>
      <c r="BUZ240" s="11"/>
      <c r="BVA240" s="11"/>
      <c r="BVB240" s="11"/>
      <c r="BVC240" s="11"/>
      <c r="BVD240" s="11"/>
      <c r="BVE240" s="11"/>
      <c r="BVF240" s="11"/>
      <c r="BVG240" s="11"/>
      <c r="BVH240" s="11"/>
      <c r="BVI240" s="11"/>
      <c r="BVJ240" s="11"/>
      <c r="BVK240" s="11"/>
      <c r="BVL240" s="11"/>
      <c r="BVM240" s="11"/>
      <c r="BVN240" s="11"/>
      <c r="BVO240" s="11"/>
      <c r="BVP240" s="11"/>
      <c r="BVQ240" s="11"/>
      <c r="BVR240" s="11"/>
      <c r="BVS240" s="11"/>
      <c r="BVT240" s="11"/>
      <c r="BVU240" s="11"/>
      <c r="BVV240" s="11"/>
      <c r="BVW240" s="11"/>
      <c r="BVX240" s="11"/>
      <c r="BVY240" s="11"/>
      <c r="BVZ240" s="11"/>
      <c r="BWA240" s="11"/>
      <c r="BWB240" s="11"/>
      <c r="BWC240" s="11"/>
      <c r="BWD240" s="11"/>
      <c r="BWE240" s="11"/>
      <c r="BWF240" s="11"/>
      <c r="BWG240" s="11"/>
      <c r="BWH240" s="11"/>
      <c r="BWI240" s="11"/>
      <c r="BWJ240" s="11"/>
      <c r="BWK240" s="11"/>
      <c r="BWL240" s="11"/>
      <c r="BWM240" s="11"/>
      <c r="BWN240" s="11"/>
      <c r="BWO240" s="11"/>
      <c r="BWP240" s="11"/>
      <c r="BWQ240" s="11"/>
      <c r="BWR240" s="11"/>
      <c r="BWS240" s="11"/>
      <c r="BWT240" s="11"/>
      <c r="BWU240" s="11"/>
      <c r="BWV240" s="11"/>
      <c r="BWW240" s="11"/>
      <c r="BWX240" s="11"/>
      <c r="BWY240" s="11"/>
      <c r="BWZ240" s="11"/>
      <c r="BXA240" s="11"/>
      <c r="BXB240" s="11"/>
      <c r="BXC240" s="11"/>
      <c r="BXD240" s="11"/>
      <c r="BXE240" s="11"/>
      <c r="BXF240" s="11"/>
      <c r="BXG240" s="11"/>
      <c r="BXH240" s="11"/>
      <c r="BXI240" s="11"/>
      <c r="BXJ240" s="11"/>
      <c r="BXK240" s="11"/>
      <c r="BXL240" s="11"/>
      <c r="BXM240" s="11"/>
      <c r="BXN240" s="11"/>
      <c r="BXO240" s="11"/>
      <c r="BXP240" s="11"/>
      <c r="BXQ240" s="11"/>
      <c r="BXR240" s="11"/>
      <c r="BXS240" s="11"/>
      <c r="BXT240" s="11"/>
      <c r="BXU240" s="11"/>
      <c r="BXV240" s="11"/>
      <c r="BXW240" s="11"/>
      <c r="BXX240" s="11"/>
      <c r="BXY240" s="11"/>
      <c r="BXZ240" s="11"/>
      <c r="BYA240" s="11"/>
      <c r="BYB240" s="11"/>
      <c r="BYC240" s="11"/>
      <c r="BYD240" s="11"/>
      <c r="BYE240" s="11"/>
      <c r="BYF240" s="11"/>
      <c r="BYG240" s="11"/>
      <c r="BYH240" s="11"/>
      <c r="BYI240" s="11"/>
      <c r="BYJ240" s="11"/>
      <c r="BYK240" s="11"/>
      <c r="BYL240" s="11"/>
      <c r="BYM240" s="11"/>
      <c r="BYN240" s="11"/>
      <c r="BYO240" s="11"/>
      <c r="BYP240" s="11"/>
      <c r="BYQ240" s="11"/>
      <c r="BYR240" s="11"/>
      <c r="BYS240" s="11"/>
      <c r="BYT240" s="11"/>
      <c r="BYU240" s="11"/>
      <c r="BYV240" s="11"/>
      <c r="BYW240" s="11"/>
      <c r="BYX240" s="11"/>
      <c r="BYY240" s="11"/>
      <c r="BYZ240" s="11"/>
      <c r="BZA240" s="11"/>
      <c r="BZB240" s="11"/>
      <c r="BZC240" s="11"/>
      <c r="BZD240" s="11"/>
      <c r="BZE240" s="11"/>
      <c r="BZF240" s="11"/>
      <c r="BZG240" s="11"/>
      <c r="BZH240" s="11"/>
      <c r="BZI240" s="11"/>
      <c r="BZJ240" s="11"/>
      <c r="BZK240" s="11"/>
      <c r="BZL240" s="11"/>
      <c r="BZM240" s="11"/>
      <c r="BZN240" s="11"/>
      <c r="BZO240" s="11"/>
      <c r="BZP240" s="11"/>
      <c r="BZQ240" s="11"/>
      <c r="BZR240" s="11"/>
      <c r="BZS240" s="11"/>
      <c r="BZT240" s="11"/>
      <c r="BZU240" s="11"/>
      <c r="BZV240" s="11"/>
      <c r="BZW240" s="11"/>
      <c r="BZX240" s="11"/>
      <c r="BZY240" s="11"/>
      <c r="BZZ240" s="11"/>
      <c r="CAA240" s="11"/>
      <c r="CAB240" s="11"/>
      <c r="CAC240" s="11"/>
      <c r="CAD240" s="11"/>
      <c r="CAE240" s="11"/>
      <c r="CAF240" s="11"/>
      <c r="CAG240" s="11"/>
      <c r="CAH240" s="11"/>
      <c r="CAI240" s="11"/>
      <c r="CAJ240" s="11"/>
      <c r="CAK240" s="11"/>
      <c r="CAL240" s="11"/>
      <c r="CAM240" s="11"/>
      <c r="CAN240" s="11"/>
      <c r="CAO240" s="11"/>
      <c r="CAP240" s="11"/>
      <c r="CAQ240" s="11"/>
      <c r="CAR240" s="11"/>
      <c r="CAS240" s="11"/>
      <c r="CAT240" s="11"/>
      <c r="CAU240" s="11"/>
      <c r="CAV240" s="11"/>
      <c r="CAW240" s="11"/>
      <c r="CAX240" s="11"/>
      <c r="CAY240" s="11"/>
      <c r="CAZ240" s="11"/>
      <c r="CBA240" s="11"/>
      <c r="CBB240" s="11"/>
      <c r="CBC240" s="11"/>
      <c r="CBD240" s="11"/>
      <c r="CBE240" s="11"/>
      <c r="CBF240" s="11"/>
      <c r="CBG240" s="11"/>
      <c r="CBH240" s="11"/>
      <c r="CBI240" s="11"/>
      <c r="CBJ240" s="11"/>
      <c r="CBK240" s="11"/>
      <c r="CBL240" s="11"/>
      <c r="CBM240" s="11"/>
      <c r="CBN240" s="11"/>
      <c r="CBO240" s="11"/>
      <c r="CBP240" s="11"/>
      <c r="CBQ240" s="11"/>
      <c r="CBR240" s="11"/>
      <c r="CBS240" s="11"/>
      <c r="CBT240" s="11"/>
      <c r="CBU240" s="11"/>
      <c r="CBV240" s="11"/>
      <c r="CBW240" s="11"/>
      <c r="CBX240" s="11"/>
      <c r="CBY240" s="11"/>
      <c r="CBZ240" s="11"/>
      <c r="CCA240" s="11"/>
      <c r="CCB240" s="11"/>
      <c r="CCC240" s="11"/>
      <c r="CCD240" s="11"/>
      <c r="CCE240" s="11"/>
      <c r="CCF240" s="11"/>
      <c r="CCG240" s="11"/>
      <c r="CCH240" s="11"/>
      <c r="CCI240" s="11"/>
      <c r="CCJ240" s="11"/>
      <c r="CCK240" s="11"/>
      <c r="CCL240" s="11"/>
      <c r="CCM240" s="11"/>
      <c r="CCN240" s="11"/>
      <c r="CCO240" s="11"/>
      <c r="CCP240" s="11"/>
      <c r="CCQ240" s="11"/>
      <c r="CCR240" s="11"/>
      <c r="CCS240" s="11"/>
      <c r="CCT240" s="11"/>
      <c r="CCU240" s="11"/>
      <c r="CCV240" s="11"/>
      <c r="CCW240" s="11"/>
      <c r="CCX240" s="11"/>
      <c r="CCY240" s="11"/>
      <c r="CCZ240" s="11"/>
      <c r="CDA240" s="11"/>
      <c r="CDB240" s="11"/>
      <c r="CDC240" s="11"/>
      <c r="CDD240" s="11"/>
      <c r="CDE240" s="11"/>
      <c r="CDF240" s="11"/>
      <c r="CDG240" s="11"/>
      <c r="CDH240" s="11"/>
      <c r="CDI240" s="11"/>
      <c r="CDJ240" s="11"/>
      <c r="CDK240" s="11"/>
      <c r="CDL240" s="11"/>
      <c r="CDM240" s="11"/>
      <c r="CDN240" s="11"/>
      <c r="CDO240" s="11"/>
      <c r="CDP240" s="11"/>
      <c r="CDQ240" s="11"/>
      <c r="CDR240" s="11"/>
      <c r="CDS240" s="11"/>
      <c r="CDT240" s="11"/>
      <c r="CDU240" s="11"/>
      <c r="CDV240" s="11"/>
      <c r="CDW240" s="11"/>
      <c r="CDX240" s="11"/>
      <c r="CDY240" s="11"/>
      <c r="CDZ240" s="11"/>
      <c r="CEA240" s="11"/>
      <c r="CEB240" s="11"/>
      <c r="CEC240" s="11"/>
      <c r="CED240" s="11"/>
      <c r="CEE240" s="11"/>
      <c r="CEF240" s="11"/>
      <c r="CEG240" s="11"/>
      <c r="CEH240" s="11"/>
      <c r="CEI240" s="11"/>
      <c r="CEJ240" s="11"/>
      <c r="CEK240" s="11"/>
      <c r="CEL240" s="11"/>
      <c r="CEM240" s="11"/>
      <c r="CEN240" s="11"/>
      <c r="CEO240" s="11"/>
      <c r="CEP240" s="11"/>
      <c r="CEQ240" s="11"/>
      <c r="CER240" s="11"/>
      <c r="CES240" s="11"/>
      <c r="CET240" s="11"/>
      <c r="CEU240" s="11"/>
      <c r="CEV240" s="11"/>
      <c r="CEW240" s="11"/>
      <c r="CEX240" s="11"/>
      <c r="CEY240" s="11"/>
      <c r="CEZ240" s="11"/>
      <c r="CFA240" s="11"/>
      <c r="CFB240" s="11"/>
      <c r="CFC240" s="11"/>
      <c r="CFD240" s="11"/>
      <c r="CFE240" s="11"/>
      <c r="CFF240" s="11"/>
      <c r="CFG240" s="11"/>
      <c r="CFH240" s="11"/>
      <c r="CFI240" s="11"/>
      <c r="CFJ240" s="11"/>
      <c r="CFK240" s="11"/>
      <c r="CFL240" s="11"/>
      <c r="CFM240" s="11"/>
      <c r="CFN240" s="11"/>
      <c r="CFO240" s="11"/>
      <c r="CFP240" s="11"/>
      <c r="CFQ240" s="11"/>
      <c r="CFR240" s="11"/>
      <c r="CFS240" s="11"/>
      <c r="CFT240" s="11"/>
      <c r="CFU240" s="11"/>
      <c r="CFV240" s="11"/>
      <c r="CFW240" s="11"/>
      <c r="CFX240" s="11"/>
      <c r="CFY240" s="11"/>
      <c r="CFZ240" s="11"/>
      <c r="CGA240" s="11"/>
      <c r="CGB240" s="11"/>
      <c r="CGC240" s="11"/>
      <c r="CGD240" s="11"/>
      <c r="CGE240" s="11"/>
      <c r="CGF240" s="11"/>
      <c r="CGG240" s="11"/>
      <c r="CGH240" s="11"/>
      <c r="CGI240" s="11"/>
      <c r="CGJ240" s="11"/>
      <c r="CGK240" s="11"/>
      <c r="CGL240" s="11"/>
      <c r="CGM240" s="11"/>
      <c r="CGN240" s="11"/>
      <c r="CGO240" s="11"/>
      <c r="CGP240" s="11"/>
      <c r="CGQ240" s="11"/>
      <c r="CGR240" s="11"/>
      <c r="CGS240" s="11"/>
      <c r="CGT240" s="11"/>
      <c r="CGU240" s="11"/>
      <c r="CGV240" s="11"/>
      <c r="CGW240" s="11"/>
      <c r="CGX240" s="11"/>
      <c r="CGY240" s="11"/>
      <c r="CGZ240" s="11"/>
      <c r="CHA240" s="11"/>
      <c r="CHB240" s="11"/>
      <c r="CHC240" s="11"/>
      <c r="CHD240" s="11"/>
      <c r="CHE240" s="11"/>
      <c r="CHF240" s="11"/>
      <c r="CHG240" s="11"/>
      <c r="CHH240" s="11"/>
      <c r="CHI240" s="11"/>
      <c r="CHJ240" s="11"/>
      <c r="CHK240" s="11"/>
      <c r="CHL240" s="11"/>
      <c r="CHM240" s="11"/>
      <c r="CHN240" s="11"/>
      <c r="CHO240" s="11"/>
      <c r="CHP240" s="11"/>
      <c r="CHQ240" s="11"/>
      <c r="CHR240" s="11"/>
      <c r="CHS240" s="11"/>
      <c r="CHT240" s="11"/>
      <c r="CHU240" s="11"/>
      <c r="CHV240" s="11"/>
      <c r="CHW240" s="11"/>
      <c r="CHX240" s="11"/>
      <c r="CHY240" s="11"/>
      <c r="CHZ240" s="11"/>
      <c r="CIA240" s="11"/>
      <c r="CIB240" s="11"/>
      <c r="CIC240" s="11"/>
      <c r="CID240" s="11"/>
      <c r="CIE240" s="11"/>
      <c r="CIF240" s="11"/>
      <c r="CIG240" s="11"/>
      <c r="CIH240" s="11"/>
      <c r="CII240" s="11"/>
      <c r="CIJ240" s="11"/>
      <c r="CIK240" s="11"/>
      <c r="CIL240" s="11"/>
      <c r="CIM240" s="11"/>
      <c r="CIN240" s="11"/>
      <c r="CIO240" s="11"/>
      <c r="CIP240" s="11"/>
      <c r="CIQ240" s="11"/>
      <c r="CIR240" s="11"/>
      <c r="CIS240" s="11"/>
      <c r="CIT240" s="11"/>
      <c r="CIU240" s="11"/>
      <c r="CIV240" s="11"/>
      <c r="CIW240" s="11"/>
      <c r="CIX240" s="11"/>
      <c r="CIY240" s="11"/>
      <c r="CIZ240" s="11"/>
      <c r="CJA240" s="11"/>
      <c r="CJB240" s="11"/>
      <c r="CJC240" s="11"/>
      <c r="CJD240" s="11"/>
      <c r="CJE240" s="11"/>
      <c r="CJF240" s="11"/>
      <c r="CJG240" s="11"/>
      <c r="CJH240" s="11"/>
      <c r="CJI240" s="11"/>
      <c r="CJJ240" s="11"/>
      <c r="CJK240" s="11"/>
      <c r="CJL240" s="11"/>
      <c r="CJM240" s="11"/>
      <c r="CJN240" s="11"/>
      <c r="CJO240" s="11"/>
      <c r="CJP240" s="11"/>
      <c r="CJQ240" s="11"/>
      <c r="CJR240" s="11"/>
      <c r="CJS240" s="11"/>
      <c r="CJT240" s="11"/>
      <c r="CJU240" s="11"/>
      <c r="CJV240" s="11"/>
      <c r="CJW240" s="11"/>
      <c r="CJX240" s="11"/>
      <c r="CJY240" s="11"/>
      <c r="CJZ240" s="11"/>
      <c r="CKA240" s="11"/>
      <c r="CKB240" s="11"/>
      <c r="CKC240" s="11"/>
      <c r="CKD240" s="11"/>
      <c r="CKE240" s="11"/>
      <c r="CKF240" s="11"/>
      <c r="CKG240" s="11"/>
      <c r="CKH240" s="11"/>
      <c r="CKI240" s="11"/>
      <c r="CKJ240" s="11"/>
      <c r="CKK240" s="11"/>
      <c r="CKL240" s="11"/>
      <c r="CKM240" s="11"/>
      <c r="CKN240" s="11"/>
      <c r="CKO240" s="11"/>
      <c r="CKP240" s="11"/>
      <c r="CKQ240" s="11"/>
      <c r="CKR240" s="11"/>
      <c r="CKS240" s="11"/>
      <c r="CKT240" s="11"/>
      <c r="CKU240" s="11"/>
      <c r="CKV240" s="11"/>
      <c r="CKW240" s="11"/>
      <c r="CKX240" s="11"/>
      <c r="CKY240" s="11"/>
      <c r="CKZ240" s="11"/>
      <c r="CLA240" s="11"/>
      <c r="CLB240" s="11"/>
      <c r="CLC240" s="11"/>
      <c r="CLD240" s="11"/>
      <c r="CLE240" s="11"/>
      <c r="CLF240" s="11"/>
      <c r="CLG240" s="11"/>
      <c r="CLH240" s="11"/>
      <c r="CLI240" s="11"/>
      <c r="CLJ240" s="11"/>
      <c r="CLK240" s="11"/>
      <c r="CLL240" s="11"/>
      <c r="CLM240" s="11"/>
      <c r="CLN240" s="11"/>
      <c r="CLO240" s="11"/>
      <c r="CLP240" s="11"/>
      <c r="CLQ240" s="11"/>
      <c r="CLR240" s="11"/>
      <c r="CLS240" s="11"/>
      <c r="CLT240" s="11"/>
      <c r="CLU240" s="11"/>
      <c r="CLV240" s="11"/>
      <c r="CLW240" s="11"/>
      <c r="CLX240" s="11"/>
      <c r="CLY240" s="11"/>
      <c r="CLZ240" s="11"/>
      <c r="CMA240" s="11"/>
      <c r="CMB240" s="11"/>
      <c r="CMC240" s="11"/>
      <c r="CMD240" s="11"/>
      <c r="CME240" s="11"/>
      <c r="CMF240" s="11"/>
      <c r="CMG240" s="11"/>
      <c r="CMH240" s="11"/>
      <c r="CMI240" s="11"/>
      <c r="CMJ240" s="11"/>
      <c r="CMK240" s="11"/>
      <c r="CML240" s="11"/>
      <c r="CMM240" s="11"/>
      <c r="CMN240" s="11"/>
      <c r="CMO240" s="11"/>
      <c r="CMP240" s="11"/>
      <c r="CMQ240" s="11"/>
      <c r="CMR240" s="11"/>
      <c r="CMS240" s="11"/>
      <c r="CMT240" s="11"/>
      <c r="CMU240" s="11"/>
      <c r="CMV240" s="11"/>
      <c r="CMW240" s="11"/>
      <c r="CMX240" s="11"/>
      <c r="CMY240" s="11"/>
      <c r="CMZ240" s="11"/>
      <c r="CNA240" s="11"/>
      <c r="CNB240" s="11"/>
      <c r="CNC240" s="11"/>
      <c r="CND240" s="11"/>
      <c r="CNE240" s="11"/>
      <c r="CNF240" s="11"/>
      <c r="CNG240" s="11"/>
      <c r="CNH240" s="11"/>
      <c r="CNI240" s="11"/>
      <c r="CNJ240" s="11"/>
      <c r="CNK240" s="11"/>
      <c r="CNL240" s="11"/>
      <c r="CNM240" s="11"/>
      <c r="CNN240" s="11"/>
      <c r="CNO240" s="11"/>
      <c r="CNP240" s="11"/>
      <c r="CNQ240" s="11"/>
      <c r="CNR240" s="11"/>
      <c r="CNS240" s="11"/>
      <c r="CNT240" s="11"/>
      <c r="CNU240" s="11"/>
      <c r="CNV240" s="11"/>
      <c r="CNW240" s="11"/>
      <c r="CNX240" s="11"/>
      <c r="CNY240" s="11"/>
      <c r="CNZ240" s="11"/>
      <c r="COA240" s="11"/>
      <c r="COB240" s="11"/>
      <c r="COC240" s="11"/>
      <c r="COD240" s="11"/>
      <c r="COE240" s="11"/>
      <c r="COF240" s="11"/>
      <c r="COG240" s="11"/>
      <c r="COH240" s="11"/>
      <c r="COI240" s="11"/>
      <c r="COJ240" s="11"/>
      <c r="COK240" s="11"/>
      <c r="COL240" s="11"/>
      <c r="COM240" s="11"/>
      <c r="CON240" s="11"/>
      <c r="COO240" s="11"/>
      <c r="COP240" s="11"/>
      <c r="COQ240" s="11"/>
      <c r="COR240" s="11"/>
      <c r="COS240" s="11"/>
      <c r="COT240" s="11"/>
      <c r="COU240" s="11"/>
      <c r="COV240" s="11"/>
      <c r="COW240" s="11"/>
      <c r="COX240" s="11"/>
      <c r="COY240" s="11"/>
      <c r="COZ240" s="11"/>
      <c r="CPA240" s="11"/>
      <c r="CPB240" s="11"/>
      <c r="CPC240" s="11"/>
      <c r="CPD240" s="11"/>
    </row>
    <row r="241" spans="1:109" s="11" customFormat="1" ht="21.75" customHeight="1">
      <c r="A241" s="13">
        <v>233</v>
      </c>
      <c r="B241" s="40" t="s">
        <v>593</v>
      </c>
      <c r="C241" s="40" t="s">
        <v>594</v>
      </c>
      <c r="D241" s="21" t="s">
        <v>576</v>
      </c>
      <c r="E241" s="9">
        <v>45669</v>
      </c>
      <c r="F241" s="10"/>
      <c r="G241" s="15" t="s">
        <v>113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2" t="s">
        <v>113</v>
      </c>
      <c r="AV241" s="12" t="s">
        <v>113</v>
      </c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2" t="s">
        <v>113</v>
      </c>
      <c r="CK241" s="12" t="s">
        <v>113</v>
      </c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>
        <f t="shared" si="7"/>
        <v>1</v>
      </c>
      <c r="DA241" s="11" t="s">
        <v>114</v>
      </c>
    </row>
    <row r="242" spans="1:109" s="11" customFormat="1" ht="21.75" customHeight="1">
      <c r="A242" s="13">
        <v>234</v>
      </c>
      <c r="B242" s="40" t="s">
        <v>595</v>
      </c>
      <c r="C242" s="40" t="s">
        <v>596</v>
      </c>
      <c r="D242" s="21" t="s">
        <v>576</v>
      </c>
      <c r="E242" s="9">
        <v>45669</v>
      </c>
      <c r="F242" s="10"/>
      <c r="G242" s="15" t="s">
        <v>113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2" t="s">
        <v>113</v>
      </c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2" t="s">
        <v>113</v>
      </c>
      <c r="AV242" s="12" t="s">
        <v>113</v>
      </c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2" t="s">
        <v>113</v>
      </c>
      <c r="CK242" s="12" t="s">
        <v>113</v>
      </c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>
        <f t="shared" si="7"/>
        <v>1</v>
      </c>
      <c r="DA242" s="11" t="s">
        <v>114</v>
      </c>
    </row>
    <row r="243" spans="1:109" s="11" customFormat="1" ht="21.75" customHeight="1">
      <c r="A243" s="13">
        <v>235</v>
      </c>
      <c r="B243" s="40" t="s">
        <v>597</v>
      </c>
      <c r="C243" s="40" t="s">
        <v>598</v>
      </c>
      <c r="D243" s="21" t="s">
        <v>576</v>
      </c>
      <c r="E243" s="9">
        <v>45659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2" t="s">
        <v>113</v>
      </c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>
        <f t="shared" si="7"/>
        <v>1</v>
      </c>
      <c r="DA243" s="11" t="s">
        <v>114</v>
      </c>
    </row>
    <row r="244" spans="1:109" s="11" customFormat="1" ht="21.75" customHeight="1">
      <c r="A244" s="13">
        <v>236</v>
      </c>
      <c r="B244" s="40" t="s">
        <v>599</v>
      </c>
      <c r="C244" s="40" t="s">
        <v>600</v>
      </c>
      <c r="D244" s="21" t="s">
        <v>576</v>
      </c>
      <c r="E244" s="9">
        <v>45670</v>
      </c>
      <c r="F244" s="10"/>
      <c r="G244" s="15" t="s">
        <v>113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2" t="s">
        <v>113</v>
      </c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2" t="s">
        <v>113</v>
      </c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>
        <f t="shared" si="7"/>
        <v>1</v>
      </c>
      <c r="DA244" s="11" t="s">
        <v>114</v>
      </c>
    </row>
    <row r="245" spans="1:109" s="11" customFormat="1" ht="21.75" customHeight="1">
      <c r="A245" s="13">
        <v>237</v>
      </c>
      <c r="B245" s="40" t="s">
        <v>601</v>
      </c>
      <c r="C245" s="40" t="s">
        <v>602</v>
      </c>
      <c r="D245" s="21" t="s">
        <v>576</v>
      </c>
      <c r="E245" s="9">
        <v>45747</v>
      </c>
      <c r="F245" s="10"/>
      <c r="G245" s="12" t="s">
        <v>113</v>
      </c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2" t="s">
        <v>113</v>
      </c>
      <c r="AJ245" s="12" t="s">
        <v>113</v>
      </c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>
        <f t="shared" si="7"/>
        <v>1</v>
      </c>
      <c r="DA245" s="11" t="s">
        <v>114</v>
      </c>
    </row>
    <row r="246" spans="1:109" s="11" customFormat="1" ht="21.75" customHeight="1">
      <c r="A246" s="13">
        <v>238</v>
      </c>
      <c r="B246" s="40" t="s">
        <v>603</v>
      </c>
      <c r="C246" s="40" t="s">
        <v>604</v>
      </c>
      <c r="D246" s="21" t="s">
        <v>576</v>
      </c>
      <c r="E246" s="9">
        <v>45669</v>
      </c>
      <c r="F246" s="10"/>
      <c r="G246" s="12" t="s">
        <v>113</v>
      </c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2" t="s">
        <v>113</v>
      </c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2" t="s">
        <v>113</v>
      </c>
      <c r="AV246" s="12" t="s">
        <v>113</v>
      </c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2" t="s">
        <v>113</v>
      </c>
      <c r="CK246" s="12" t="s">
        <v>113</v>
      </c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>
        <f t="shared" si="7"/>
        <v>1</v>
      </c>
      <c r="DA246" s="11" t="s">
        <v>114</v>
      </c>
    </row>
    <row r="247" spans="1:109" s="110" customFormat="1" ht="21.75" customHeight="1">
      <c r="A247" s="104">
        <v>239</v>
      </c>
      <c r="B247" s="105" t="s">
        <v>605</v>
      </c>
      <c r="C247" s="105" t="s">
        <v>606</v>
      </c>
      <c r="D247" s="106" t="s">
        <v>576</v>
      </c>
      <c r="E247" s="107">
        <v>45669</v>
      </c>
      <c r="F247" s="108"/>
      <c r="G247" s="109" t="s">
        <v>113</v>
      </c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  <c r="AI247" s="109" t="s">
        <v>113</v>
      </c>
      <c r="AJ247" s="109" t="s">
        <v>113</v>
      </c>
      <c r="AK247" s="108"/>
      <c r="AL247" s="108"/>
      <c r="AM247" s="108"/>
      <c r="AN247" s="108"/>
      <c r="AO247" s="108"/>
      <c r="AP247" s="108"/>
      <c r="AQ247" s="108"/>
      <c r="AR247" s="108"/>
      <c r="AS247" s="108"/>
      <c r="AT247" s="108"/>
      <c r="AU247" s="108"/>
      <c r="AV247" s="108"/>
      <c r="AW247" s="108"/>
      <c r="AX247" s="108"/>
      <c r="AY247" s="108"/>
      <c r="AZ247" s="108"/>
      <c r="BA247" s="108"/>
      <c r="BB247" s="108"/>
      <c r="BC247" s="108"/>
      <c r="BD247" s="108"/>
      <c r="BE247" s="108"/>
      <c r="BF247" s="108"/>
      <c r="BG247" s="108"/>
      <c r="BH247" s="108"/>
      <c r="BI247" s="108"/>
      <c r="BJ247" s="108"/>
      <c r="BK247" s="108"/>
      <c r="BL247" s="108"/>
      <c r="BM247" s="108"/>
      <c r="BN247" s="108"/>
      <c r="BO247" s="108"/>
      <c r="BP247" s="108"/>
      <c r="BQ247" s="108"/>
      <c r="BR247" s="108"/>
      <c r="BS247" s="108"/>
      <c r="BT247" s="108"/>
      <c r="BU247" s="108"/>
      <c r="BV247" s="108"/>
      <c r="BW247" s="108"/>
      <c r="BX247" s="108"/>
      <c r="BY247" s="108"/>
      <c r="BZ247" s="108"/>
      <c r="CA247" s="108"/>
      <c r="CB247" s="108"/>
      <c r="CC247" s="108"/>
      <c r="CD247" s="108"/>
      <c r="CE247" s="108"/>
      <c r="CF247" s="108"/>
      <c r="CG247" s="108"/>
      <c r="CH247" s="108"/>
      <c r="CI247" s="108"/>
      <c r="CJ247" s="108"/>
      <c r="CK247" s="108"/>
      <c r="CL247" s="108"/>
      <c r="CM247" s="108"/>
      <c r="CN247" s="108"/>
      <c r="CO247" s="108"/>
      <c r="CP247" s="108"/>
      <c r="CQ247" s="108"/>
      <c r="CR247" s="108"/>
      <c r="CS247" s="108"/>
      <c r="CT247" s="108"/>
      <c r="CU247" s="108"/>
      <c r="CV247" s="108"/>
      <c r="CW247" s="108"/>
      <c r="CX247" s="108"/>
      <c r="CY247" s="108"/>
      <c r="CZ247" s="108">
        <f t="shared" si="7"/>
        <v>1</v>
      </c>
      <c r="DA247" s="110" t="s">
        <v>114</v>
      </c>
    </row>
    <row r="248" spans="1:109" s="11" customFormat="1" ht="21.75" customHeight="1">
      <c r="A248" s="13">
        <v>240</v>
      </c>
      <c r="B248" s="40" t="s">
        <v>607</v>
      </c>
      <c r="C248" s="40" t="s">
        <v>608</v>
      </c>
      <c r="D248" s="21" t="s">
        <v>576</v>
      </c>
      <c r="E248" s="9">
        <v>45669</v>
      </c>
      <c r="F248" s="10"/>
      <c r="G248" s="12" t="s">
        <v>113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2" t="s">
        <v>113</v>
      </c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2" t="s">
        <v>113</v>
      </c>
      <c r="CK248" s="12" t="s">
        <v>113</v>
      </c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>
        <f t="shared" si="7"/>
        <v>1</v>
      </c>
      <c r="DA248" s="11" t="s">
        <v>114</v>
      </c>
    </row>
    <row r="249" spans="1:109" s="11" customFormat="1" ht="21.75" customHeight="1">
      <c r="A249" s="13">
        <v>241</v>
      </c>
      <c r="B249" s="40" t="s">
        <v>609</v>
      </c>
      <c r="C249" s="40" t="s">
        <v>610</v>
      </c>
      <c r="D249" s="21" t="s">
        <v>542</v>
      </c>
      <c r="E249" s="9">
        <v>45677</v>
      </c>
      <c r="F249" s="10"/>
      <c r="G249" s="12" t="s">
        <v>113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2" t="s">
        <v>113</v>
      </c>
      <c r="AJ249" s="12" t="s">
        <v>113</v>
      </c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2" t="s">
        <v>113</v>
      </c>
      <c r="CN249" s="12" t="s">
        <v>113</v>
      </c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>
        <f t="shared" si="7"/>
        <v>1</v>
      </c>
      <c r="DA249" s="11" t="s">
        <v>114</v>
      </c>
    </row>
    <row r="250" spans="1:109" ht="21.75" customHeight="1">
      <c r="A250" s="13">
        <v>242</v>
      </c>
      <c r="B250" s="51" t="s">
        <v>611</v>
      </c>
      <c r="C250" s="52" t="s">
        <v>612</v>
      </c>
      <c r="D250" s="25" t="s">
        <v>149</v>
      </c>
      <c r="E250" s="9">
        <v>45544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7"/>
      <c r="AK250" s="2"/>
      <c r="AL250" s="2"/>
      <c r="AM250" s="2"/>
      <c r="AN250" s="7" t="s">
        <v>113</v>
      </c>
      <c r="AO250" s="7"/>
      <c r="AP250" s="7"/>
      <c r="AQ250" s="2"/>
      <c r="AR250" s="2"/>
      <c r="AS250" s="2"/>
      <c r="AT250" s="2"/>
      <c r="AU250" s="7"/>
      <c r="AV250" s="7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7" t="s">
        <v>113</v>
      </c>
      <c r="CK250" s="7" t="s">
        <v>113</v>
      </c>
      <c r="CL250" s="2"/>
      <c r="CM250" s="2"/>
      <c r="CN250" s="2"/>
      <c r="CO250" s="7" t="s">
        <v>113</v>
      </c>
      <c r="CP250" s="2"/>
      <c r="CQ250" s="7" t="s">
        <v>113</v>
      </c>
      <c r="CR250" s="2"/>
      <c r="CS250" s="2"/>
      <c r="CT250" s="2"/>
      <c r="CU250" s="7" t="s">
        <v>113</v>
      </c>
      <c r="CV250" s="2"/>
      <c r="CW250" s="2"/>
      <c r="CX250" s="2"/>
      <c r="CY250" s="2"/>
      <c r="CZ250" s="10">
        <f t="shared" si="7"/>
        <v>1</v>
      </c>
      <c r="DB250" s="11"/>
      <c r="DC250" s="11"/>
      <c r="DD250" s="11"/>
      <c r="DE250" s="11"/>
    </row>
    <row r="251" spans="1:109" ht="21.75" customHeight="1">
      <c r="A251" s="13">
        <v>243</v>
      </c>
      <c r="B251" s="51" t="s">
        <v>613</v>
      </c>
      <c r="C251" s="52" t="s">
        <v>614</v>
      </c>
      <c r="D251" s="25" t="s">
        <v>149</v>
      </c>
      <c r="E251" s="9">
        <v>45544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7"/>
      <c r="AK251" s="2"/>
      <c r="AL251" s="2"/>
      <c r="AM251" s="2"/>
      <c r="AN251" s="7" t="s">
        <v>113</v>
      </c>
      <c r="AO251" s="7"/>
      <c r="AP251" s="7"/>
      <c r="AQ251" s="2"/>
      <c r="AR251" s="2"/>
      <c r="AS251" s="2"/>
      <c r="AT251" s="2"/>
      <c r="AU251" s="7"/>
      <c r="AV251" s="7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7" t="s">
        <v>113</v>
      </c>
      <c r="CK251" s="7" t="s">
        <v>113</v>
      </c>
      <c r="CL251" s="2"/>
      <c r="CM251" s="2"/>
      <c r="CN251" s="7" t="s">
        <v>113</v>
      </c>
      <c r="CO251" s="2"/>
      <c r="CP251" s="7" t="s">
        <v>113</v>
      </c>
      <c r="CQ251" s="7" t="s">
        <v>113</v>
      </c>
      <c r="CR251" s="2"/>
      <c r="CS251" s="2"/>
      <c r="CT251" s="2"/>
      <c r="CU251" s="7" t="s">
        <v>113</v>
      </c>
      <c r="CV251" s="2"/>
      <c r="CW251" s="2"/>
      <c r="CX251" s="2"/>
      <c r="CY251" s="2"/>
      <c r="CZ251" s="10">
        <f t="shared" si="7"/>
        <v>1</v>
      </c>
      <c r="DA251" s="31" t="s">
        <v>192</v>
      </c>
      <c r="DB251" s="11"/>
      <c r="DC251" s="11"/>
      <c r="DD251" s="11"/>
      <c r="DE251" s="11"/>
    </row>
    <row r="252" spans="1:109" ht="21.75" customHeight="1">
      <c r="A252" s="13">
        <v>244</v>
      </c>
      <c r="B252" s="51" t="s">
        <v>615</v>
      </c>
      <c r="C252" s="52" t="s">
        <v>616</v>
      </c>
      <c r="D252" s="25" t="s">
        <v>154</v>
      </c>
      <c r="E252" s="9">
        <v>45544</v>
      </c>
      <c r="F252" s="2"/>
      <c r="G252" s="7" t="s">
        <v>113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7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7"/>
      <c r="AV252" s="7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7" t="s">
        <v>113</v>
      </c>
      <c r="CS252" s="7" t="s">
        <v>113</v>
      </c>
      <c r="CT252" s="7" t="s">
        <v>113</v>
      </c>
      <c r="CU252" s="7" t="s">
        <v>113</v>
      </c>
      <c r="CV252" s="2"/>
      <c r="CW252" s="2"/>
      <c r="CX252" s="2"/>
      <c r="CY252" s="2"/>
      <c r="CZ252" s="10">
        <f t="shared" si="7"/>
        <v>1</v>
      </c>
      <c r="DB252" s="11"/>
      <c r="DC252" s="11"/>
      <c r="DD252" s="11"/>
      <c r="DE252" s="11"/>
    </row>
    <row r="253" spans="1:109" ht="21.75" customHeight="1">
      <c r="A253" s="13">
        <v>245</v>
      </c>
      <c r="B253" s="35" t="s">
        <v>617</v>
      </c>
      <c r="C253" s="36" t="s">
        <v>618</v>
      </c>
      <c r="D253" s="25" t="s">
        <v>154</v>
      </c>
      <c r="E253" s="9">
        <v>45669</v>
      </c>
      <c r="F253" s="2"/>
      <c r="G253" s="7" t="s">
        <v>113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7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7"/>
      <c r="AV253" s="7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7" t="s">
        <v>113</v>
      </c>
      <c r="CK253" s="7" t="s">
        <v>113</v>
      </c>
      <c r="CL253" s="2"/>
      <c r="CM253" s="2"/>
      <c r="CN253" s="2"/>
      <c r="CO253" s="2"/>
      <c r="CP253" s="2"/>
      <c r="CQ253" s="2"/>
      <c r="CR253" s="7"/>
      <c r="CS253" s="7"/>
      <c r="CT253" s="7"/>
      <c r="CU253" s="7"/>
      <c r="CV253" s="2"/>
      <c r="CW253" s="2"/>
      <c r="CX253" s="2"/>
      <c r="CY253" s="2"/>
      <c r="CZ253" s="10"/>
      <c r="DB253" s="11"/>
      <c r="DC253" s="11"/>
      <c r="DD253" s="11"/>
      <c r="DE253" s="11"/>
    </row>
    <row r="254" spans="1:109" ht="21.75" customHeight="1">
      <c r="A254" s="13">
        <v>246</v>
      </c>
      <c r="B254" s="51" t="s">
        <v>619</v>
      </c>
      <c r="C254" s="52" t="s">
        <v>620</v>
      </c>
      <c r="D254" s="25" t="s">
        <v>149</v>
      </c>
      <c r="E254" s="9">
        <v>45669</v>
      </c>
      <c r="F254" s="2"/>
      <c r="G254" s="7" t="s">
        <v>113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7"/>
      <c r="AK254" s="2"/>
      <c r="AL254" s="2"/>
      <c r="AM254" s="2"/>
      <c r="AN254" s="7" t="s">
        <v>113</v>
      </c>
      <c r="AO254" s="7"/>
      <c r="AP254" s="7"/>
      <c r="AQ254" s="2"/>
      <c r="AR254" s="2"/>
      <c r="AS254" s="2"/>
      <c r="AT254" s="2"/>
      <c r="AU254" s="7"/>
      <c r="AV254" s="7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7" t="s">
        <v>113</v>
      </c>
      <c r="CK254" s="7" t="s">
        <v>113</v>
      </c>
      <c r="CL254" s="2"/>
      <c r="CM254" s="2"/>
      <c r="CN254" s="2"/>
      <c r="CO254" s="7" t="s">
        <v>113</v>
      </c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10">
        <f>IF(COUNTIF(F254:CY254,"ü")&lt;=0,0,1)</f>
        <v>1</v>
      </c>
      <c r="DB254" s="11"/>
      <c r="DC254" s="11"/>
      <c r="DD254" s="11"/>
      <c r="DE254" s="11"/>
    </row>
    <row r="255" spans="1:109" ht="21.75" customHeight="1">
      <c r="A255" s="13">
        <v>247</v>
      </c>
      <c r="B255" s="51" t="s">
        <v>157</v>
      </c>
      <c r="C255" s="52" t="s">
        <v>158</v>
      </c>
      <c r="D255" s="25" t="s">
        <v>149</v>
      </c>
      <c r="E255" s="9">
        <v>45544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7"/>
      <c r="AK255" s="2"/>
      <c r="AL255" s="2"/>
      <c r="AM255" s="2"/>
      <c r="AN255" s="7" t="s">
        <v>113</v>
      </c>
      <c r="AO255" s="7"/>
      <c r="AP255" s="7"/>
      <c r="AQ255" s="2"/>
      <c r="AR255" s="2"/>
      <c r="AS255" s="2"/>
      <c r="AT255" s="2"/>
      <c r="AU255" s="7"/>
      <c r="AV255" s="7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7" t="s">
        <v>113</v>
      </c>
      <c r="CK255" s="7" t="s">
        <v>113</v>
      </c>
      <c r="CL255" s="2"/>
      <c r="CM255" s="7" t="s">
        <v>113</v>
      </c>
      <c r="CN255" s="7" t="s">
        <v>113</v>
      </c>
      <c r="CO255" s="2"/>
      <c r="CP255" s="2"/>
      <c r="CQ255" s="7" t="s">
        <v>113</v>
      </c>
      <c r="CR255" s="2"/>
      <c r="CS255" s="2"/>
      <c r="CT255" s="2"/>
      <c r="CU255" s="2"/>
      <c r="CV255" s="2"/>
      <c r="CW255" s="2"/>
      <c r="CX255" s="2"/>
      <c r="CY255" s="2"/>
      <c r="CZ255" s="10">
        <f>IF(COUNTIF(F255:CY255,"ü")&lt;=0,0,1)</f>
        <v>1</v>
      </c>
      <c r="DB255" s="11"/>
      <c r="DC255" s="11"/>
      <c r="DD255" s="11"/>
      <c r="DE255" s="11"/>
    </row>
    <row r="256" spans="1:109" ht="21.75" customHeight="1">
      <c r="A256" s="13">
        <v>248</v>
      </c>
      <c r="B256" s="51" t="s">
        <v>621</v>
      </c>
      <c r="C256" s="52" t="s">
        <v>622</v>
      </c>
      <c r="D256" s="25" t="s">
        <v>149</v>
      </c>
      <c r="E256" s="9">
        <v>45544</v>
      </c>
      <c r="F256" s="2"/>
      <c r="G256" s="7" t="s">
        <v>113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7"/>
      <c r="AK256" s="2"/>
      <c r="AL256" s="2"/>
      <c r="AM256" s="2"/>
      <c r="AN256" s="7" t="s">
        <v>113</v>
      </c>
      <c r="AO256" s="7"/>
      <c r="AP256" s="7"/>
      <c r="AQ256" s="2"/>
      <c r="AR256" s="2"/>
      <c r="AS256" s="2"/>
      <c r="AT256" s="2"/>
      <c r="AU256" s="7"/>
      <c r="AV256" s="7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7" t="s">
        <v>113</v>
      </c>
      <c r="CK256" s="7" t="s">
        <v>113</v>
      </c>
      <c r="CL256" s="2"/>
      <c r="CM256" s="7" t="s">
        <v>113</v>
      </c>
      <c r="CN256" s="2"/>
      <c r="CO256" s="2"/>
      <c r="CP256" s="2"/>
      <c r="CQ256" s="7" t="s">
        <v>113</v>
      </c>
      <c r="CR256" s="2"/>
      <c r="CS256" s="2"/>
      <c r="CT256" s="2"/>
      <c r="CU256" s="2"/>
      <c r="CV256" s="2"/>
      <c r="CW256" s="2"/>
      <c r="CX256" s="2"/>
      <c r="CY256" s="2"/>
      <c r="CZ256" s="10">
        <f>IF(COUNTIF(F256:CY256,"ü")&lt;=0,0,1)</f>
        <v>1</v>
      </c>
      <c r="DB256" s="11"/>
      <c r="DC256" s="11"/>
      <c r="DD256" s="11"/>
      <c r="DE256" s="11"/>
    </row>
    <row r="257" spans="1:105" s="11" customFormat="1" ht="21.75" customHeight="1">
      <c r="A257" s="13">
        <v>249</v>
      </c>
      <c r="B257" s="53" t="s">
        <v>623</v>
      </c>
      <c r="C257" s="54" t="s">
        <v>624</v>
      </c>
      <c r="D257" s="26" t="s">
        <v>336</v>
      </c>
      <c r="E257" s="9">
        <v>45546</v>
      </c>
      <c r="F257" s="10"/>
      <c r="G257" s="7" t="s">
        <v>113</v>
      </c>
      <c r="H257" s="10"/>
      <c r="I257" s="10"/>
      <c r="J257" s="10"/>
      <c r="K257" s="10"/>
      <c r="L257" s="10"/>
      <c r="M257" s="10"/>
      <c r="N257" s="10"/>
      <c r="O257" s="10"/>
      <c r="P257" s="7" t="s">
        <v>113</v>
      </c>
      <c r="Q257" s="7" t="s">
        <v>113</v>
      </c>
      <c r="R257" s="7" t="s">
        <v>113</v>
      </c>
      <c r="S257" s="10"/>
      <c r="T257" s="7" t="s">
        <v>113</v>
      </c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2"/>
      <c r="AI257" s="12"/>
      <c r="AJ257" s="12"/>
      <c r="AK257" s="12"/>
      <c r="AL257" s="10"/>
      <c r="AM257" s="12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2"/>
      <c r="CN257" s="12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>
        <v>1</v>
      </c>
    </row>
    <row r="258" spans="1:105" s="11" customFormat="1" ht="21.75" customHeight="1">
      <c r="A258" s="13">
        <v>250</v>
      </c>
      <c r="B258" s="55" t="s">
        <v>361</v>
      </c>
      <c r="C258" s="56" t="s">
        <v>362</v>
      </c>
      <c r="D258" s="27" t="s">
        <v>336</v>
      </c>
      <c r="E258" s="9">
        <v>45546</v>
      </c>
      <c r="F258" s="17"/>
      <c r="G258" s="7" t="s">
        <v>113</v>
      </c>
      <c r="H258" s="17"/>
      <c r="I258" s="17"/>
      <c r="J258" s="10"/>
      <c r="K258" s="10"/>
      <c r="L258" s="10"/>
      <c r="M258" s="10"/>
      <c r="N258" s="10"/>
      <c r="O258" s="10"/>
      <c r="P258" s="10"/>
      <c r="Q258" s="10"/>
      <c r="R258" s="7" t="s">
        <v>113</v>
      </c>
      <c r="S258" s="10"/>
      <c r="T258" s="7" t="s">
        <v>113</v>
      </c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2"/>
      <c r="AI258" s="12"/>
      <c r="AJ258" s="12"/>
      <c r="AK258" s="12"/>
      <c r="AL258" s="10"/>
      <c r="AM258" s="12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2"/>
      <c r="CN258" s="12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>
        <f t="shared" ref="CZ258:CZ280" si="8">IF(COUNTIF(F258:CY258,"ü")&lt;=0,0,1)</f>
        <v>1</v>
      </c>
    </row>
    <row r="259" spans="1:105" s="11" customFormat="1" ht="21.75" customHeight="1">
      <c r="A259" s="13">
        <v>251</v>
      </c>
      <c r="B259" s="53">
        <v>5209</v>
      </c>
      <c r="C259" s="57" t="s">
        <v>625</v>
      </c>
      <c r="D259" s="27" t="s">
        <v>336</v>
      </c>
      <c r="E259" s="9">
        <v>45549</v>
      </c>
      <c r="F259" s="10"/>
      <c r="G259" s="7" t="s">
        <v>113</v>
      </c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7" t="s">
        <v>113</v>
      </c>
      <c r="S259" s="10"/>
      <c r="T259" s="7" t="s">
        <v>113</v>
      </c>
      <c r="U259" s="10"/>
      <c r="V259" s="7" t="s">
        <v>113</v>
      </c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2"/>
      <c r="AI259" s="12"/>
      <c r="AJ259" s="12"/>
      <c r="AK259" s="12"/>
      <c r="AL259" s="10"/>
      <c r="AM259" s="12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2"/>
      <c r="CN259" s="12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>
        <f t="shared" si="8"/>
        <v>1</v>
      </c>
    </row>
    <row r="260" spans="1:105" s="11" customFormat="1" ht="21.75" customHeight="1">
      <c r="A260" s="13">
        <v>252</v>
      </c>
      <c r="B260" s="53">
        <v>5214</v>
      </c>
      <c r="C260" s="57" t="s">
        <v>626</v>
      </c>
      <c r="D260" s="27" t="s">
        <v>336</v>
      </c>
      <c r="E260" s="9">
        <v>45549</v>
      </c>
      <c r="F260" s="10"/>
      <c r="G260" s="7" t="s">
        <v>113</v>
      </c>
      <c r="H260" s="10"/>
      <c r="I260" s="10"/>
      <c r="J260" s="10"/>
      <c r="K260" s="10"/>
      <c r="L260" s="10"/>
      <c r="M260" s="10"/>
      <c r="N260" s="10"/>
      <c r="O260" s="10"/>
      <c r="P260" s="7" t="s">
        <v>113</v>
      </c>
      <c r="Q260" s="7" t="s">
        <v>113</v>
      </c>
      <c r="R260" s="7" t="s">
        <v>113</v>
      </c>
      <c r="S260" s="10"/>
      <c r="T260" s="7" t="s">
        <v>113</v>
      </c>
      <c r="U260" s="10"/>
      <c r="V260" s="7" t="s">
        <v>113</v>
      </c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2"/>
      <c r="AI260" s="12"/>
      <c r="AJ260" s="12"/>
      <c r="AK260" s="12"/>
      <c r="AL260" s="10"/>
      <c r="AM260" s="12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2"/>
      <c r="CN260" s="12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>
        <f t="shared" si="8"/>
        <v>1</v>
      </c>
    </row>
    <row r="261" spans="1:105" s="11" customFormat="1" ht="21.75" customHeight="1">
      <c r="A261" s="13">
        <v>253</v>
      </c>
      <c r="B261" s="58" t="s">
        <v>627</v>
      </c>
      <c r="C261" s="57" t="s">
        <v>628</v>
      </c>
      <c r="D261" s="27" t="s">
        <v>336</v>
      </c>
      <c r="E261" s="9">
        <v>45549</v>
      </c>
      <c r="F261" s="10"/>
      <c r="G261" s="12" t="s">
        <v>113</v>
      </c>
      <c r="H261" s="10"/>
      <c r="I261" s="10"/>
      <c r="J261" s="10"/>
      <c r="K261" s="10"/>
      <c r="L261" s="10"/>
      <c r="M261" s="10"/>
      <c r="N261" s="10"/>
      <c r="O261" s="10"/>
      <c r="P261" s="7" t="s">
        <v>113</v>
      </c>
      <c r="Q261" s="7" t="s">
        <v>113</v>
      </c>
      <c r="R261" s="7" t="s">
        <v>113</v>
      </c>
      <c r="S261" s="7" t="s">
        <v>113</v>
      </c>
      <c r="T261" s="7" t="s">
        <v>113</v>
      </c>
      <c r="U261" s="7" t="s">
        <v>113</v>
      </c>
      <c r="V261" s="7" t="s">
        <v>113</v>
      </c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2"/>
      <c r="AI261" s="12"/>
      <c r="AJ261" s="12"/>
      <c r="AK261" s="12"/>
      <c r="AL261" s="10"/>
      <c r="AM261" s="12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2"/>
      <c r="CN261" s="12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>
        <f t="shared" si="8"/>
        <v>1</v>
      </c>
    </row>
    <row r="262" spans="1:105" s="11" customFormat="1" ht="21.75" customHeight="1">
      <c r="A262" s="13">
        <v>254</v>
      </c>
      <c r="B262" s="59" t="s">
        <v>629</v>
      </c>
      <c r="C262" s="60" t="s">
        <v>630</v>
      </c>
      <c r="D262" s="28" t="s">
        <v>420</v>
      </c>
      <c r="E262" s="9">
        <v>45727</v>
      </c>
      <c r="F262" s="10"/>
      <c r="G262" s="12" t="s">
        <v>113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7"/>
      <c r="S262" s="10"/>
      <c r="T262" s="7"/>
      <c r="U262" s="10"/>
      <c r="V262" s="7"/>
      <c r="W262" s="7" t="s">
        <v>113</v>
      </c>
      <c r="X262" s="7" t="s">
        <v>113</v>
      </c>
      <c r="Y262" s="10"/>
      <c r="Z262" s="10"/>
      <c r="AA262" s="10"/>
      <c r="AB262" s="7" t="s">
        <v>113</v>
      </c>
      <c r="AC262" s="10"/>
      <c r="AD262" s="7" t="s">
        <v>113</v>
      </c>
      <c r="AE262" s="7" t="s">
        <v>113</v>
      </c>
      <c r="AF262" s="7" t="s">
        <v>113</v>
      </c>
      <c r="AG262" s="10"/>
      <c r="AH262" s="12"/>
      <c r="AI262" s="12"/>
      <c r="AJ262" s="12"/>
      <c r="AK262" s="12"/>
      <c r="AL262" s="10"/>
      <c r="AM262" s="12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2"/>
      <c r="CN262" s="12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>
        <f t="shared" si="8"/>
        <v>1</v>
      </c>
      <c r="DA262" s="31" t="s">
        <v>192</v>
      </c>
    </row>
    <row r="263" spans="1:105" s="11" customFormat="1" ht="21.75" customHeight="1">
      <c r="A263" s="13">
        <v>255</v>
      </c>
      <c r="B263" s="58" t="s">
        <v>631</v>
      </c>
      <c r="C263" s="57" t="s">
        <v>632</v>
      </c>
      <c r="D263" s="18" t="s">
        <v>420</v>
      </c>
      <c r="E263" s="9">
        <v>45677</v>
      </c>
      <c r="F263" s="10"/>
      <c r="G263" s="12" t="s">
        <v>113</v>
      </c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7"/>
      <c r="S263" s="10"/>
      <c r="T263" s="7"/>
      <c r="U263" s="10"/>
      <c r="V263" s="7"/>
      <c r="W263" s="7" t="s">
        <v>113</v>
      </c>
      <c r="X263" s="7" t="s">
        <v>113</v>
      </c>
      <c r="Y263" s="7" t="s">
        <v>113</v>
      </c>
      <c r="Z263" s="10"/>
      <c r="AA263" s="10"/>
      <c r="AB263" s="10"/>
      <c r="AC263" s="10"/>
      <c r="AD263" s="10"/>
      <c r="AE263" s="10"/>
      <c r="AF263" s="10"/>
      <c r="AG263" s="10"/>
      <c r="AH263" s="12"/>
      <c r="AI263" s="12"/>
      <c r="AJ263" s="12"/>
      <c r="AK263" s="12"/>
      <c r="AL263" s="10"/>
      <c r="AM263" s="12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2"/>
      <c r="CN263" s="12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>
        <f t="shared" si="8"/>
        <v>1</v>
      </c>
    </row>
    <row r="264" spans="1:105" s="11" customFormat="1" ht="21.75" customHeight="1">
      <c r="A264" s="13">
        <v>256</v>
      </c>
      <c r="B264" s="58" t="s">
        <v>633</v>
      </c>
      <c r="C264" s="57" t="s">
        <v>634</v>
      </c>
      <c r="D264" s="18" t="s">
        <v>420</v>
      </c>
      <c r="E264" s="9">
        <v>45727</v>
      </c>
      <c r="F264" s="10"/>
      <c r="G264" s="12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7"/>
      <c r="S264" s="10"/>
      <c r="T264" s="7"/>
      <c r="U264" s="10"/>
      <c r="V264" s="7"/>
      <c r="W264" s="10"/>
      <c r="X264" s="7" t="s">
        <v>113</v>
      </c>
      <c r="Y264" s="7" t="s">
        <v>113</v>
      </c>
      <c r="Z264" s="10"/>
      <c r="AA264" s="10"/>
      <c r="AB264" s="10"/>
      <c r="AC264" s="10"/>
      <c r="AD264" s="10"/>
      <c r="AE264" s="10"/>
      <c r="AF264" s="10"/>
      <c r="AG264" s="10"/>
      <c r="AH264" s="12"/>
      <c r="AI264" s="12"/>
      <c r="AJ264" s="12"/>
      <c r="AK264" s="12"/>
      <c r="AL264" s="7"/>
      <c r="AM264" s="12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2"/>
      <c r="CN264" s="12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>
        <f t="shared" si="8"/>
        <v>1</v>
      </c>
      <c r="DA264" s="31" t="s">
        <v>192</v>
      </c>
    </row>
    <row r="265" spans="1:105" s="11" customFormat="1" ht="21.75" customHeight="1">
      <c r="A265" s="13">
        <v>257</v>
      </c>
      <c r="B265" s="58" t="s">
        <v>531</v>
      </c>
      <c r="C265" s="57" t="s">
        <v>364</v>
      </c>
      <c r="D265" s="18" t="s">
        <v>420</v>
      </c>
      <c r="E265" s="9">
        <v>45553</v>
      </c>
      <c r="F265" s="10"/>
      <c r="G265" s="12" t="s">
        <v>113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7"/>
      <c r="S265" s="10"/>
      <c r="T265" s="7"/>
      <c r="U265" s="10"/>
      <c r="V265" s="7"/>
      <c r="W265" s="7" t="s">
        <v>113</v>
      </c>
      <c r="X265" s="7" t="s">
        <v>113</v>
      </c>
      <c r="Y265" s="7" t="s">
        <v>113</v>
      </c>
      <c r="Z265" s="10"/>
      <c r="AA265" s="10"/>
      <c r="AB265" s="10"/>
      <c r="AC265" s="10"/>
      <c r="AD265" s="10"/>
      <c r="AE265" s="10"/>
      <c r="AF265" s="10"/>
      <c r="AG265" s="10"/>
      <c r="AH265" s="12"/>
      <c r="AI265" s="12"/>
      <c r="AJ265" s="12"/>
      <c r="AK265" s="12"/>
      <c r="AL265" s="10"/>
      <c r="AM265" s="12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2"/>
      <c r="CN265" s="12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>
        <f t="shared" si="8"/>
        <v>1</v>
      </c>
    </row>
    <row r="266" spans="1:105" s="11" customFormat="1" ht="21.75" customHeight="1">
      <c r="A266" s="13">
        <v>258</v>
      </c>
      <c r="B266" s="58" t="s">
        <v>635</v>
      </c>
      <c r="C266" s="57" t="s">
        <v>636</v>
      </c>
      <c r="D266" s="18" t="s">
        <v>420</v>
      </c>
      <c r="E266" s="9">
        <v>45553</v>
      </c>
      <c r="F266" s="10"/>
      <c r="G266" s="12" t="s">
        <v>113</v>
      </c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7"/>
      <c r="S266" s="10"/>
      <c r="T266" s="7"/>
      <c r="U266" s="10"/>
      <c r="V266" s="7"/>
      <c r="W266" s="10"/>
      <c r="X266" s="7" t="s">
        <v>113</v>
      </c>
      <c r="Y266" s="7" t="s">
        <v>113</v>
      </c>
      <c r="Z266" s="10"/>
      <c r="AA266" s="10"/>
      <c r="AB266" s="7" t="s">
        <v>113</v>
      </c>
      <c r="AC266" s="10"/>
      <c r="AD266" s="10"/>
      <c r="AE266" s="7" t="s">
        <v>113</v>
      </c>
      <c r="AF266" s="7" t="s">
        <v>113</v>
      </c>
      <c r="AG266" s="10"/>
      <c r="AH266" s="12"/>
      <c r="AI266" s="12"/>
      <c r="AJ266" s="12"/>
      <c r="AK266" s="12"/>
      <c r="AL266" s="10"/>
      <c r="AM266" s="12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2"/>
      <c r="CN266" s="12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>
        <f t="shared" si="8"/>
        <v>1</v>
      </c>
      <c r="DA266" s="31" t="s">
        <v>192</v>
      </c>
    </row>
    <row r="267" spans="1:105" s="11" customFormat="1" ht="21.75" customHeight="1">
      <c r="A267" s="13">
        <v>259</v>
      </c>
      <c r="B267" s="58" t="s">
        <v>637</v>
      </c>
      <c r="C267" s="57" t="s">
        <v>638</v>
      </c>
      <c r="D267" s="18" t="s">
        <v>420</v>
      </c>
      <c r="E267" s="9">
        <v>45677</v>
      </c>
      <c r="F267" s="10"/>
      <c r="G267" s="12" t="s">
        <v>113</v>
      </c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7"/>
      <c r="S267" s="10"/>
      <c r="T267" s="7"/>
      <c r="U267" s="10"/>
      <c r="V267" s="7"/>
      <c r="W267" s="7"/>
      <c r="X267" s="7" t="s">
        <v>113</v>
      </c>
      <c r="Y267" s="7" t="s">
        <v>113</v>
      </c>
      <c r="Z267" s="10"/>
      <c r="AA267" s="10"/>
      <c r="AB267" s="7" t="s">
        <v>113</v>
      </c>
      <c r="AC267" s="10"/>
      <c r="AD267" s="10"/>
      <c r="AE267" s="7" t="s">
        <v>113</v>
      </c>
      <c r="AF267" s="7" t="s">
        <v>113</v>
      </c>
      <c r="AG267" s="10"/>
      <c r="AH267" s="12"/>
      <c r="AI267" s="12"/>
      <c r="AJ267" s="12"/>
      <c r="AK267" s="12"/>
      <c r="AL267" s="10"/>
      <c r="AM267" s="12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2"/>
      <c r="CN267" s="12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>
        <f t="shared" si="8"/>
        <v>1</v>
      </c>
    </row>
    <row r="268" spans="1:105" s="11" customFormat="1" ht="21.75" customHeight="1">
      <c r="A268" s="13">
        <v>260</v>
      </c>
      <c r="B268" s="61" t="s">
        <v>300</v>
      </c>
      <c r="C268" s="62" t="s">
        <v>301</v>
      </c>
      <c r="D268" s="18" t="s">
        <v>299</v>
      </c>
      <c r="E268" s="9">
        <v>45669</v>
      </c>
      <c r="F268" s="10"/>
      <c r="G268" s="12" t="s">
        <v>113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7"/>
      <c r="S268" s="10"/>
      <c r="T268" s="7"/>
      <c r="U268" s="10"/>
      <c r="V268" s="7"/>
      <c r="W268" s="7"/>
      <c r="X268" s="7"/>
      <c r="Y268" s="7"/>
      <c r="Z268" s="7"/>
      <c r="AA268" s="10"/>
      <c r="AB268" s="10"/>
      <c r="AC268" s="7" t="s">
        <v>113</v>
      </c>
      <c r="AD268" s="10"/>
      <c r="AE268" s="10"/>
      <c r="AF268" s="10"/>
      <c r="AG268" s="10"/>
      <c r="AH268" s="12"/>
      <c r="AI268" s="12"/>
      <c r="AJ268" s="12"/>
      <c r="AK268" s="12"/>
      <c r="AL268" s="10"/>
      <c r="AM268" s="12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7" t="s">
        <v>113</v>
      </c>
      <c r="AY268" s="10"/>
      <c r="AZ268" s="10"/>
      <c r="BA268" s="10"/>
      <c r="BB268" s="7" t="s">
        <v>113</v>
      </c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2"/>
      <c r="CN268" s="12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>
        <f t="shared" si="8"/>
        <v>1</v>
      </c>
    </row>
    <row r="269" spans="1:105" s="11" customFormat="1" ht="21.75" customHeight="1">
      <c r="A269" s="13">
        <v>261</v>
      </c>
      <c r="B269" s="53" t="s">
        <v>639</v>
      </c>
      <c r="C269" s="57" t="s">
        <v>640</v>
      </c>
      <c r="D269" s="19" t="s">
        <v>299</v>
      </c>
      <c r="E269" s="9">
        <v>45559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7"/>
      <c r="S269" s="10"/>
      <c r="T269" s="7"/>
      <c r="U269" s="10"/>
      <c r="V269" s="7"/>
      <c r="W269" s="7"/>
      <c r="X269" s="7"/>
      <c r="Y269" s="7"/>
      <c r="Z269" s="7"/>
      <c r="AA269" s="10"/>
      <c r="AB269" s="10"/>
      <c r="AC269" s="10"/>
      <c r="AD269" s="10"/>
      <c r="AE269" s="10"/>
      <c r="AF269" s="10"/>
      <c r="AG269" s="10"/>
      <c r="AH269" s="12"/>
      <c r="AI269" s="12"/>
      <c r="AJ269" s="12"/>
      <c r="AK269" s="12"/>
      <c r="AL269" s="10"/>
      <c r="AM269" s="12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7" t="s">
        <v>113</v>
      </c>
      <c r="AY269" s="10"/>
      <c r="AZ269" s="10"/>
      <c r="BA269" s="10"/>
      <c r="BB269" s="7" t="s">
        <v>113</v>
      </c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2"/>
      <c r="CN269" s="12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>
        <f t="shared" si="8"/>
        <v>1</v>
      </c>
    </row>
    <row r="270" spans="1:105" s="11" customFormat="1" ht="21.75" customHeight="1">
      <c r="A270" s="13">
        <v>262</v>
      </c>
      <c r="B270" s="63" t="s">
        <v>641</v>
      </c>
      <c r="C270" s="64" t="s">
        <v>642</v>
      </c>
      <c r="D270" s="18" t="s">
        <v>299</v>
      </c>
      <c r="E270" s="9">
        <v>45559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7"/>
      <c r="S270" s="10"/>
      <c r="T270" s="7"/>
      <c r="U270" s="10"/>
      <c r="V270" s="7"/>
      <c r="W270" s="7"/>
      <c r="X270" s="7"/>
      <c r="Y270" s="7"/>
      <c r="Z270" s="7"/>
      <c r="AA270" s="10"/>
      <c r="AB270" s="10"/>
      <c r="AC270" s="10"/>
      <c r="AD270" s="10"/>
      <c r="AE270" s="10"/>
      <c r="AF270" s="10"/>
      <c r="AG270" s="10"/>
      <c r="AH270" s="12"/>
      <c r="AI270" s="12"/>
      <c r="AJ270" s="12"/>
      <c r="AK270" s="12"/>
      <c r="AL270" s="10"/>
      <c r="AM270" s="12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7" t="s">
        <v>113</v>
      </c>
      <c r="AY270" s="7" t="s">
        <v>113</v>
      </c>
      <c r="AZ270" s="10"/>
      <c r="BA270" s="10"/>
      <c r="BB270" s="7" t="s">
        <v>113</v>
      </c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2"/>
      <c r="CN270" s="12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>
        <f t="shared" si="8"/>
        <v>1</v>
      </c>
    </row>
    <row r="271" spans="1:105" s="11" customFormat="1" ht="21.75" customHeight="1">
      <c r="A271" s="13">
        <v>263</v>
      </c>
      <c r="B271" s="58" t="s">
        <v>643</v>
      </c>
      <c r="C271" s="57" t="s">
        <v>644</v>
      </c>
      <c r="D271" s="18" t="s">
        <v>299</v>
      </c>
      <c r="E271" s="9">
        <v>45669</v>
      </c>
      <c r="F271" s="7" t="s">
        <v>113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7"/>
      <c r="S271" s="10"/>
      <c r="T271" s="7"/>
      <c r="U271" s="10"/>
      <c r="V271" s="7"/>
      <c r="W271" s="7"/>
      <c r="X271" s="7"/>
      <c r="Y271" s="7"/>
      <c r="Z271" s="7"/>
      <c r="AA271" s="10"/>
      <c r="AB271" s="10"/>
      <c r="AC271" s="7" t="s">
        <v>113</v>
      </c>
      <c r="AD271" s="10"/>
      <c r="AE271" s="10"/>
      <c r="AF271" s="10"/>
      <c r="AG271" s="10"/>
      <c r="AH271" s="12"/>
      <c r="AI271" s="12"/>
      <c r="AJ271" s="12"/>
      <c r="AK271" s="12"/>
      <c r="AL271" s="10"/>
      <c r="AM271" s="12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7" t="s">
        <v>113</v>
      </c>
      <c r="AY271" s="7" t="s">
        <v>113</v>
      </c>
      <c r="AZ271" s="10"/>
      <c r="BA271" s="10"/>
      <c r="BB271" s="7" t="s">
        <v>113</v>
      </c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2"/>
      <c r="CN271" s="12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>
        <f t="shared" si="8"/>
        <v>1</v>
      </c>
    </row>
    <row r="272" spans="1:105" s="11" customFormat="1" ht="21.75" customHeight="1">
      <c r="A272" s="13">
        <v>264</v>
      </c>
      <c r="B272" s="53" t="s">
        <v>645</v>
      </c>
      <c r="C272" s="57" t="s">
        <v>646</v>
      </c>
      <c r="D272" s="19" t="s">
        <v>299</v>
      </c>
      <c r="E272" s="9">
        <v>45559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7"/>
      <c r="S272" s="10"/>
      <c r="T272" s="7"/>
      <c r="U272" s="10"/>
      <c r="V272" s="7"/>
      <c r="W272" s="7"/>
      <c r="X272" s="7"/>
      <c r="Y272" s="7"/>
      <c r="Z272" s="7"/>
      <c r="AA272" s="10"/>
      <c r="AB272" s="10"/>
      <c r="AC272" s="10"/>
      <c r="AD272" s="10"/>
      <c r="AE272" s="10"/>
      <c r="AF272" s="10"/>
      <c r="AG272" s="10"/>
      <c r="AH272" s="12"/>
      <c r="AI272" s="12"/>
      <c r="AJ272" s="12"/>
      <c r="AK272" s="12"/>
      <c r="AL272" s="10"/>
      <c r="AM272" s="12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7" t="s">
        <v>113</v>
      </c>
      <c r="AZ272" s="10"/>
      <c r="BA272" s="10"/>
      <c r="BB272" s="7" t="s">
        <v>113</v>
      </c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2"/>
      <c r="CN272" s="12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>
        <f t="shared" si="8"/>
        <v>1</v>
      </c>
    </row>
    <row r="273" spans="1:104" s="11" customFormat="1" ht="21.75" customHeight="1">
      <c r="A273" s="13">
        <v>265</v>
      </c>
      <c r="B273" s="58" t="s">
        <v>647</v>
      </c>
      <c r="C273" s="57" t="s">
        <v>648</v>
      </c>
      <c r="D273" s="18" t="s">
        <v>299</v>
      </c>
      <c r="E273" s="9">
        <v>45559</v>
      </c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7"/>
      <c r="S273" s="10"/>
      <c r="T273" s="7"/>
      <c r="U273" s="10"/>
      <c r="V273" s="7"/>
      <c r="W273" s="7"/>
      <c r="X273" s="7"/>
      <c r="Y273" s="7"/>
      <c r="Z273" s="7"/>
      <c r="AA273" s="10"/>
      <c r="AB273" s="10"/>
      <c r="AC273" s="10"/>
      <c r="AD273" s="10"/>
      <c r="AE273" s="10"/>
      <c r="AF273" s="10"/>
      <c r="AG273" s="10"/>
      <c r="AH273" s="12"/>
      <c r="AI273" s="12"/>
      <c r="AJ273" s="12"/>
      <c r="AK273" s="12"/>
      <c r="AL273" s="10"/>
      <c r="AM273" s="12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7" t="s">
        <v>113</v>
      </c>
      <c r="AZ273" s="10"/>
      <c r="BA273" s="10"/>
      <c r="BB273" s="7" t="s">
        <v>113</v>
      </c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2"/>
      <c r="CN273" s="12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>
        <f t="shared" si="8"/>
        <v>1</v>
      </c>
    </row>
    <row r="274" spans="1:104" s="11" customFormat="1" ht="21.75" customHeight="1">
      <c r="A274" s="13">
        <v>266</v>
      </c>
      <c r="B274" s="45" t="s">
        <v>649</v>
      </c>
      <c r="C274" s="65" t="s">
        <v>650</v>
      </c>
      <c r="D274" s="18" t="s">
        <v>393</v>
      </c>
      <c r="E274" s="9">
        <v>45559</v>
      </c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7"/>
      <c r="S274" s="10"/>
      <c r="T274" s="7"/>
      <c r="U274" s="10"/>
      <c r="V274" s="7"/>
      <c r="W274" s="7"/>
      <c r="X274" s="7"/>
      <c r="Y274" s="7"/>
      <c r="Z274" s="7"/>
      <c r="AA274" s="10"/>
      <c r="AB274" s="10"/>
      <c r="AC274" s="7" t="s">
        <v>113</v>
      </c>
      <c r="AD274" s="10"/>
      <c r="AE274" s="10"/>
      <c r="AF274" s="10"/>
      <c r="AG274" s="10"/>
      <c r="AH274" s="12"/>
      <c r="AI274" s="12"/>
      <c r="AJ274" s="12"/>
      <c r="AK274" s="12"/>
      <c r="AL274" s="10"/>
      <c r="AM274" s="12"/>
      <c r="AN274" s="10"/>
      <c r="AO274" s="10"/>
      <c r="AP274" s="10"/>
      <c r="AQ274" s="7" t="s">
        <v>113</v>
      </c>
      <c r="AR274" s="7" t="s">
        <v>113</v>
      </c>
      <c r="AS274" s="7"/>
      <c r="AT274" s="7" t="s">
        <v>113</v>
      </c>
      <c r="AU274" s="10"/>
      <c r="AV274" s="10"/>
      <c r="AW274" s="7" t="s">
        <v>113</v>
      </c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2"/>
      <c r="CN274" s="12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>
        <f t="shared" si="8"/>
        <v>1</v>
      </c>
    </row>
    <row r="275" spans="1:104" s="11" customFormat="1" ht="21.75" customHeight="1">
      <c r="A275" s="13">
        <v>267</v>
      </c>
      <c r="B275" s="61" t="s">
        <v>651</v>
      </c>
      <c r="C275" s="62" t="s">
        <v>652</v>
      </c>
      <c r="D275" s="18" t="s">
        <v>299</v>
      </c>
      <c r="E275" s="9">
        <v>45559</v>
      </c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7"/>
      <c r="S275" s="10"/>
      <c r="T275" s="7"/>
      <c r="U275" s="10"/>
      <c r="V275" s="7"/>
      <c r="W275" s="7"/>
      <c r="X275" s="7"/>
      <c r="Y275" s="7"/>
      <c r="Z275" s="7"/>
      <c r="AA275" s="10"/>
      <c r="AB275" s="10"/>
      <c r="AC275" s="7" t="s">
        <v>113</v>
      </c>
      <c r="AD275" s="10"/>
      <c r="AE275" s="10"/>
      <c r="AF275" s="10"/>
      <c r="AG275" s="10"/>
      <c r="AH275" s="12"/>
      <c r="AI275" s="12"/>
      <c r="AJ275" s="12"/>
      <c r="AK275" s="12"/>
      <c r="AL275" s="10"/>
      <c r="AM275" s="12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7" t="s">
        <v>113</v>
      </c>
      <c r="AY275" s="7" t="s">
        <v>113</v>
      </c>
      <c r="AZ275" s="10"/>
      <c r="BA275" s="10"/>
      <c r="BB275" s="7" t="s">
        <v>113</v>
      </c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2"/>
      <c r="CN275" s="12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>
        <f t="shared" si="8"/>
        <v>1</v>
      </c>
    </row>
    <row r="276" spans="1:104" s="11" customFormat="1" ht="21.75" customHeight="1">
      <c r="A276" s="13">
        <v>268</v>
      </c>
      <c r="B276" s="58" t="s">
        <v>653</v>
      </c>
      <c r="C276" s="57" t="s">
        <v>654</v>
      </c>
      <c r="D276" s="18" t="s">
        <v>299</v>
      </c>
      <c r="E276" s="9">
        <v>45559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7"/>
      <c r="S276" s="10"/>
      <c r="T276" s="7"/>
      <c r="U276" s="10"/>
      <c r="V276" s="7"/>
      <c r="W276" s="7"/>
      <c r="X276" s="7"/>
      <c r="Y276" s="7"/>
      <c r="Z276" s="7"/>
      <c r="AA276" s="10"/>
      <c r="AB276" s="10"/>
      <c r="AC276" s="7" t="s">
        <v>113</v>
      </c>
      <c r="AD276" s="10"/>
      <c r="AE276" s="10"/>
      <c r="AF276" s="10"/>
      <c r="AG276" s="10"/>
      <c r="AH276" s="12"/>
      <c r="AI276" s="12"/>
      <c r="AJ276" s="12"/>
      <c r="AK276" s="12"/>
      <c r="AL276" s="10"/>
      <c r="AM276" s="12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7" t="s">
        <v>113</v>
      </c>
      <c r="AY276" s="7" t="s">
        <v>113</v>
      </c>
      <c r="AZ276" s="10"/>
      <c r="BA276" s="10"/>
      <c r="BB276" s="7" t="s">
        <v>113</v>
      </c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2"/>
      <c r="CN276" s="12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>
        <f t="shared" si="8"/>
        <v>1</v>
      </c>
    </row>
    <row r="277" spans="1:104" s="11" customFormat="1" ht="21.75" customHeight="1">
      <c r="A277" s="13">
        <v>269</v>
      </c>
      <c r="B277" s="45" t="s">
        <v>655</v>
      </c>
      <c r="C277" s="65" t="s">
        <v>656</v>
      </c>
      <c r="D277" s="18" t="s">
        <v>393</v>
      </c>
      <c r="E277" s="9">
        <v>45892</v>
      </c>
      <c r="F277" s="10"/>
      <c r="G277" s="12" t="s">
        <v>113</v>
      </c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7"/>
      <c r="S277" s="10"/>
      <c r="T277" s="7"/>
      <c r="U277" s="10"/>
      <c r="V277" s="7"/>
      <c r="W277" s="7"/>
      <c r="X277" s="7"/>
      <c r="Y277" s="7"/>
      <c r="Z277" s="7"/>
      <c r="AA277" s="10"/>
      <c r="AB277" s="10"/>
      <c r="AC277" s="10"/>
      <c r="AD277" s="10"/>
      <c r="AE277" s="10"/>
      <c r="AF277" s="10"/>
      <c r="AG277" s="10"/>
      <c r="AH277" s="12"/>
      <c r="AI277" s="12"/>
      <c r="AJ277" s="12"/>
      <c r="AK277" s="12"/>
      <c r="AL277" s="10"/>
      <c r="AM277" s="12"/>
      <c r="AN277" s="10"/>
      <c r="AO277" s="12" t="s">
        <v>113</v>
      </c>
      <c r="AP277" s="10"/>
      <c r="AQ277" s="10"/>
      <c r="AR277" s="10"/>
      <c r="AS277" s="10"/>
      <c r="AT277" s="7" t="s">
        <v>113</v>
      </c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2"/>
      <c r="CN277" s="12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>
        <f t="shared" si="8"/>
        <v>1</v>
      </c>
    </row>
    <row r="278" spans="1:104" s="11" customFormat="1" ht="21.75" customHeight="1">
      <c r="A278" s="13">
        <v>270</v>
      </c>
      <c r="B278" s="58" t="s">
        <v>657</v>
      </c>
      <c r="C278" s="62" t="s">
        <v>658</v>
      </c>
      <c r="D278" s="18" t="s">
        <v>299</v>
      </c>
      <c r="E278" s="9">
        <v>45560</v>
      </c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7"/>
      <c r="S278" s="10"/>
      <c r="T278" s="7"/>
      <c r="U278" s="10"/>
      <c r="V278" s="7"/>
      <c r="W278" s="7"/>
      <c r="X278" s="7"/>
      <c r="Y278" s="7"/>
      <c r="Z278" s="7"/>
      <c r="AA278" s="10"/>
      <c r="AB278" s="10"/>
      <c r="AC278" s="10"/>
      <c r="AD278" s="10"/>
      <c r="AE278" s="10"/>
      <c r="AF278" s="10"/>
      <c r="AG278" s="10"/>
      <c r="AH278" s="12"/>
      <c r="AI278" s="12"/>
      <c r="AJ278" s="12"/>
      <c r="AK278" s="12"/>
      <c r="AL278" s="10"/>
      <c r="AM278" s="12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7" t="s">
        <v>113</v>
      </c>
      <c r="AY278" s="7" t="s">
        <v>113</v>
      </c>
      <c r="AZ278" s="10"/>
      <c r="BA278" s="10"/>
      <c r="BB278" s="7" t="s">
        <v>113</v>
      </c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2"/>
      <c r="CN278" s="12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>
        <f t="shared" si="8"/>
        <v>1</v>
      </c>
    </row>
    <row r="279" spans="1:104" s="11" customFormat="1" ht="21.75" customHeight="1">
      <c r="A279" s="13">
        <v>271</v>
      </c>
      <c r="B279" s="59" t="s">
        <v>659</v>
      </c>
      <c r="C279" s="60" t="s">
        <v>660</v>
      </c>
      <c r="D279" s="28" t="s">
        <v>393</v>
      </c>
      <c r="E279" s="9">
        <v>45560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7"/>
      <c r="S279" s="10"/>
      <c r="T279" s="7"/>
      <c r="U279" s="10"/>
      <c r="V279" s="7"/>
      <c r="W279" s="7"/>
      <c r="X279" s="7"/>
      <c r="Y279" s="7"/>
      <c r="Z279" s="7"/>
      <c r="AA279" s="10"/>
      <c r="AB279" s="10"/>
      <c r="AC279" s="7" t="s">
        <v>113</v>
      </c>
      <c r="AD279" s="10"/>
      <c r="AE279" s="10"/>
      <c r="AF279" s="10"/>
      <c r="AG279" s="10"/>
      <c r="AH279" s="12"/>
      <c r="AI279" s="12"/>
      <c r="AJ279" s="12"/>
      <c r="AK279" s="12"/>
      <c r="AL279" s="10"/>
      <c r="AM279" s="12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2"/>
      <c r="CN279" s="12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>
        <f t="shared" si="8"/>
        <v>1</v>
      </c>
    </row>
    <row r="280" spans="1:104" s="11" customFormat="1" ht="21.75" customHeight="1">
      <c r="A280" s="13">
        <v>272</v>
      </c>
      <c r="B280" s="45" t="s">
        <v>661</v>
      </c>
      <c r="C280" s="65" t="s">
        <v>662</v>
      </c>
      <c r="D280" s="18" t="s">
        <v>299</v>
      </c>
      <c r="E280" s="9">
        <v>45713</v>
      </c>
      <c r="F280" s="10"/>
      <c r="G280" s="12" t="s">
        <v>113</v>
      </c>
      <c r="H280" s="10"/>
      <c r="I280" s="10"/>
      <c r="J280" s="10"/>
      <c r="K280" s="12"/>
      <c r="L280" s="10"/>
      <c r="M280" s="10"/>
      <c r="N280" s="10"/>
      <c r="O280" s="10"/>
      <c r="P280" s="10"/>
      <c r="Q280" s="10"/>
      <c r="R280" s="7"/>
      <c r="S280" s="10"/>
      <c r="T280" s="7"/>
      <c r="U280" s="10"/>
      <c r="V280" s="7"/>
      <c r="W280" s="7"/>
      <c r="X280" s="7"/>
      <c r="Y280" s="7"/>
      <c r="Z280" s="7"/>
      <c r="AA280" s="10"/>
      <c r="AB280" s="10"/>
      <c r="AC280" s="10"/>
      <c r="AD280" s="10"/>
      <c r="AE280" s="10"/>
      <c r="AF280" s="10"/>
      <c r="AG280" s="10"/>
      <c r="AH280" s="12"/>
      <c r="AI280" s="7" t="s">
        <v>113</v>
      </c>
      <c r="AJ280" s="12"/>
      <c r="AK280" s="12"/>
      <c r="AL280" s="10"/>
      <c r="AM280" s="12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2" t="s">
        <v>113</v>
      </c>
      <c r="AY280" s="10"/>
      <c r="AZ280" s="10"/>
      <c r="BA280" s="10"/>
      <c r="BB280" s="12" t="s">
        <v>113</v>
      </c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2"/>
      <c r="CN280" s="12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>
        <f t="shared" si="8"/>
        <v>1</v>
      </c>
    </row>
    <row r="281" spans="1:104" s="11" customFormat="1" ht="21.75" customHeight="1">
      <c r="A281" s="13">
        <v>273</v>
      </c>
      <c r="B281" s="45" t="s">
        <v>663</v>
      </c>
      <c r="C281" s="65" t="s">
        <v>664</v>
      </c>
      <c r="D281" s="18" t="s">
        <v>576</v>
      </c>
      <c r="E281" s="9">
        <v>45669</v>
      </c>
      <c r="F281" s="10"/>
      <c r="G281" s="12" t="s">
        <v>113</v>
      </c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7"/>
      <c r="S281" s="10"/>
      <c r="T281" s="7"/>
      <c r="U281" s="10"/>
      <c r="V281" s="7"/>
      <c r="W281" s="7"/>
      <c r="X281" s="7"/>
      <c r="Y281" s="7"/>
      <c r="Z281" s="7"/>
      <c r="AA281" s="10"/>
      <c r="AB281" s="10"/>
      <c r="AC281" s="10"/>
      <c r="AD281" s="10"/>
      <c r="AE281" s="10"/>
      <c r="AF281" s="10"/>
      <c r="AG281" s="10"/>
      <c r="AH281" s="12"/>
      <c r="AI281" s="7" t="s">
        <v>113</v>
      </c>
      <c r="AJ281" s="12"/>
      <c r="AK281" s="12"/>
      <c r="AL281" s="10"/>
      <c r="AM281" s="12"/>
      <c r="AN281" s="10"/>
      <c r="AO281" s="10"/>
      <c r="AP281" s="10"/>
      <c r="AQ281" s="10"/>
      <c r="AR281" s="10"/>
      <c r="AS281" s="10"/>
      <c r="AT281" s="10"/>
      <c r="AU281" s="7" t="s">
        <v>113</v>
      </c>
      <c r="AV281" s="7" t="s">
        <v>113</v>
      </c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7" t="s">
        <v>113</v>
      </c>
      <c r="CK281" s="7" t="s">
        <v>113</v>
      </c>
      <c r="CL281" s="10"/>
      <c r="CM281" s="12"/>
      <c r="CN281" s="12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>
        <f t="shared" ref="CZ281:CZ299" si="9">IF(COUNTIF(F281:CY281,"ü")&lt;=0,0,1)</f>
        <v>1</v>
      </c>
    </row>
    <row r="282" spans="1:104" s="11" customFormat="1" ht="21.75" customHeight="1">
      <c r="A282" s="13">
        <v>274</v>
      </c>
      <c r="B282" s="53">
        <v>5208</v>
      </c>
      <c r="C282" s="57" t="s">
        <v>665</v>
      </c>
      <c r="D282" s="18" t="s">
        <v>299</v>
      </c>
      <c r="E282" s="9">
        <v>45560</v>
      </c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7"/>
      <c r="S282" s="10"/>
      <c r="T282" s="7"/>
      <c r="U282" s="10"/>
      <c r="V282" s="7"/>
      <c r="W282" s="7"/>
      <c r="X282" s="7"/>
      <c r="Y282" s="7"/>
      <c r="Z282" s="7"/>
      <c r="AA282" s="10"/>
      <c r="AB282" s="10"/>
      <c r="AC282" s="10"/>
      <c r="AD282" s="10"/>
      <c r="AE282" s="10"/>
      <c r="AF282" s="10"/>
      <c r="AG282" s="10"/>
      <c r="AH282" s="12"/>
      <c r="AI282" s="12"/>
      <c r="AJ282" s="12"/>
      <c r="AK282" s="12"/>
      <c r="AL282" s="10"/>
      <c r="AM282" s="12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7" t="s">
        <v>113</v>
      </c>
      <c r="AY282" s="10"/>
      <c r="AZ282" s="10"/>
      <c r="BA282" s="10"/>
      <c r="BB282" s="7" t="s">
        <v>113</v>
      </c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2"/>
      <c r="CN282" s="12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>
        <f t="shared" si="9"/>
        <v>1</v>
      </c>
    </row>
    <row r="283" spans="1:104" s="11" customFormat="1" ht="21.75" customHeight="1">
      <c r="A283" s="13">
        <v>275</v>
      </c>
      <c r="B283" s="58" t="s">
        <v>666</v>
      </c>
      <c r="C283" s="57" t="s">
        <v>667</v>
      </c>
      <c r="D283" s="18" t="s">
        <v>299</v>
      </c>
      <c r="E283" s="9">
        <v>45560</v>
      </c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7"/>
      <c r="S283" s="10"/>
      <c r="T283" s="7"/>
      <c r="U283" s="10"/>
      <c r="V283" s="7"/>
      <c r="W283" s="7"/>
      <c r="X283" s="7"/>
      <c r="Y283" s="7"/>
      <c r="Z283" s="7"/>
      <c r="AA283" s="10"/>
      <c r="AB283" s="10"/>
      <c r="AC283" s="10"/>
      <c r="AD283" s="10"/>
      <c r="AE283" s="10"/>
      <c r="AF283" s="10"/>
      <c r="AG283" s="10"/>
      <c r="AH283" s="12"/>
      <c r="AI283" s="12"/>
      <c r="AJ283" s="12"/>
      <c r="AK283" s="12"/>
      <c r="AL283" s="10"/>
      <c r="AM283" s="12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7" t="s">
        <v>113</v>
      </c>
      <c r="AZ283" s="10"/>
      <c r="BA283" s="10"/>
      <c r="BB283" s="7" t="s">
        <v>113</v>
      </c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2"/>
      <c r="CN283" s="12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>
        <f t="shared" si="9"/>
        <v>1</v>
      </c>
    </row>
    <row r="284" spans="1:104" s="11" customFormat="1" ht="21.75" customHeight="1">
      <c r="A284" s="13">
        <v>276</v>
      </c>
      <c r="B284" s="45">
        <v>5224</v>
      </c>
      <c r="C284" s="65" t="s">
        <v>668</v>
      </c>
      <c r="D284" s="18" t="s">
        <v>262</v>
      </c>
      <c r="E284" s="9">
        <v>45561</v>
      </c>
      <c r="F284" s="10"/>
      <c r="G284" s="12" t="s">
        <v>113</v>
      </c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7"/>
      <c r="S284" s="10"/>
      <c r="T284" s="7"/>
      <c r="U284" s="10"/>
      <c r="V284" s="7"/>
      <c r="W284" s="7"/>
      <c r="X284" s="7"/>
      <c r="Y284" s="7"/>
      <c r="Z284" s="7"/>
      <c r="AA284" s="10"/>
      <c r="AB284" s="10"/>
      <c r="AC284" s="10"/>
      <c r="AD284" s="10"/>
      <c r="AE284" s="10"/>
      <c r="AF284" s="10"/>
      <c r="AG284" s="10"/>
      <c r="AH284" s="12"/>
      <c r="AI284" s="7" t="s">
        <v>113</v>
      </c>
      <c r="AJ284" s="7" t="s">
        <v>113</v>
      </c>
      <c r="AK284" s="7" t="s">
        <v>113</v>
      </c>
      <c r="AL284" s="10"/>
      <c r="AM284" s="12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7" t="s">
        <v>113</v>
      </c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7" t="s">
        <v>113</v>
      </c>
      <c r="CL284" s="10"/>
      <c r="CM284" s="7" t="s">
        <v>113</v>
      </c>
      <c r="CN284" s="7" t="s">
        <v>113</v>
      </c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>
        <f t="shared" si="9"/>
        <v>1</v>
      </c>
    </row>
    <row r="285" spans="1:104" s="11" customFormat="1" ht="21.75" customHeight="1">
      <c r="A285" s="13">
        <v>277</v>
      </c>
      <c r="B285" s="66" t="s">
        <v>669</v>
      </c>
      <c r="C285" s="67" t="s">
        <v>670</v>
      </c>
      <c r="D285" s="18" t="s">
        <v>420</v>
      </c>
      <c r="E285" s="9">
        <v>45717</v>
      </c>
      <c r="F285" s="10"/>
      <c r="G285" s="12" t="s">
        <v>113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7"/>
      <c r="S285" s="10"/>
      <c r="T285" s="7"/>
      <c r="U285" s="10"/>
      <c r="V285" s="7"/>
      <c r="W285" s="7" t="s">
        <v>113</v>
      </c>
      <c r="X285" s="7" t="s">
        <v>113</v>
      </c>
      <c r="Y285" s="7"/>
      <c r="Z285" s="7"/>
      <c r="AA285" s="7" t="s">
        <v>113</v>
      </c>
      <c r="AB285" s="7" t="s">
        <v>113</v>
      </c>
      <c r="AC285" s="10"/>
      <c r="AD285" s="10"/>
      <c r="AE285" s="10"/>
      <c r="AF285" s="10"/>
      <c r="AG285" s="10"/>
      <c r="AH285" s="12"/>
      <c r="AI285" s="12"/>
      <c r="AJ285" s="12"/>
      <c r="AK285" s="12"/>
      <c r="AL285" s="10"/>
      <c r="AM285" s="12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2"/>
      <c r="CN285" s="12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>
        <f t="shared" si="9"/>
        <v>1</v>
      </c>
    </row>
    <row r="286" spans="1:104" s="11" customFormat="1" ht="21.75" customHeight="1">
      <c r="A286" s="13">
        <v>278</v>
      </c>
      <c r="B286" s="45" t="s">
        <v>671</v>
      </c>
      <c r="C286" s="65" t="s">
        <v>672</v>
      </c>
      <c r="D286" s="18" t="s">
        <v>420</v>
      </c>
      <c r="E286" s="9">
        <v>45750</v>
      </c>
      <c r="F286" s="10"/>
      <c r="G286" s="12" t="s">
        <v>113</v>
      </c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7"/>
      <c r="S286" s="10"/>
      <c r="T286" s="7"/>
      <c r="U286" s="10"/>
      <c r="V286" s="7"/>
      <c r="W286" s="7" t="s">
        <v>113</v>
      </c>
      <c r="X286" s="7" t="s">
        <v>113</v>
      </c>
      <c r="Y286" s="7"/>
      <c r="Z286" s="7"/>
      <c r="AA286" s="10"/>
      <c r="AB286" s="7" t="s">
        <v>113</v>
      </c>
      <c r="AC286" s="10"/>
      <c r="AD286" s="10"/>
      <c r="AE286" s="10"/>
      <c r="AF286" s="10"/>
      <c r="AG286" s="10"/>
      <c r="AH286" s="12"/>
      <c r="AI286" s="12"/>
      <c r="AJ286" s="12"/>
      <c r="AK286" s="12"/>
      <c r="AL286" s="10"/>
      <c r="AM286" s="12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2"/>
      <c r="CN286" s="12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>
        <f t="shared" si="9"/>
        <v>1</v>
      </c>
    </row>
    <row r="287" spans="1:104" s="11" customFormat="1" ht="21.75" customHeight="1">
      <c r="A287" s="13">
        <v>279</v>
      </c>
      <c r="B287" s="53">
        <v>39945</v>
      </c>
      <c r="C287" s="57" t="s">
        <v>673</v>
      </c>
      <c r="D287" s="18" t="s">
        <v>420</v>
      </c>
      <c r="E287" s="9">
        <v>45562</v>
      </c>
      <c r="F287" s="10"/>
      <c r="G287" s="12" t="s">
        <v>113</v>
      </c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7"/>
      <c r="S287" s="10"/>
      <c r="T287" s="7"/>
      <c r="U287" s="10"/>
      <c r="V287" s="7"/>
      <c r="W287" s="7"/>
      <c r="X287" s="7"/>
      <c r="Y287" s="7"/>
      <c r="Z287" s="7"/>
      <c r="AA287" s="10"/>
      <c r="AB287" s="7" t="s">
        <v>113</v>
      </c>
      <c r="AC287" s="10"/>
      <c r="AD287" s="10"/>
      <c r="AE287" s="10"/>
      <c r="AF287" s="10"/>
      <c r="AG287" s="10"/>
      <c r="AH287" s="12"/>
      <c r="AI287" s="12"/>
      <c r="AJ287" s="12"/>
      <c r="AK287" s="12"/>
      <c r="AL287" s="10"/>
      <c r="AM287" s="12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2"/>
      <c r="CN287" s="12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>
        <f t="shared" si="9"/>
        <v>1</v>
      </c>
    </row>
    <row r="288" spans="1:104" s="11" customFormat="1" ht="21.75" customHeight="1">
      <c r="A288" s="13">
        <v>280</v>
      </c>
      <c r="B288" s="45" t="s">
        <v>546</v>
      </c>
      <c r="C288" s="65" t="s">
        <v>547</v>
      </c>
      <c r="D288" s="18" t="s">
        <v>420</v>
      </c>
      <c r="E288" s="9">
        <v>45562</v>
      </c>
      <c r="F288" s="10"/>
      <c r="G288" s="12" t="s">
        <v>113</v>
      </c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7"/>
      <c r="S288" s="10"/>
      <c r="T288" s="7"/>
      <c r="U288" s="10"/>
      <c r="V288" s="7"/>
      <c r="W288" s="7"/>
      <c r="X288" s="7"/>
      <c r="Y288" s="7"/>
      <c r="Z288" s="7"/>
      <c r="AA288" s="7" t="s">
        <v>113</v>
      </c>
      <c r="AB288" s="7" t="s">
        <v>113</v>
      </c>
      <c r="AC288" s="10"/>
      <c r="AD288" s="10"/>
      <c r="AE288" s="10"/>
      <c r="AF288" s="10"/>
      <c r="AG288" s="10"/>
      <c r="AH288" s="12"/>
      <c r="AI288" s="12"/>
      <c r="AJ288" s="12"/>
      <c r="AK288" s="12"/>
      <c r="AL288" s="10"/>
      <c r="AM288" s="12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2"/>
      <c r="CN288" s="12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>
        <f t="shared" si="9"/>
        <v>1</v>
      </c>
    </row>
    <row r="289" spans="1:104" s="11" customFormat="1" ht="21.75" customHeight="1">
      <c r="A289" s="13">
        <v>281</v>
      </c>
      <c r="B289" s="45" t="s">
        <v>674</v>
      </c>
      <c r="C289" s="65" t="s">
        <v>675</v>
      </c>
      <c r="D289" s="18" t="s">
        <v>420</v>
      </c>
      <c r="E289" s="9">
        <v>45810</v>
      </c>
      <c r="F289" s="10"/>
      <c r="G289" s="12" t="s">
        <v>113</v>
      </c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7"/>
      <c r="S289" s="10"/>
      <c r="T289" s="7"/>
      <c r="U289" s="10"/>
      <c r="V289" s="7"/>
      <c r="W289" s="7"/>
      <c r="X289" s="7"/>
      <c r="Y289" s="7"/>
      <c r="Z289" s="7"/>
      <c r="AA289" s="10"/>
      <c r="AB289" s="7" t="s">
        <v>113</v>
      </c>
      <c r="AC289" s="10"/>
      <c r="AD289" s="10"/>
      <c r="AE289" s="10"/>
      <c r="AF289" s="10"/>
      <c r="AG289" s="10"/>
      <c r="AH289" s="12"/>
      <c r="AI289" s="12"/>
      <c r="AJ289" s="12"/>
      <c r="AK289" s="12"/>
      <c r="AL289" s="10"/>
      <c r="AM289" s="12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2"/>
      <c r="CN289" s="12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>
        <f t="shared" si="9"/>
        <v>1</v>
      </c>
    </row>
    <row r="290" spans="1:104" s="11" customFormat="1" ht="21.75" customHeight="1">
      <c r="A290" s="13">
        <v>282</v>
      </c>
      <c r="B290" s="45" t="s">
        <v>676</v>
      </c>
      <c r="C290" s="65" t="s">
        <v>677</v>
      </c>
      <c r="D290" s="18" t="s">
        <v>420</v>
      </c>
      <c r="E290" s="9">
        <v>45717</v>
      </c>
      <c r="F290" s="10"/>
      <c r="G290" s="12" t="s">
        <v>113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7"/>
      <c r="S290" s="10"/>
      <c r="T290" s="7"/>
      <c r="U290" s="10"/>
      <c r="V290" s="7"/>
      <c r="W290" s="7"/>
      <c r="X290" s="7"/>
      <c r="Y290" s="7"/>
      <c r="Z290" s="7"/>
      <c r="AA290" s="10"/>
      <c r="AB290" s="10"/>
      <c r="AC290" s="7" t="s">
        <v>113</v>
      </c>
      <c r="AD290" s="7" t="s">
        <v>113</v>
      </c>
      <c r="AE290" s="7" t="s">
        <v>113</v>
      </c>
      <c r="AF290" s="10"/>
      <c r="AG290" s="10"/>
      <c r="AH290" s="12"/>
      <c r="AI290" s="12"/>
      <c r="AJ290" s="12"/>
      <c r="AK290" s="12"/>
      <c r="AL290" s="10"/>
      <c r="AM290" s="12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2"/>
      <c r="CN290" s="12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>
        <f t="shared" si="9"/>
        <v>1</v>
      </c>
    </row>
    <row r="291" spans="1:104" s="11" customFormat="1" ht="21.75" customHeight="1">
      <c r="A291" s="13">
        <v>283</v>
      </c>
      <c r="B291" s="68" t="s">
        <v>678</v>
      </c>
      <c r="C291" s="69" t="s">
        <v>679</v>
      </c>
      <c r="D291" s="19" t="s">
        <v>680</v>
      </c>
      <c r="E291" s="9">
        <v>45563</v>
      </c>
      <c r="F291" s="10"/>
      <c r="G291" s="12" t="s">
        <v>113</v>
      </c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7"/>
      <c r="S291" s="10"/>
      <c r="T291" s="7" t="s">
        <v>113</v>
      </c>
      <c r="U291" s="10"/>
      <c r="V291" s="7" t="s">
        <v>113</v>
      </c>
      <c r="W291" s="7"/>
      <c r="X291" s="7"/>
      <c r="Y291" s="7"/>
      <c r="Z291" s="7"/>
      <c r="AA291" s="10"/>
      <c r="AB291" s="10"/>
      <c r="AC291" s="10"/>
      <c r="AD291" s="10"/>
      <c r="AE291" s="10"/>
      <c r="AF291" s="10"/>
      <c r="AG291" s="10"/>
      <c r="AH291" s="12"/>
      <c r="AI291" s="12"/>
      <c r="AJ291" s="12"/>
      <c r="AK291" s="12"/>
      <c r="AL291" s="10"/>
      <c r="AM291" s="12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2"/>
      <c r="CN291" s="12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>
        <f t="shared" si="9"/>
        <v>1</v>
      </c>
    </row>
    <row r="292" spans="1:104" s="11" customFormat="1" ht="21.75" customHeight="1">
      <c r="A292" s="13">
        <v>284</v>
      </c>
      <c r="B292" s="68" t="s">
        <v>681</v>
      </c>
      <c r="C292" s="69" t="s">
        <v>682</v>
      </c>
      <c r="D292" s="19" t="s">
        <v>680</v>
      </c>
      <c r="E292" s="9">
        <v>45563</v>
      </c>
      <c r="F292" s="10"/>
      <c r="G292" s="12" t="s">
        <v>113</v>
      </c>
      <c r="H292" s="10"/>
      <c r="I292" s="10"/>
      <c r="J292" s="10"/>
      <c r="K292" s="10"/>
      <c r="L292" s="10"/>
      <c r="M292" s="10"/>
      <c r="N292" s="10"/>
      <c r="O292" s="10"/>
      <c r="P292" s="7" t="s">
        <v>113</v>
      </c>
      <c r="Q292" s="7" t="s">
        <v>113</v>
      </c>
      <c r="R292" s="7" t="s">
        <v>113</v>
      </c>
      <c r="S292" s="7" t="s">
        <v>113</v>
      </c>
      <c r="T292" s="7"/>
      <c r="U292" s="10"/>
      <c r="V292" s="7"/>
      <c r="W292" s="7"/>
      <c r="X292" s="7"/>
      <c r="Y292" s="7"/>
      <c r="Z292" s="7"/>
      <c r="AA292" s="10"/>
      <c r="AB292" s="10"/>
      <c r="AC292" s="10"/>
      <c r="AD292" s="10"/>
      <c r="AE292" s="10"/>
      <c r="AF292" s="10"/>
      <c r="AG292" s="10"/>
      <c r="AH292" s="12"/>
      <c r="AI292" s="12"/>
      <c r="AJ292" s="12"/>
      <c r="AK292" s="12"/>
      <c r="AL292" s="10"/>
      <c r="AM292" s="12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2"/>
      <c r="CN292" s="12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>
        <f t="shared" si="9"/>
        <v>1</v>
      </c>
    </row>
    <row r="293" spans="1:104" s="11" customFormat="1" ht="21.75" customHeight="1">
      <c r="A293" s="13">
        <v>285</v>
      </c>
      <c r="B293" s="103">
        <v>39367</v>
      </c>
      <c r="C293" s="69" t="s">
        <v>683</v>
      </c>
      <c r="D293" s="19" t="s">
        <v>680</v>
      </c>
      <c r="E293" s="9">
        <v>45563</v>
      </c>
      <c r="F293" s="10"/>
      <c r="G293" s="12" t="s">
        <v>113</v>
      </c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7"/>
      <c r="S293" s="10"/>
      <c r="T293" s="7"/>
      <c r="U293" s="10"/>
      <c r="V293" s="7" t="s">
        <v>113</v>
      </c>
      <c r="W293" s="7"/>
      <c r="X293" s="7"/>
      <c r="Y293" s="7"/>
      <c r="Z293" s="7"/>
      <c r="AA293" s="10"/>
      <c r="AB293" s="10"/>
      <c r="AC293" s="10"/>
      <c r="AD293" s="10"/>
      <c r="AE293" s="10"/>
      <c r="AF293" s="10"/>
      <c r="AG293" s="10"/>
      <c r="AH293" s="12"/>
      <c r="AI293" s="12"/>
      <c r="AJ293" s="12"/>
      <c r="AK293" s="12"/>
      <c r="AL293" s="10"/>
      <c r="AM293" s="12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2"/>
      <c r="CN293" s="12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>
        <f t="shared" si="9"/>
        <v>1</v>
      </c>
    </row>
    <row r="294" spans="1:104" s="11" customFormat="1" ht="21.75" customHeight="1">
      <c r="A294" s="13">
        <v>286</v>
      </c>
      <c r="B294" s="45" t="s">
        <v>684</v>
      </c>
      <c r="C294" s="46" t="s">
        <v>685</v>
      </c>
      <c r="D294" s="19" t="s">
        <v>420</v>
      </c>
      <c r="E294" s="9">
        <v>45717</v>
      </c>
      <c r="F294" s="10"/>
      <c r="G294" s="12" t="s">
        <v>113</v>
      </c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7"/>
      <c r="S294" s="10"/>
      <c r="T294" s="7"/>
      <c r="U294" s="10"/>
      <c r="V294" s="7"/>
      <c r="W294" s="7" t="s">
        <v>113</v>
      </c>
      <c r="X294" s="7" t="s">
        <v>113</v>
      </c>
      <c r="Y294" s="7" t="s">
        <v>113</v>
      </c>
      <c r="Z294" s="7"/>
      <c r="AA294" s="10"/>
      <c r="AB294" s="10"/>
      <c r="AC294" s="10"/>
      <c r="AD294" s="10"/>
      <c r="AE294" s="10"/>
      <c r="AF294" s="10"/>
      <c r="AG294" s="10"/>
      <c r="AH294" s="12"/>
      <c r="AI294" s="12"/>
      <c r="AJ294" s="12"/>
      <c r="AK294" s="12"/>
      <c r="AL294" s="10"/>
      <c r="AM294" s="12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2"/>
      <c r="CN294" s="12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>
        <f t="shared" si="9"/>
        <v>1</v>
      </c>
    </row>
    <row r="295" spans="1:104" s="11" customFormat="1" ht="21.75" customHeight="1">
      <c r="A295" s="13">
        <v>287</v>
      </c>
      <c r="B295" s="45" t="s">
        <v>686</v>
      </c>
      <c r="C295" s="65" t="s">
        <v>687</v>
      </c>
      <c r="D295" s="29" t="s">
        <v>420</v>
      </c>
      <c r="E295" s="9">
        <v>45810</v>
      </c>
      <c r="F295" s="10"/>
      <c r="G295" s="12" t="s">
        <v>113</v>
      </c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7"/>
      <c r="S295" s="10"/>
      <c r="T295" s="7"/>
      <c r="U295" s="10"/>
      <c r="V295" s="7"/>
      <c r="W295" s="7"/>
      <c r="X295" s="7"/>
      <c r="Y295" s="7" t="s">
        <v>113</v>
      </c>
      <c r="Z295" s="7"/>
      <c r="AA295" s="10"/>
      <c r="AB295" s="10"/>
      <c r="AC295" s="10"/>
      <c r="AD295" s="10"/>
      <c r="AE295" s="10"/>
      <c r="AF295" s="10"/>
      <c r="AG295" s="10"/>
      <c r="AH295" s="12"/>
      <c r="AI295" s="12"/>
      <c r="AJ295" s="12"/>
      <c r="AK295" s="12"/>
      <c r="AL295" s="10"/>
      <c r="AM295" s="12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2"/>
      <c r="CN295" s="12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>
        <f t="shared" si="9"/>
        <v>1</v>
      </c>
    </row>
    <row r="296" spans="1:104" s="11" customFormat="1" ht="21.75" customHeight="1">
      <c r="A296" s="13">
        <v>288</v>
      </c>
      <c r="B296" s="45" t="s">
        <v>688</v>
      </c>
      <c r="C296" s="65" t="s">
        <v>689</v>
      </c>
      <c r="D296" s="29" t="s">
        <v>420</v>
      </c>
      <c r="E296" s="9">
        <v>45810</v>
      </c>
      <c r="F296" s="10"/>
      <c r="G296" s="12" t="s">
        <v>113</v>
      </c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7"/>
      <c r="S296" s="10"/>
      <c r="T296" s="7"/>
      <c r="U296" s="10"/>
      <c r="V296" s="7"/>
      <c r="W296" s="7"/>
      <c r="X296" s="7"/>
      <c r="Y296" s="7" t="s">
        <v>113</v>
      </c>
      <c r="Z296" s="7"/>
      <c r="AA296" s="10"/>
      <c r="AB296" s="10"/>
      <c r="AC296" s="10"/>
      <c r="AD296" s="10"/>
      <c r="AE296" s="10"/>
      <c r="AF296" s="10"/>
      <c r="AG296" s="10"/>
      <c r="AH296" s="12"/>
      <c r="AI296" s="12"/>
      <c r="AJ296" s="12"/>
      <c r="AK296" s="12"/>
      <c r="AL296" s="10"/>
      <c r="AM296" s="12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2"/>
      <c r="CN296" s="12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>
        <f t="shared" si="9"/>
        <v>1</v>
      </c>
    </row>
    <row r="297" spans="1:104" s="11" customFormat="1" ht="21.75" customHeight="1">
      <c r="A297" s="13">
        <v>289</v>
      </c>
      <c r="B297" s="70" t="s">
        <v>690</v>
      </c>
      <c r="C297" s="71" t="s">
        <v>691</v>
      </c>
      <c r="D297" s="29" t="s">
        <v>420</v>
      </c>
      <c r="E297" s="9">
        <v>45563</v>
      </c>
      <c r="F297" s="10"/>
      <c r="G297" s="12" t="s">
        <v>113</v>
      </c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7"/>
      <c r="S297" s="10"/>
      <c r="T297" s="7"/>
      <c r="U297" s="10"/>
      <c r="V297" s="7"/>
      <c r="W297" s="7" t="s">
        <v>113</v>
      </c>
      <c r="X297" s="7" t="s">
        <v>113</v>
      </c>
      <c r="Y297" s="7" t="s">
        <v>113</v>
      </c>
      <c r="Z297" s="7" t="s">
        <v>113</v>
      </c>
      <c r="AA297" s="10"/>
      <c r="AB297" s="10"/>
      <c r="AC297" s="10"/>
      <c r="AD297" s="10"/>
      <c r="AE297" s="10"/>
      <c r="AF297" s="10"/>
      <c r="AG297" s="10"/>
      <c r="AH297" s="12"/>
      <c r="AI297" s="12"/>
      <c r="AJ297" s="12"/>
      <c r="AK297" s="12"/>
      <c r="AL297" s="10"/>
      <c r="AM297" s="12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2"/>
      <c r="CN297" s="12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>
        <f t="shared" si="9"/>
        <v>1</v>
      </c>
    </row>
    <row r="298" spans="1:104" s="11" customFormat="1" ht="21.75" customHeight="1">
      <c r="A298" s="13">
        <v>290</v>
      </c>
      <c r="B298" s="38">
        <v>5225</v>
      </c>
      <c r="C298" s="44" t="s">
        <v>692</v>
      </c>
      <c r="D298" s="19" t="s">
        <v>262</v>
      </c>
      <c r="E298" s="9">
        <v>45566</v>
      </c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7"/>
      <c r="S298" s="10"/>
      <c r="T298" s="7"/>
      <c r="U298" s="10"/>
      <c r="V298" s="7"/>
      <c r="W298" s="7"/>
      <c r="X298" s="7"/>
      <c r="Y298" s="7"/>
      <c r="Z298" s="7"/>
      <c r="AA298" s="10"/>
      <c r="AB298" s="10"/>
      <c r="AC298" s="10"/>
      <c r="AD298" s="10"/>
      <c r="AE298" s="10"/>
      <c r="AF298" s="10"/>
      <c r="AG298" s="10"/>
      <c r="AH298" s="12"/>
      <c r="AI298" s="12"/>
      <c r="AJ298" s="7" t="s">
        <v>113</v>
      </c>
      <c r="AK298" s="7" t="s">
        <v>113</v>
      </c>
      <c r="AL298" s="10"/>
      <c r="AM298" s="12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7" t="s">
        <v>113</v>
      </c>
      <c r="CL298" s="10"/>
      <c r="CM298" s="7" t="s">
        <v>113</v>
      </c>
      <c r="CN298" s="7" t="s">
        <v>113</v>
      </c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>
        <f t="shared" si="9"/>
        <v>1</v>
      </c>
    </row>
    <row r="299" spans="1:104" s="11" customFormat="1" ht="21.75" customHeight="1">
      <c r="A299" s="13">
        <v>291</v>
      </c>
      <c r="B299" s="43" t="s">
        <v>693</v>
      </c>
      <c r="C299" s="36" t="s">
        <v>694</v>
      </c>
      <c r="D299" s="18" t="s">
        <v>262</v>
      </c>
      <c r="E299" s="9">
        <v>45566</v>
      </c>
      <c r="F299" s="10"/>
      <c r="G299" s="7" t="s">
        <v>113</v>
      </c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7"/>
      <c r="S299" s="10"/>
      <c r="T299" s="7"/>
      <c r="U299" s="10"/>
      <c r="V299" s="7"/>
      <c r="W299" s="7"/>
      <c r="X299" s="7"/>
      <c r="Y299" s="7"/>
      <c r="Z299" s="7"/>
      <c r="AA299" s="10"/>
      <c r="AB299" s="10"/>
      <c r="AC299" s="10"/>
      <c r="AD299" s="10"/>
      <c r="AE299" s="10"/>
      <c r="AF299" s="10"/>
      <c r="AG299" s="10"/>
      <c r="AH299" s="12"/>
      <c r="AI299" s="7" t="s">
        <v>113</v>
      </c>
      <c r="AJ299" s="7" t="s">
        <v>113</v>
      </c>
      <c r="AK299" s="7" t="s">
        <v>113</v>
      </c>
      <c r="AL299" s="10"/>
      <c r="AM299" s="12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7" t="s">
        <v>113</v>
      </c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7" t="s">
        <v>113</v>
      </c>
      <c r="CK299" s="7" t="s">
        <v>113</v>
      </c>
      <c r="CL299" s="10"/>
      <c r="CM299" s="7" t="s">
        <v>113</v>
      </c>
      <c r="CN299" s="7" t="s">
        <v>113</v>
      </c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>
        <f t="shared" si="9"/>
        <v>1</v>
      </c>
    </row>
    <row r="300" spans="1:104" s="11" customFormat="1" ht="21.75" customHeight="1">
      <c r="A300" s="13">
        <v>292</v>
      </c>
      <c r="B300" s="72">
        <v>5253</v>
      </c>
      <c r="C300" s="73" t="s">
        <v>695</v>
      </c>
      <c r="D300" s="20" t="s">
        <v>120</v>
      </c>
      <c r="E300" s="9">
        <v>45570</v>
      </c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7"/>
      <c r="S300" s="10"/>
      <c r="T300" s="7"/>
      <c r="U300" s="10"/>
      <c r="V300" s="7"/>
      <c r="W300" s="7"/>
      <c r="X300" s="7"/>
      <c r="Y300" s="7"/>
      <c r="Z300" s="7"/>
      <c r="AA300" s="10"/>
      <c r="AB300" s="10"/>
      <c r="AC300" s="10"/>
      <c r="AD300" s="10"/>
      <c r="AE300" s="10"/>
      <c r="AF300" s="10"/>
      <c r="AG300" s="10"/>
      <c r="AH300" s="12"/>
      <c r="AI300" s="12"/>
      <c r="AJ300" s="12"/>
      <c r="AK300" s="12"/>
      <c r="AL300" s="10"/>
      <c r="AM300" s="12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7" t="s">
        <v>113</v>
      </c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7" t="s">
        <v>113</v>
      </c>
      <c r="BU300" s="7"/>
      <c r="BV300" s="7"/>
      <c r="BW300" s="7"/>
      <c r="BX300" s="7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2"/>
      <c r="CN300" s="12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>
        <f t="shared" ref="CZ300:CZ318" si="10">IF(COUNTIF(F300:CY300,"ü")&lt;=0,0,1)</f>
        <v>1</v>
      </c>
    </row>
    <row r="301" spans="1:104" s="11" customFormat="1" ht="21.75" customHeight="1">
      <c r="A301" s="13">
        <v>293</v>
      </c>
      <c r="B301" s="74" t="s">
        <v>597</v>
      </c>
      <c r="C301" s="73" t="s">
        <v>598</v>
      </c>
      <c r="D301" s="20" t="s">
        <v>120</v>
      </c>
      <c r="E301" s="9">
        <v>45570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7"/>
      <c r="S301" s="10"/>
      <c r="T301" s="7"/>
      <c r="U301" s="10"/>
      <c r="V301" s="7"/>
      <c r="W301" s="7"/>
      <c r="X301" s="7"/>
      <c r="Y301" s="7"/>
      <c r="Z301" s="7"/>
      <c r="AA301" s="10"/>
      <c r="AB301" s="10"/>
      <c r="AC301" s="10"/>
      <c r="AD301" s="10"/>
      <c r="AE301" s="10"/>
      <c r="AF301" s="10"/>
      <c r="AG301" s="10"/>
      <c r="AH301" s="12"/>
      <c r="AI301" s="12"/>
      <c r="AJ301" s="12"/>
      <c r="AK301" s="12"/>
      <c r="AL301" s="10"/>
      <c r="AM301" s="12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7" t="s">
        <v>113</v>
      </c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2"/>
      <c r="CN301" s="12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>
        <f t="shared" si="10"/>
        <v>1</v>
      </c>
    </row>
    <row r="302" spans="1:104" s="11" customFormat="1" ht="21.75" customHeight="1">
      <c r="A302" s="13">
        <v>294</v>
      </c>
      <c r="B302" s="38">
        <v>5245</v>
      </c>
      <c r="C302" s="44" t="s">
        <v>696</v>
      </c>
      <c r="D302" s="19" t="s">
        <v>576</v>
      </c>
      <c r="E302" s="9">
        <v>45782</v>
      </c>
      <c r="F302" s="10"/>
      <c r="G302" s="12" t="s">
        <v>113</v>
      </c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7"/>
      <c r="S302" s="10"/>
      <c r="T302" s="7"/>
      <c r="U302" s="10"/>
      <c r="V302" s="7"/>
      <c r="W302" s="7"/>
      <c r="X302" s="7"/>
      <c r="Y302" s="7"/>
      <c r="Z302" s="7"/>
      <c r="AA302" s="10"/>
      <c r="AB302" s="10"/>
      <c r="AC302" s="10"/>
      <c r="AD302" s="10"/>
      <c r="AE302" s="10"/>
      <c r="AF302" s="10"/>
      <c r="AG302" s="10"/>
      <c r="AH302" s="12"/>
      <c r="AI302" s="12"/>
      <c r="AJ302" s="7" t="s">
        <v>113</v>
      </c>
      <c r="AK302" s="12"/>
      <c r="AL302" s="10"/>
      <c r="AM302" s="12"/>
      <c r="AN302" s="10"/>
      <c r="AO302" s="10"/>
      <c r="AP302" s="7" t="s">
        <v>113</v>
      </c>
      <c r="AQ302" s="10"/>
      <c r="AR302" s="10"/>
      <c r="AS302" s="10"/>
      <c r="AT302" s="10"/>
      <c r="AU302" s="10"/>
      <c r="AV302" s="10"/>
      <c r="AW302" s="10"/>
      <c r="AX302" s="10"/>
      <c r="AY302" s="7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2"/>
      <c r="CN302" s="12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>
        <f t="shared" si="10"/>
        <v>1</v>
      </c>
    </row>
    <row r="303" spans="1:104" s="11" customFormat="1" ht="21.75" customHeight="1">
      <c r="A303" s="13">
        <v>295</v>
      </c>
      <c r="B303" s="75" t="s">
        <v>697</v>
      </c>
      <c r="C303" s="76" t="s">
        <v>698</v>
      </c>
      <c r="D303" s="19" t="s">
        <v>393</v>
      </c>
      <c r="E303" s="9">
        <v>45570</v>
      </c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7"/>
      <c r="S303" s="10"/>
      <c r="T303" s="7"/>
      <c r="U303" s="10"/>
      <c r="V303" s="7"/>
      <c r="W303" s="7"/>
      <c r="X303" s="7"/>
      <c r="Y303" s="7"/>
      <c r="Z303" s="7"/>
      <c r="AA303" s="10"/>
      <c r="AB303" s="10"/>
      <c r="AC303" s="10"/>
      <c r="AD303" s="10"/>
      <c r="AE303" s="10"/>
      <c r="AF303" s="10"/>
      <c r="AG303" s="10"/>
      <c r="AH303" s="12"/>
      <c r="AI303" s="12"/>
      <c r="AJ303" s="12"/>
      <c r="AK303" s="12"/>
      <c r="AL303" s="10"/>
      <c r="AM303" s="12"/>
      <c r="AN303" s="10"/>
      <c r="AO303" s="10"/>
      <c r="AP303" s="10"/>
      <c r="AQ303" s="10"/>
      <c r="AR303" s="10"/>
      <c r="AS303" s="10"/>
      <c r="AT303" s="7" t="s">
        <v>113</v>
      </c>
      <c r="AU303" s="10"/>
      <c r="AV303" s="10"/>
      <c r="AW303" s="10"/>
      <c r="AX303" s="10"/>
      <c r="AY303" s="7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2"/>
      <c r="CN303" s="12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>
        <f t="shared" si="10"/>
        <v>1</v>
      </c>
    </row>
    <row r="304" spans="1:104" s="11" customFormat="1" ht="21.75" customHeight="1">
      <c r="A304" s="13">
        <v>296</v>
      </c>
      <c r="B304" s="38">
        <v>5289</v>
      </c>
      <c r="C304" s="44" t="s">
        <v>699</v>
      </c>
      <c r="D304" s="18" t="s">
        <v>420</v>
      </c>
      <c r="E304" s="9">
        <v>45573</v>
      </c>
      <c r="F304" s="10"/>
      <c r="G304" s="12" t="s">
        <v>113</v>
      </c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7"/>
      <c r="S304" s="10"/>
      <c r="T304" s="7"/>
      <c r="U304" s="10"/>
      <c r="V304" s="7"/>
      <c r="W304" s="7"/>
      <c r="X304" s="7"/>
      <c r="Y304" s="7"/>
      <c r="Z304" s="7"/>
      <c r="AA304" s="7" t="s">
        <v>113</v>
      </c>
      <c r="AB304" s="7" t="s">
        <v>113</v>
      </c>
      <c r="AC304" s="10"/>
      <c r="AD304" s="10"/>
      <c r="AE304" s="10"/>
      <c r="AF304" s="10"/>
      <c r="AG304" s="10"/>
      <c r="AH304" s="12"/>
      <c r="AI304" s="12"/>
      <c r="AJ304" s="12"/>
      <c r="AK304" s="12"/>
      <c r="AL304" s="10"/>
      <c r="AM304" s="12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7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7" t="s">
        <v>113</v>
      </c>
      <c r="BV304" s="10"/>
      <c r="BW304" s="7" t="s">
        <v>113</v>
      </c>
      <c r="BX304" s="10"/>
      <c r="BY304" s="10"/>
      <c r="BZ304" s="10"/>
      <c r="CA304" s="7" t="s">
        <v>113</v>
      </c>
      <c r="CB304" s="7" t="s">
        <v>113</v>
      </c>
      <c r="CC304" s="7" t="s">
        <v>113</v>
      </c>
      <c r="CD304" s="7" t="s">
        <v>113</v>
      </c>
      <c r="CE304" s="7" t="s">
        <v>113</v>
      </c>
      <c r="CF304" s="10"/>
      <c r="CG304" s="10"/>
      <c r="CH304" s="10"/>
      <c r="CI304" s="10"/>
      <c r="CJ304" s="10"/>
      <c r="CK304" s="10"/>
      <c r="CL304" s="10"/>
      <c r="CM304" s="12"/>
      <c r="CN304" s="12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>
        <f t="shared" si="10"/>
        <v>1</v>
      </c>
    </row>
    <row r="305" spans="1:104" s="11" customFormat="1" ht="21.75" customHeight="1">
      <c r="A305" s="13">
        <v>297</v>
      </c>
      <c r="B305" s="38">
        <v>40021</v>
      </c>
      <c r="C305" s="44" t="s">
        <v>700</v>
      </c>
      <c r="D305" s="18" t="s">
        <v>420</v>
      </c>
      <c r="E305" s="9">
        <v>45574</v>
      </c>
      <c r="F305" s="10"/>
      <c r="G305" s="12" t="s">
        <v>113</v>
      </c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7"/>
      <c r="S305" s="10"/>
      <c r="T305" s="7"/>
      <c r="U305" s="10"/>
      <c r="V305" s="7"/>
      <c r="W305" s="7"/>
      <c r="X305" s="7"/>
      <c r="Y305" s="7"/>
      <c r="Z305" s="7"/>
      <c r="AA305" s="10"/>
      <c r="AB305" s="7" t="s">
        <v>113</v>
      </c>
      <c r="AC305" s="10"/>
      <c r="AD305" s="10"/>
      <c r="AE305" s="10"/>
      <c r="AF305" s="10"/>
      <c r="AG305" s="10"/>
      <c r="AH305" s="12"/>
      <c r="AI305" s="12"/>
      <c r="AJ305" s="12"/>
      <c r="AK305" s="12"/>
      <c r="AL305" s="10"/>
      <c r="AM305" s="12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7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2"/>
      <c r="CN305" s="12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>
        <f t="shared" si="10"/>
        <v>1</v>
      </c>
    </row>
    <row r="306" spans="1:104" s="11" customFormat="1" ht="21.75" customHeight="1">
      <c r="A306" s="13">
        <v>298</v>
      </c>
      <c r="B306" s="38">
        <v>39946</v>
      </c>
      <c r="C306" s="44" t="s">
        <v>701</v>
      </c>
      <c r="D306" s="18" t="s">
        <v>420</v>
      </c>
      <c r="E306" s="9">
        <v>45574</v>
      </c>
      <c r="F306" s="10"/>
      <c r="G306" s="12" t="s">
        <v>113</v>
      </c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7"/>
      <c r="S306" s="10"/>
      <c r="T306" s="7"/>
      <c r="U306" s="10"/>
      <c r="V306" s="7"/>
      <c r="W306" s="7" t="s">
        <v>113</v>
      </c>
      <c r="X306" s="7" t="s">
        <v>113</v>
      </c>
      <c r="Y306" s="7" t="s">
        <v>113</v>
      </c>
      <c r="Z306" s="7"/>
      <c r="AA306" s="10"/>
      <c r="AB306" s="10"/>
      <c r="AC306" s="10"/>
      <c r="AD306" s="10"/>
      <c r="AE306" s="10"/>
      <c r="AF306" s="10"/>
      <c r="AG306" s="10"/>
      <c r="AH306" s="12"/>
      <c r="AI306" s="12"/>
      <c r="AJ306" s="12"/>
      <c r="AK306" s="12"/>
      <c r="AL306" s="10"/>
      <c r="AM306" s="12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7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2"/>
      <c r="CN306" s="12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>
        <f t="shared" si="10"/>
        <v>1</v>
      </c>
    </row>
    <row r="307" spans="1:104" s="11" customFormat="1" ht="21.75" customHeight="1">
      <c r="A307" s="13">
        <v>299</v>
      </c>
      <c r="B307" s="77" t="s">
        <v>702</v>
      </c>
      <c r="C307" s="77" t="s">
        <v>703</v>
      </c>
      <c r="D307" s="18" t="s">
        <v>420</v>
      </c>
      <c r="E307" s="9">
        <v>45574</v>
      </c>
      <c r="F307" s="10"/>
      <c r="G307" s="12" t="s">
        <v>113</v>
      </c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7"/>
      <c r="S307" s="10"/>
      <c r="T307" s="7"/>
      <c r="U307" s="10"/>
      <c r="V307" s="7"/>
      <c r="W307" s="7" t="s">
        <v>113</v>
      </c>
      <c r="X307" s="7" t="s">
        <v>113</v>
      </c>
      <c r="Y307" s="7"/>
      <c r="Z307" s="7"/>
      <c r="AA307" s="10"/>
      <c r="AB307" s="10"/>
      <c r="AC307" s="10"/>
      <c r="AD307" s="10"/>
      <c r="AE307" s="10"/>
      <c r="AF307" s="10"/>
      <c r="AG307" s="10"/>
      <c r="AH307" s="12"/>
      <c r="AI307" s="12"/>
      <c r="AJ307" s="12"/>
      <c r="AK307" s="12"/>
      <c r="AL307" s="10"/>
      <c r="AM307" s="12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7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2"/>
      <c r="CN307" s="12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>
        <f t="shared" si="10"/>
        <v>1</v>
      </c>
    </row>
    <row r="308" spans="1:104" s="11" customFormat="1" ht="21.75" customHeight="1">
      <c r="A308" s="13">
        <v>300</v>
      </c>
      <c r="B308" s="43" t="s">
        <v>704</v>
      </c>
      <c r="C308" s="44" t="s">
        <v>705</v>
      </c>
      <c r="D308" s="18" t="s">
        <v>420</v>
      </c>
      <c r="E308" s="9">
        <v>45574</v>
      </c>
      <c r="F308" s="10"/>
      <c r="G308" s="12" t="s">
        <v>113</v>
      </c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7"/>
      <c r="S308" s="10"/>
      <c r="T308" s="7"/>
      <c r="U308" s="10"/>
      <c r="V308" s="7"/>
      <c r="W308" s="7" t="s">
        <v>113</v>
      </c>
      <c r="X308" s="7" t="s">
        <v>113</v>
      </c>
      <c r="Y308" s="7" t="s">
        <v>113</v>
      </c>
      <c r="Z308" s="7"/>
      <c r="AA308" s="10"/>
      <c r="AB308" s="10"/>
      <c r="AC308" s="10"/>
      <c r="AD308" s="10"/>
      <c r="AE308" s="10"/>
      <c r="AF308" s="10"/>
      <c r="AG308" s="10"/>
      <c r="AH308" s="12"/>
      <c r="AI308" s="12"/>
      <c r="AJ308" s="12"/>
      <c r="AK308" s="12"/>
      <c r="AL308" s="10"/>
      <c r="AM308" s="12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7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2"/>
      <c r="CN308" s="12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>
        <f t="shared" si="10"/>
        <v>1</v>
      </c>
    </row>
    <row r="309" spans="1:104" s="11" customFormat="1" ht="21.75" customHeight="1">
      <c r="A309" s="13">
        <v>301</v>
      </c>
      <c r="B309" s="43" t="s">
        <v>706</v>
      </c>
      <c r="C309" s="44" t="s">
        <v>707</v>
      </c>
      <c r="D309" s="18" t="s">
        <v>708</v>
      </c>
      <c r="E309" s="9">
        <v>45584</v>
      </c>
      <c r="F309" s="10"/>
      <c r="G309" s="12" t="s">
        <v>113</v>
      </c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7"/>
      <c r="S309" s="10"/>
      <c r="T309" s="7"/>
      <c r="U309" s="10"/>
      <c r="V309" s="7"/>
      <c r="W309" s="7"/>
      <c r="X309" s="7"/>
      <c r="Y309" s="7"/>
      <c r="Z309" s="7"/>
      <c r="AA309" s="10"/>
      <c r="AB309" s="10"/>
      <c r="AC309" s="10"/>
      <c r="AD309" s="10"/>
      <c r="AE309" s="10"/>
      <c r="AF309" s="10"/>
      <c r="AG309" s="10"/>
      <c r="AH309" s="12" t="s">
        <v>113</v>
      </c>
      <c r="AI309" s="12"/>
      <c r="AJ309" s="12"/>
      <c r="AK309" s="12"/>
      <c r="AL309" s="10"/>
      <c r="AM309" s="12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7" t="s">
        <v>113</v>
      </c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2"/>
      <c r="CN309" s="12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>
        <f t="shared" si="10"/>
        <v>1</v>
      </c>
    </row>
    <row r="310" spans="1:104" s="11" customFormat="1" ht="21.75" customHeight="1">
      <c r="A310" s="13">
        <v>302</v>
      </c>
      <c r="B310" s="38">
        <v>40147</v>
      </c>
      <c r="C310" s="44" t="s">
        <v>709</v>
      </c>
      <c r="D310" s="19" t="s">
        <v>154</v>
      </c>
      <c r="E310" s="9">
        <v>45588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7"/>
      <c r="S310" s="10"/>
      <c r="T310" s="7"/>
      <c r="U310" s="10"/>
      <c r="V310" s="7"/>
      <c r="W310" s="7"/>
      <c r="X310" s="7"/>
      <c r="Y310" s="7"/>
      <c r="Z310" s="7"/>
      <c r="AA310" s="10"/>
      <c r="AB310" s="10"/>
      <c r="AC310" s="10"/>
      <c r="AD310" s="10"/>
      <c r="AE310" s="10"/>
      <c r="AF310" s="10"/>
      <c r="AG310" s="10"/>
      <c r="AH310" s="12"/>
      <c r="AI310" s="12"/>
      <c r="AJ310" s="12"/>
      <c r="AK310" s="12"/>
      <c r="AL310" s="10"/>
      <c r="AM310" s="12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7" t="s">
        <v>113</v>
      </c>
      <c r="CK310" s="7" t="s">
        <v>113</v>
      </c>
      <c r="CL310" s="10"/>
      <c r="CM310" s="12"/>
      <c r="CN310" s="7" t="s">
        <v>113</v>
      </c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>
        <f t="shared" si="10"/>
        <v>1</v>
      </c>
    </row>
    <row r="311" spans="1:104" s="11" customFormat="1" ht="21.75" customHeight="1">
      <c r="A311" s="13">
        <v>303</v>
      </c>
      <c r="B311" s="43" t="s">
        <v>710</v>
      </c>
      <c r="C311" s="44" t="s">
        <v>711</v>
      </c>
      <c r="D311" s="18" t="s">
        <v>420</v>
      </c>
      <c r="E311" s="9">
        <v>45591</v>
      </c>
      <c r="F311" s="10"/>
      <c r="G311" s="12" t="s">
        <v>113</v>
      </c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7"/>
      <c r="S311" s="10"/>
      <c r="T311" s="7"/>
      <c r="U311" s="10"/>
      <c r="V311" s="7"/>
      <c r="W311" s="7" t="s">
        <v>113</v>
      </c>
      <c r="X311" s="7" t="s">
        <v>113</v>
      </c>
      <c r="Y311" s="7" t="s">
        <v>113</v>
      </c>
      <c r="Z311" s="7"/>
      <c r="AA311" s="10"/>
      <c r="AB311" s="10"/>
      <c r="AC311" s="10"/>
      <c r="AD311" s="10"/>
      <c r="AE311" s="10"/>
      <c r="AF311" s="10"/>
      <c r="AG311" s="10"/>
      <c r="AH311" s="12"/>
      <c r="AI311" s="12"/>
      <c r="AJ311" s="12"/>
      <c r="AK311" s="12"/>
      <c r="AL311" s="10"/>
      <c r="AM311" s="12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2"/>
      <c r="CN311" s="12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>
        <f t="shared" si="10"/>
        <v>1</v>
      </c>
    </row>
    <row r="312" spans="1:104" s="11" customFormat="1" ht="21.75" customHeight="1">
      <c r="A312" s="13">
        <v>304</v>
      </c>
      <c r="B312" s="38" t="s">
        <v>712</v>
      </c>
      <c r="C312" s="44" t="s">
        <v>713</v>
      </c>
      <c r="D312" s="18" t="s">
        <v>420</v>
      </c>
      <c r="E312" s="9">
        <v>45591</v>
      </c>
      <c r="F312" s="10"/>
      <c r="G312" s="12" t="s">
        <v>113</v>
      </c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7"/>
      <c r="S312" s="10"/>
      <c r="T312" s="7"/>
      <c r="U312" s="10"/>
      <c r="V312" s="7"/>
      <c r="W312" s="7" t="s">
        <v>113</v>
      </c>
      <c r="X312" s="7" t="s">
        <v>113</v>
      </c>
      <c r="Y312" s="7" t="s">
        <v>113</v>
      </c>
      <c r="Z312" s="7"/>
      <c r="AA312" s="10"/>
      <c r="AB312" s="10"/>
      <c r="AC312" s="10"/>
      <c r="AD312" s="10"/>
      <c r="AE312" s="10"/>
      <c r="AF312" s="10"/>
      <c r="AG312" s="10"/>
      <c r="AH312" s="12"/>
      <c r="AI312" s="12"/>
      <c r="AJ312" s="12"/>
      <c r="AK312" s="12"/>
      <c r="AL312" s="7" t="s">
        <v>113</v>
      </c>
      <c r="AM312" s="12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2"/>
      <c r="CN312" s="12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>
        <f t="shared" si="10"/>
        <v>1</v>
      </c>
    </row>
    <row r="313" spans="1:104" s="11" customFormat="1" ht="21.75" customHeight="1">
      <c r="A313" s="13">
        <v>305</v>
      </c>
      <c r="B313" s="38">
        <v>5257</v>
      </c>
      <c r="C313" s="44" t="s">
        <v>714</v>
      </c>
      <c r="D313" s="19" t="s">
        <v>336</v>
      </c>
      <c r="E313" s="9">
        <v>45594</v>
      </c>
      <c r="F313" s="10"/>
      <c r="G313" s="12" t="s">
        <v>113</v>
      </c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7"/>
      <c r="S313" s="10"/>
      <c r="T313" s="7" t="s">
        <v>113</v>
      </c>
      <c r="U313" s="10"/>
      <c r="V313" s="7" t="s">
        <v>113</v>
      </c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2"/>
      <c r="AI313" s="12"/>
      <c r="AJ313" s="12"/>
      <c r="AK313" s="12"/>
      <c r="AL313" s="10"/>
      <c r="AM313" s="12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2"/>
      <c r="CN313" s="12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>
        <f t="shared" si="10"/>
        <v>1</v>
      </c>
    </row>
    <row r="314" spans="1:104" s="11" customFormat="1" ht="21.75" customHeight="1">
      <c r="A314" s="13">
        <v>306</v>
      </c>
      <c r="B314" s="38">
        <v>5213</v>
      </c>
      <c r="C314" s="44" t="s">
        <v>715</v>
      </c>
      <c r="D314" s="19" t="s">
        <v>262</v>
      </c>
      <c r="E314" s="9">
        <v>45594</v>
      </c>
      <c r="F314" s="10"/>
      <c r="G314" s="12" t="s">
        <v>113</v>
      </c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7"/>
      <c r="S314" s="10"/>
      <c r="T314" s="7"/>
      <c r="U314" s="10"/>
      <c r="V314" s="7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2"/>
      <c r="AI314" s="7" t="s">
        <v>113</v>
      </c>
      <c r="AJ314" s="7" t="s">
        <v>113</v>
      </c>
      <c r="AK314" s="7" t="s">
        <v>113</v>
      </c>
      <c r="AL314" s="10"/>
      <c r="AM314" s="12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7" t="s">
        <v>113</v>
      </c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7" t="s">
        <v>113</v>
      </c>
      <c r="CL314" s="10"/>
      <c r="CM314" s="7" t="s">
        <v>113</v>
      </c>
      <c r="CN314" s="7" t="s">
        <v>113</v>
      </c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>
        <f t="shared" si="10"/>
        <v>1</v>
      </c>
    </row>
    <row r="315" spans="1:104" s="11" customFormat="1" ht="21.75" customHeight="1">
      <c r="A315" s="13">
        <v>307</v>
      </c>
      <c r="B315" s="38" t="s">
        <v>716</v>
      </c>
      <c r="C315" s="44" t="s">
        <v>717</v>
      </c>
      <c r="D315" s="19" t="s">
        <v>262</v>
      </c>
      <c r="E315" s="9">
        <v>45611</v>
      </c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7"/>
      <c r="S315" s="10"/>
      <c r="T315" s="7"/>
      <c r="U315" s="10"/>
      <c r="V315" s="7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2"/>
      <c r="AI315" s="7"/>
      <c r="AJ315" s="7"/>
      <c r="AK315" s="7"/>
      <c r="AL315" s="10"/>
      <c r="AM315" s="12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7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7"/>
      <c r="CL315" s="10"/>
      <c r="CM315" s="7" t="s">
        <v>113</v>
      </c>
      <c r="CN315" s="7" t="s">
        <v>113</v>
      </c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>
        <f t="shared" si="10"/>
        <v>1</v>
      </c>
    </row>
    <row r="316" spans="1:104" s="11" customFormat="1" ht="21.75" customHeight="1">
      <c r="A316" s="13">
        <v>308</v>
      </c>
      <c r="B316" s="43" t="s">
        <v>718</v>
      </c>
      <c r="C316" s="44" t="s">
        <v>719</v>
      </c>
      <c r="D316" s="19" t="s">
        <v>576</v>
      </c>
      <c r="E316" s="9">
        <v>45669</v>
      </c>
      <c r="F316" s="10"/>
      <c r="G316" s="12" t="s">
        <v>113</v>
      </c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7"/>
      <c r="S316" s="10"/>
      <c r="T316" s="7"/>
      <c r="U316" s="10"/>
      <c r="V316" s="7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2"/>
      <c r="AI316" s="7" t="s">
        <v>113</v>
      </c>
      <c r="AJ316" s="7"/>
      <c r="AK316" s="7"/>
      <c r="AL316" s="10"/>
      <c r="AM316" s="12"/>
      <c r="AN316" s="10"/>
      <c r="AO316" s="10"/>
      <c r="AP316" s="7" t="s">
        <v>113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7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7"/>
      <c r="CL316" s="10"/>
      <c r="CM316" s="7"/>
      <c r="CN316" s="12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>
        <f t="shared" si="10"/>
        <v>1</v>
      </c>
    </row>
    <row r="317" spans="1:104" s="11" customFormat="1" ht="21.75" customHeight="1">
      <c r="A317" s="13">
        <v>309</v>
      </c>
      <c r="B317" s="43" t="s">
        <v>720</v>
      </c>
      <c r="C317" s="44" t="s">
        <v>721</v>
      </c>
      <c r="D317" s="18" t="s">
        <v>420</v>
      </c>
      <c r="E317" s="9">
        <v>45624</v>
      </c>
      <c r="F317" s="10"/>
      <c r="G317" s="12" t="s">
        <v>113</v>
      </c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7"/>
      <c r="S317" s="10"/>
      <c r="T317" s="7"/>
      <c r="U317" s="10"/>
      <c r="V317" s="7"/>
      <c r="W317" s="10"/>
      <c r="X317" s="7" t="s">
        <v>113</v>
      </c>
      <c r="Y317" s="7" t="s">
        <v>113</v>
      </c>
      <c r="Z317" s="10"/>
      <c r="AA317" s="10"/>
      <c r="AB317" s="10"/>
      <c r="AC317" s="10"/>
      <c r="AD317" s="10"/>
      <c r="AE317" s="10"/>
      <c r="AF317" s="10"/>
      <c r="AG317" s="10"/>
      <c r="AH317" s="12"/>
      <c r="AI317" s="7"/>
      <c r="AJ317" s="7"/>
      <c r="AK317" s="7"/>
      <c r="AL317" s="10"/>
      <c r="AM317" s="12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7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7"/>
      <c r="CL317" s="10"/>
      <c r="CM317" s="7"/>
      <c r="CN317" s="12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>
        <f t="shared" si="10"/>
        <v>1</v>
      </c>
    </row>
    <row r="318" spans="1:104" s="11" customFormat="1" ht="21.75" customHeight="1">
      <c r="A318" s="13">
        <v>310</v>
      </c>
      <c r="B318" s="38">
        <v>40150</v>
      </c>
      <c r="C318" s="44" t="s">
        <v>722</v>
      </c>
      <c r="D318" s="19" t="s">
        <v>420</v>
      </c>
      <c r="E318" s="9">
        <v>45632</v>
      </c>
      <c r="F318" s="10"/>
      <c r="G318" s="12" t="s">
        <v>113</v>
      </c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7"/>
      <c r="S318" s="10"/>
      <c r="T318" s="7"/>
      <c r="U318" s="10"/>
      <c r="V318" s="7"/>
      <c r="W318" s="10"/>
      <c r="X318" s="10"/>
      <c r="Y318" s="10"/>
      <c r="Z318" s="10"/>
      <c r="AA318" s="10"/>
      <c r="AB318" s="10"/>
      <c r="AC318" s="10"/>
      <c r="AD318" s="7" t="s">
        <v>113</v>
      </c>
      <c r="AE318" s="7" t="s">
        <v>113</v>
      </c>
      <c r="AF318" s="7" t="s">
        <v>113</v>
      </c>
      <c r="AG318" s="10"/>
      <c r="AH318" s="12"/>
      <c r="AI318" s="7"/>
      <c r="AJ318" s="7"/>
      <c r="AK318" s="7"/>
      <c r="AL318" s="10"/>
      <c r="AM318" s="12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7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7"/>
      <c r="CL318" s="10"/>
      <c r="CM318" s="7"/>
      <c r="CN318" s="12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>
        <f t="shared" si="10"/>
        <v>1</v>
      </c>
    </row>
    <row r="319" spans="1:104" s="11" customFormat="1" ht="21.75" customHeight="1">
      <c r="A319" s="13">
        <v>311</v>
      </c>
      <c r="B319" s="38" t="s">
        <v>723</v>
      </c>
      <c r="C319" s="44" t="s">
        <v>724</v>
      </c>
      <c r="D319" s="19" t="s">
        <v>420</v>
      </c>
      <c r="E319" s="9">
        <v>45632</v>
      </c>
      <c r="F319" s="10"/>
      <c r="G319" s="12" t="s">
        <v>113</v>
      </c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7"/>
      <c r="S319" s="10"/>
      <c r="T319" s="7"/>
      <c r="U319" s="10"/>
      <c r="V319" s="7"/>
      <c r="W319" s="7" t="s">
        <v>113</v>
      </c>
      <c r="X319" s="7" t="s">
        <v>113</v>
      </c>
      <c r="Y319" s="7" t="s">
        <v>113</v>
      </c>
      <c r="Z319" s="10"/>
      <c r="AA319" s="10"/>
      <c r="AB319" s="7"/>
      <c r="AC319" s="10"/>
      <c r="AD319" s="10"/>
      <c r="AE319" s="10"/>
      <c r="AF319" s="10"/>
      <c r="AG319" s="10"/>
      <c r="AH319" s="12"/>
      <c r="AI319" s="7"/>
      <c r="AJ319" s="7"/>
      <c r="AK319" s="7"/>
      <c r="AL319" s="7" t="s">
        <v>113</v>
      </c>
      <c r="AM319" s="12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7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7"/>
      <c r="CL319" s="10"/>
      <c r="CM319" s="7"/>
      <c r="CN319" s="12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>
        <f t="shared" ref="CZ319:CZ335" si="11">IF(COUNTIF(F319:CY319,"ü")&lt;=0,0,1)</f>
        <v>1</v>
      </c>
    </row>
    <row r="320" spans="1:104" s="11" customFormat="1" ht="21.75" customHeight="1">
      <c r="A320" s="13">
        <v>312</v>
      </c>
      <c r="B320" s="38" t="s">
        <v>725</v>
      </c>
      <c r="C320" s="44" t="s">
        <v>726</v>
      </c>
      <c r="D320" s="19" t="s">
        <v>420</v>
      </c>
      <c r="E320" s="9">
        <v>45632</v>
      </c>
      <c r="F320" s="10"/>
      <c r="G320" s="12" t="s">
        <v>113</v>
      </c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7"/>
      <c r="S320" s="10"/>
      <c r="T320" s="7"/>
      <c r="U320" s="10"/>
      <c r="V320" s="7"/>
      <c r="W320" s="7" t="s">
        <v>113</v>
      </c>
      <c r="X320" s="7" t="s">
        <v>113</v>
      </c>
      <c r="Y320" s="7" t="s">
        <v>113</v>
      </c>
      <c r="Z320" s="10"/>
      <c r="AA320" s="10"/>
      <c r="AB320" s="7"/>
      <c r="AC320" s="10"/>
      <c r="AD320" s="10"/>
      <c r="AE320" s="10"/>
      <c r="AF320" s="10"/>
      <c r="AG320" s="10"/>
      <c r="AH320" s="12"/>
      <c r="AI320" s="7"/>
      <c r="AJ320" s="7"/>
      <c r="AK320" s="7"/>
      <c r="AL320" s="10"/>
      <c r="AM320" s="12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7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7"/>
      <c r="CL320" s="10"/>
      <c r="CM320" s="7"/>
      <c r="CN320" s="12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>
        <f t="shared" si="11"/>
        <v>1</v>
      </c>
    </row>
    <row r="321" spans="1:104" s="11" customFormat="1" ht="21.75" customHeight="1">
      <c r="A321" s="13">
        <v>313</v>
      </c>
      <c r="B321" s="78" t="s">
        <v>727</v>
      </c>
      <c r="C321" s="79" t="s">
        <v>728</v>
      </c>
      <c r="D321" s="29" t="s">
        <v>576</v>
      </c>
      <c r="E321" s="9">
        <v>45669</v>
      </c>
      <c r="F321" s="10"/>
      <c r="G321" s="12" t="s">
        <v>113</v>
      </c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2"/>
      <c r="S321" s="10"/>
      <c r="T321" s="12"/>
      <c r="U321" s="10"/>
      <c r="V321" s="12"/>
      <c r="W321" s="12"/>
      <c r="X321" s="12"/>
      <c r="Y321" s="10"/>
      <c r="Z321" s="10"/>
      <c r="AA321" s="10"/>
      <c r="AB321" s="12"/>
      <c r="AC321" s="10"/>
      <c r="AD321" s="10"/>
      <c r="AE321" s="10"/>
      <c r="AF321" s="10"/>
      <c r="AG321" s="10"/>
      <c r="AH321" s="12"/>
      <c r="AI321" s="12"/>
      <c r="AJ321" s="12"/>
      <c r="AK321" s="12"/>
      <c r="AL321" s="10"/>
      <c r="AM321" s="12"/>
      <c r="AN321" s="10"/>
      <c r="AO321" s="10"/>
      <c r="AP321" s="10"/>
      <c r="AQ321" s="10"/>
      <c r="AR321" s="10"/>
      <c r="AS321" s="10"/>
      <c r="AT321" s="10"/>
      <c r="AU321" s="12" t="s">
        <v>113</v>
      </c>
      <c r="AV321" s="12" t="s">
        <v>113</v>
      </c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2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2" t="s">
        <v>113</v>
      </c>
      <c r="CK321" s="12" t="s">
        <v>113</v>
      </c>
      <c r="CL321" s="10"/>
      <c r="CM321" s="12"/>
      <c r="CN321" s="12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>
        <f t="shared" si="11"/>
        <v>1</v>
      </c>
    </row>
    <row r="322" spans="1:104" s="11" customFormat="1" ht="21.75" customHeight="1">
      <c r="A322" s="13">
        <v>314</v>
      </c>
      <c r="B322" s="38">
        <v>40077</v>
      </c>
      <c r="C322" s="44" t="s">
        <v>729</v>
      </c>
      <c r="D322" s="19" t="s">
        <v>420</v>
      </c>
      <c r="E322" s="9">
        <v>45677</v>
      </c>
      <c r="F322" s="10"/>
      <c r="G322" s="12" t="s">
        <v>113</v>
      </c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7"/>
      <c r="S322" s="10"/>
      <c r="T322" s="7"/>
      <c r="U322" s="10"/>
      <c r="V322" s="7"/>
      <c r="W322" s="10"/>
      <c r="X322" s="12" t="s">
        <v>113</v>
      </c>
      <c r="Y322" s="12" t="s">
        <v>113</v>
      </c>
      <c r="Z322" s="10"/>
      <c r="AA322" s="10"/>
      <c r="AB322" s="10"/>
      <c r="AC322" s="10"/>
      <c r="AD322" s="10"/>
      <c r="AE322" s="10"/>
      <c r="AF322" s="10"/>
      <c r="AG322" s="10"/>
      <c r="AH322" s="12"/>
      <c r="AI322" s="7"/>
      <c r="AJ322" s="7"/>
      <c r="AK322" s="7"/>
      <c r="AL322" s="10"/>
      <c r="AM322" s="12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7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7"/>
      <c r="CL322" s="10"/>
      <c r="CM322" s="7"/>
      <c r="CN322" s="12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>
        <f t="shared" si="11"/>
        <v>1</v>
      </c>
    </row>
    <row r="323" spans="1:104" s="11" customFormat="1" ht="21.75" customHeight="1">
      <c r="A323" s="13">
        <v>315</v>
      </c>
      <c r="B323" s="38">
        <v>5223</v>
      </c>
      <c r="C323" s="44" t="s">
        <v>730</v>
      </c>
      <c r="D323" s="19" t="s">
        <v>420</v>
      </c>
      <c r="E323" s="9">
        <v>45677</v>
      </c>
      <c r="F323" s="10"/>
      <c r="G323" s="12" t="s">
        <v>113</v>
      </c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7"/>
      <c r="S323" s="10"/>
      <c r="T323" s="7"/>
      <c r="U323" s="10"/>
      <c r="V323" s="7"/>
      <c r="W323" s="12" t="s">
        <v>113</v>
      </c>
      <c r="X323" s="12" t="s">
        <v>113</v>
      </c>
      <c r="Y323" s="12" t="s">
        <v>113</v>
      </c>
      <c r="Z323" s="12" t="s">
        <v>113</v>
      </c>
      <c r="AA323" s="10"/>
      <c r="AB323" s="10"/>
      <c r="AC323" s="10"/>
      <c r="AD323" s="10"/>
      <c r="AE323" s="10"/>
      <c r="AF323" s="10"/>
      <c r="AG323" s="10"/>
      <c r="AH323" s="12"/>
      <c r="AI323" s="7"/>
      <c r="AJ323" s="7"/>
      <c r="AK323" s="7"/>
      <c r="AL323" s="10"/>
      <c r="AM323" s="12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7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7"/>
      <c r="CL323" s="10"/>
      <c r="CM323" s="7"/>
      <c r="CN323" s="12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>
        <f t="shared" si="11"/>
        <v>1</v>
      </c>
    </row>
    <row r="324" spans="1:104" s="11" customFormat="1" ht="21.75" customHeight="1">
      <c r="A324" s="13">
        <v>316</v>
      </c>
      <c r="B324" s="38">
        <v>5268</v>
      </c>
      <c r="C324" s="44" t="s">
        <v>731</v>
      </c>
      <c r="D324" s="19" t="s">
        <v>420</v>
      </c>
      <c r="E324" s="9">
        <v>45635</v>
      </c>
      <c r="F324" s="10"/>
      <c r="G324" s="12" t="s">
        <v>113</v>
      </c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7"/>
      <c r="S324" s="10"/>
      <c r="T324" s="7"/>
      <c r="U324" s="10"/>
      <c r="V324" s="7"/>
      <c r="W324" s="10"/>
      <c r="X324" s="12" t="s">
        <v>113</v>
      </c>
      <c r="Y324" s="10"/>
      <c r="Z324" s="10"/>
      <c r="AA324" s="10"/>
      <c r="AB324" s="10"/>
      <c r="AC324" s="10"/>
      <c r="AD324" s="10"/>
      <c r="AE324" s="10"/>
      <c r="AF324" s="10"/>
      <c r="AG324" s="10"/>
      <c r="AH324" s="12"/>
      <c r="AI324" s="7"/>
      <c r="AJ324" s="7"/>
      <c r="AK324" s="7"/>
      <c r="AL324" s="10"/>
      <c r="AM324" s="12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7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7"/>
      <c r="CL324" s="10"/>
      <c r="CM324" s="7"/>
      <c r="CN324" s="12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>
        <f t="shared" si="11"/>
        <v>1</v>
      </c>
    </row>
    <row r="325" spans="1:104" s="11" customFormat="1" ht="21.75" customHeight="1">
      <c r="A325" s="13">
        <v>317</v>
      </c>
      <c r="B325" s="38">
        <v>40149</v>
      </c>
      <c r="C325" s="44" t="s">
        <v>732</v>
      </c>
      <c r="D325" s="19" t="s">
        <v>420</v>
      </c>
      <c r="E325" s="9">
        <v>45635</v>
      </c>
      <c r="F325" s="10"/>
      <c r="G325" s="12" t="s">
        <v>113</v>
      </c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7"/>
      <c r="S325" s="10"/>
      <c r="T325" s="7"/>
      <c r="U325" s="10"/>
      <c r="V325" s="7"/>
      <c r="W325" s="10"/>
      <c r="X325" s="10"/>
      <c r="Y325" s="10"/>
      <c r="Z325" s="10"/>
      <c r="AA325" s="10"/>
      <c r="AB325" s="10"/>
      <c r="AC325" s="10"/>
      <c r="AD325" s="12" t="s">
        <v>113</v>
      </c>
      <c r="AE325" s="12" t="s">
        <v>113</v>
      </c>
      <c r="AF325" s="12" t="s">
        <v>113</v>
      </c>
      <c r="AG325" s="10"/>
      <c r="AH325" s="12"/>
      <c r="AI325" s="7"/>
      <c r="AJ325" s="7"/>
      <c r="AK325" s="7"/>
      <c r="AL325" s="10"/>
      <c r="AM325" s="12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7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7"/>
      <c r="CL325" s="10"/>
      <c r="CM325" s="7"/>
      <c r="CN325" s="12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>
        <f t="shared" si="11"/>
        <v>1</v>
      </c>
    </row>
    <row r="326" spans="1:104" s="11" customFormat="1" ht="21.75" customHeight="1">
      <c r="A326" s="13">
        <v>318</v>
      </c>
      <c r="B326" s="38">
        <v>5272</v>
      </c>
      <c r="C326" s="44" t="s">
        <v>733</v>
      </c>
      <c r="D326" s="18" t="s">
        <v>154</v>
      </c>
      <c r="E326" s="9">
        <v>45844</v>
      </c>
      <c r="F326" s="10"/>
      <c r="G326" s="12" t="s">
        <v>113</v>
      </c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7"/>
      <c r="S326" s="10"/>
      <c r="T326" s="7"/>
      <c r="U326" s="10"/>
      <c r="V326" s="7"/>
      <c r="W326" s="10"/>
      <c r="X326" s="10"/>
      <c r="Y326" s="10"/>
      <c r="Z326" s="10"/>
      <c r="AA326" s="10"/>
      <c r="AB326" s="10"/>
      <c r="AC326" s="10"/>
      <c r="AD326" s="12"/>
      <c r="AE326" s="12"/>
      <c r="AF326" s="12"/>
      <c r="AG326" s="10"/>
      <c r="AH326" s="12"/>
      <c r="AI326" s="7"/>
      <c r="AJ326" s="7"/>
      <c r="AK326" s="7"/>
      <c r="AL326" s="10"/>
      <c r="AM326" s="12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2" t="s">
        <v>113</v>
      </c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7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2" t="s">
        <v>113</v>
      </c>
      <c r="CK326" s="12" t="s">
        <v>113</v>
      </c>
      <c r="CL326" s="10"/>
      <c r="CM326" s="7"/>
      <c r="CN326" s="12"/>
      <c r="CO326" s="10"/>
      <c r="CP326" s="10"/>
      <c r="CQ326" s="10"/>
      <c r="CR326" s="12" t="s">
        <v>113</v>
      </c>
      <c r="CS326" s="12" t="s">
        <v>113</v>
      </c>
      <c r="CT326" s="12" t="s">
        <v>113</v>
      </c>
      <c r="CU326" s="12" t="s">
        <v>113</v>
      </c>
      <c r="CV326" s="10"/>
      <c r="CW326" s="10"/>
      <c r="CX326" s="10"/>
      <c r="CY326" s="10"/>
      <c r="CZ326" s="10">
        <f t="shared" si="11"/>
        <v>1</v>
      </c>
    </row>
    <row r="327" spans="1:104" s="11" customFormat="1" ht="21.75" customHeight="1">
      <c r="A327" s="13">
        <v>319</v>
      </c>
      <c r="B327" s="43" t="s">
        <v>734</v>
      </c>
      <c r="C327" s="44" t="s">
        <v>735</v>
      </c>
      <c r="D327" s="18" t="s">
        <v>154</v>
      </c>
      <c r="E327" s="9">
        <v>45722</v>
      </c>
      <c r="F327" s="10"/>
      <c r="G327" s="12" t="s">
        <v>113</v>
      </c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7"/>
      <c r="S327" s="10"/>
      <c r="T327" s="7"/>
      <c r="U327" s="10"/>
      <c r="V327" s="7"/>
      <c r="W327" s="10"/>
      <c r="X327" s="10"/>
      <c r="Y327" s="10"/>
      <c r="Z327" s="10"/>
      <c r="AA327" s="10"/>
      <c r="AB327" s="10"/>
      <c r="AC327" s="10"/>
      <c r="AD327" s="12"/>
      <c r="AE327" s="12"/>
      <c r="AF327" s="12"/>
      <c r="AG327" s="10"/>
      <c r="AH327" s="12"/>
      <c r="AI327" s="7"/>
      <c r="AJ327" s="7"/>
      <c r="AK327" s="7"/>
      <c r="AL327" s="10"/>
      <c r="AM327" s="12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2" t="s">
        <v>113</v>
      </c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7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2" t="s">
        <v>113</v>
      </c>
      <c r="CK327" s="12" t="s">
        <v>113</v>
      </c>
      <c r="CL327" s="10"/>
      <c r="CM327" s="7"/>
      <c r="CN327" s="12" t="s">
        <v>113</v>
      </c>
      <c r="CO327" s="10"/>
      <c r="CP327" s="10"/>
      <c r="CQ327" s="10"/>
      <c r="CR327" s="12" t="s">
        <v>113</v>
      </c>
      <c r="CS327" s="12" t="s">
        <v>113</v>
      </c>
      <c r="CT327" s="12" t="s">
        <v>113</v>
      </c>
      <c r="CU327" s="12" t="s">
        <v>113</v>
      </c>
      <c r="CV327" s="10"/>
      <c r="CW327" s="10"/>
      <c r="CX327" s="10"/>
      <c r="CY327" s="10"/>
      <c r="CZ327" s="10">
        <f t="shared" si="11"/>
        <v>1</v>
      </c>
    </row>
    <row r="328" spans="1:104" s="11" customFormat="1" ht="21.75" customHeight="1">
      <c r="A328" s="13">
        <v>320</v>
      </c>
      <c r="B328" s="38">
        <v>5302</v>
      </c>
      <c r="C328" s="44" t="s">
        <v>736</v>
      </c>
      <c r="D328" s="18" t="s">
        <v>393</v>
      </c>
      <c r="E328" s="9">
        <v>45669</v>
      </c>
      <c r="F328" s="10"/>
      <c r="G328" s="12" t="s">
        <v>113</v>
      </c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7"/>
      <c r="S328" s="10"/>
      <c r="T328" s="7"/>
      <c r="U328" s="10"/>
      <c r="V328" s="7"/>
      <c r="W328" s="10"/>
      <c r="X328" s="10"/>
      <c r="Y328" s="10"/>
      <c r="Z328" s="10"/>
      <c r="AA328" s="10"/>
      <c r="AB328" s="10"/>
      <c r="AC328" s="10"/>
      <c r="AD328" s="12"/>
      <c r="AE328" s="12"/>
      <c r="AF328" s="12"/>
      <c r="AG328" s="10"/>
      <c r="AH328" s="12"/>
      <c r="AI328" s="7"/>
      <c r="AJ328" s="7"/>
      <c r="AK328" s="7"/>
      <c r="AL328" s="10"/>
      <c r="AM328" s="12"/>
      <c r="AN328" s="10"/>
      <c r="AO328" s="10"/>
      <c r="AP328" s="10"/>
      <c r="AQ328" s="10"/>
      <c r="AR328" s="10"/>
      <c r="AS328" s="12" t="s">
        <v>113</v>
      </c>
      <c r="AT328" s="12" t="s">
        <v>113</v>
      </c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7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7"/>
      <c r="CL328" s="10"/>
      <c r="CM328" s="7"/>
      <c r="CN328" s="12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>
        <f t="shared" si="11"/>
        <v>1</v>
      </c>
    </row>
    <row r="329" spans="1:104" s="11" customFormat="1" ht="21.75" customHeight="1">
      <c r="A329" s="13">
        <v>321</v>
      </c>
      <c r="B329" s="43" t="s">
        <v>737</v>
      </c>
      <c r="C329" s="44" t="s">
        <v>738</v>
      </c>
      <c r="D329" s="18" t="s">
        <v>393</v>
      </c>
      <c r="E329" s="9">
        <v>45650</v>
      </c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7"/>
      <c r="S329" s="10"/>
      <c r="T329" s="7"/>
      <c r="U329" s="10"/>
      <c r="V329" s="7"/>
      <c r="W329" s="10"/>
      <c r="X329" s="10"/>
      <c r="Y329" s="10"/>
      <c r="Z329" s="10"/>
      <c r="AA329" s="10"/>
      <c r="AB329" s="10"/>
      <c r="AC329" s="12" t="s">
        <v>113</v>
      </c>
      <c r="AD329" s="12"/>
      <c r="AE329" s="12"/>
      <c r="AF329" s="12"/>
      <c r="AG329" s="10"/>
      <c r="AH329" s="12"/>
      <c r="AI329" s="7"/>
      <c r="AJ329" s="7"/>
      <c r="AK329" s="7"/>
      <c r="AL329" s="10"/>
      <c r="AM329" s="12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7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7"/>
      <c r="CL329" s="10"/>
      <c r="CM329" s="7"/>
      <c r="CN329" s="12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>
        <f t="shared" si="11"/>
        <v>1</v>
      </c>
    </row>
    <row r="330" spans="1:104" s="11" customFormat="1" ht="21.75" customHeight="1">
      <c r="A330" s="13">
        <v>322</v>
      </c>
      <c r="B330" s="80" t="s">
        <v>739</v>
      </c>
      <c r="C330" s="81" t="s">
        <v>740</v>
      </c>
      <c r="D330" s="18" t="s">
        <v>299</v>
      </c>
      <c r="E330" s="9">
        <v>45717</v>
      </c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7"/>
      <c r="S330" s="10"/>
      <c r="T330" s="7"/>
      <c r="U330" s="10"/>
      <c r="V330" s="7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2"/>
      <c r="AI330" s="12"/>
      <c r="AJ330" s="12"/>
      <c r="AK330" s="12"/>
      <c r="AL330" s="10"/>
      <c r="AM330" s="12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2" t="s">
        <v>113</v>
      </c>
      <c r="CK330" s="10"/>
      <c r="CL330" s="10"/>
      <c r="CM330" s="12"/>
      <c r="CN330" s="12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>
        <f t="shared" si="11"/>
        <v>1</v>
      </c>
    </row>
    <row r="331" spans="1:104" s="11" customFormat="1" ht="21.75" customHeight="1">
      <c r="A331" s="13">
        <v>323</v>
      </c>
      <c r="B331" s="43" t="s">
        <v>741</v>
      </c>
      <c r="C331" s="44" t="s">
        <v>742</v>
      </c>
      <c r="D331" s="18" t="s">
        <v>743</v>
      </c>
      <c r="E331" s="9">
        <v>45652</v>
      </c>
      <c r="F331" s="10"/>
      <c r="G331" s="12" t="s">
        <v>113</v>
      </c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7"/>
      <c r="S331" s="10"/>
      <c r="T331" s="7"/>
      <c r="U331" s="10"/>
      <c r="V331" s="7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2"/>
      <c r="AI331" s="12"/>
      <c r="AJ331" s="12"/>
      <c r="AK331" s="12"/>
      <c r="AL331" s="10"/>
      <c r="AM331" s="12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2"/>
      <c r="CN331" s="12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>
        <f t="shared" si="11"/>
        <v>1</v>
      </c>
    </row>
    <row r="332" spans="1:104" s="11" customFormat="1" ht="21.75" customHeight="1">
      <c r="A332" s="13">
        <v>324</v>
      </c>
      <c r="B332" s="43" t="s">
        <v>744</v>
      </c>
      <c r="C332" s="44" t="s">
        <v>745</v>
      </c>
      <c r="D332" s="18" t="s">
        <v>743</v>
      </c>
      <c r="E332" s="9">
        <v>45652</v>
      </c>
      <c r="F332" s="10"/>
      <c r="G332" s="12" t="s">
        <v>113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7"/>
      <c r="S332" s="10"/>
      <c r="T332" s="7"/>
      <c r="U332" s="10"/>
      <c r="V332" s="7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2"/>
      <c r="AI332" s="12"/>
      <c r="AJ332" s="12"/>
      <c r="AK332" s="12"/>
      <c r="AL332" s="10"/>
      <c r="AM332" s="12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2"/>
      <c r="CN332" s="12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>
        <f t="shared" si="11"/>
        <v>1</v>
      </c>
    </row>
    <row r="333" spans="1:104" s="11" customFormat="1" ht="21.75" customHeight="1">
      <c r="A333" s="13">
        <v>325</v>
      </c>
      <c r="B333" s="43" t="s">
        <v>744</v>
      </c>
      <c r="C333" s="44" t="s">
        <v>745</v>
      </c>
      <c r="D333" s="18" t="s">
        <v>746</v>
      </c>
      <c r="E333" s="9">
        <v>45652</v>
      </c>
      <c r="F333" s="10"/>
      <c r="G333" s="12" t="s">
        <v>113</v>
      </c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7"/>
      <c r="S333" s="10"/>
      <c r="T333" s="7"/>
      <c r="U333" s="10"/>
      <c r="V333" s="7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2"/>
      <c r="AI333" s="12"/>
      <c r="AJ333" s="12"/>
      <c r="AK333" s="12"/>
      <c r="AL333" s="10"/>
      <c r="AM333" s="12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2"/>
      <c r="CN333" s="12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>
        <f t="shared" si="11"/>
        <v>1</v>
      </c>
    </row>
    <row r="334" spans="1:104" s="11" customFormat="1" ht="21.75" customHeight="1">
      <c r="A334" s="13">
        <v>326</v>
      </c>
      <c r="B334" s="82" t="s">
        <v>747</v>
      </c>
      <c r="C334" s="83" t="s">
        <v>748</v>
      </c>
      <c r="D334" s="18" t="s">
        <v>743</v>
      </c>
      <c r="E334" s="9">
        <v>45652</v>
      </c>
      <c r="F334" s="10"/>
      <c r="G334" s="12" t="s">
        <v>113</v>
      </c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7"/>
      <c r="S334" s="10"/>
      <c r="T334" s="7"/>
      <c r="U334" s="10"/>
      <c r="V334" s="7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2"/>
      <c r="AI334" s="12"/>
      <c r="AJ334" s="12"/>
      <c r="AK334" s="12"/>
      <c r="AL334" s="10"/>
      <c r="AM334" s="12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2"/>
      <c r="CN334" s="12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>
        <f t="shared" si="11"/>
        <v>1</v>
      </c>
    </row>
    <row r="335" spans="1:104" s="11" customFormat="1" ht="21.75" customHeight="1">
      <c r="A335" s="13">
        <v>327</v>
      </c>
      <c r="B335" s="35" t="s">
        <v>749</v>
      </c>
      <c r="C335" s="36" t="s">
        <v>750</v>
      </c>
      <c r="D335" s="18" t="s">
        <v>743</v>
      </c>
      <c r="E335" s="9">
        <v>45652</v>
      </c>
      <c r="F335" s="10"/>
      <c r="G335" s="12" t="s">
        <v>113</v>
      </c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7"/>
      <c r="S335" s="10"/>
      <c r="T335" s="7"/>
      <c r="U335" s="10"/>
      <c r="V335" s="7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2"/>
      <c r="AI335" s="12"/>
      <c r="AJ335" s="12"/>
      <c r="AK335" s="12"/>
      <c r="AL335" s="10"/>
      <c r="AM335" s="12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2"/>
      <c r="CN335" s="12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>
        <f t="shared" si="11"/>
        <v>1</v>
      </c>
    </row>
    <row r="336" spans="1:104" s="11" customFormat="1" ht="21.75" customHeight="1">
      <c r="A336" s="13">
        <v>328</v>
      </c>
      <c r="B336" s="38" t="s">
        <v>751</v>
      </c>
      <c r="C336" s="44" t="s">
        <v>752</v>
      </c>
      <c r="D336" s="18" t="s">
        <v>743</v>
      </c>
      <c r="E336" s="9">
        <v>45652</v>
      </c>
      <c r="F336" s="10"/>
      <c r="G336" s="12" t="s">
        <v>113</v>
      </c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7"/>
      <c r="S336" s="10"/>
      <c r="T336" s="7"/>
      <c r="U336" s="10"/>
      <c r="V336" s="7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2"/>
      <c r="AI336" s="12"/>
      <c r="AJ336" s="12"/>
      <c r="AK336" s="12"/>
      <c r="AL336" s="10"/>
      <c r="AM336" s="12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2"/>
      <c r="CN336" s="12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>
        <f t="shared" ref="CZ336:CZ352" si="12">IF(COUNTIF(F336:CY336,"ü")&lt;=0,0,1)</f>
        <v>1</v>
      </c>
    </row>
    <row r="337" spans="1:104" s="11" customFormat="1" ht="21.75" customHeight="1">
      <c r="A337" s="13">
        <v>329</v>
      </c>
      <c r="B337" s="38">
        <v>5251</v>
      </c>
      <c r="C337" s="44" t="s">
        <v>753</v>
      </c>
      <c r="D337" s="18" t="s">
        <v>746</v>
      </c>
      <c r="E337" s="9">
        <v>45652</v>
      </c>
      <c r="F337" s="10"/>
      <c r="G337" s="12" t="s">
        <v>113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7"/>
      <c r="S337" s="10"/>
      <c r="T337" s="7"/>
      <c r="U337" s="10"/>
      <c r="V337" s="7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2"/>
      <c r="AI337" s="12"/>
      <c r="AJ337" s="12"/>
      <c r="AK337" s="12"/>
      <c r="AL337" s="10"/>
      <c r="AM337" s="12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2"/>
      <c r="CN337" s="12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>
        <f t="shared" si="12"/>
        <v>1</v>
      </c>
    </row>
    <row r="338" spans="1:104" s="11" customFormat="1" ht="21.75" customHeight="1">
      <c r="A338" s="13">
        <v>330</v>
      </c>
      <c r="B338" s="84">
        <v>40078</v>
      </c>
      <c r="C338" s="35" t="s">
        <v>754</v>
      </c>
      <c r="D338" s="19" t="s">
        <v>420</v>
      </c>
      <c r="E338" s="9">
        <v>45654</v>
      </c>
      <c r="F338" s="10"/>
      <c r="G338" s="12" t="s">
        <v>113</v>
      </c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7"/>
      <c r="S338" s="10"/>
      <c r="T338" s="7"/>
      <c r="U338" s="10"/>
      <c r="V338" s="7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2"/>
      <c r="AI338" s="12"/>
      <c r="AJ338" s="12"/>
      <c r="AK338" s="12"/>
      <c r="AL338" s="10"/>
      <c r="AM338" s="12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2"/>
      <c r="CN338" s="12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>
        <f t="shared" si="12"/>
        <v>1</v>
      </c>
    </row>
    <row r="339" spans="1:104" s="11" customFormat="1" ht="21.75" customHeight="1">
      <c r="A339" s="13">
        <v>331</v>
      </c>
      <c r="B339" s="84">
        <v>39307</v>
      </c>
      <c r="C339" s="35" t="s">
        <v>755</v>
      </c>
      <c r="D339" s="19" t="s">
        <v>420</v>
      </c>
      <c r="E339" s="9">
        <v>45654</v>
      </c>
      <c r="F339" s="10"/>
      <c r="G339" s="12" t="s">
        <v>113</v>
      </c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7"/>
      <c r="S339" s="10"/>
      <c r="T339" s="7"/>
      <c r="U339" s="10"/>
      <c r="V339" s="7"/>
      <c r="W339" s="12" t="s">
        <v>113</v>
      </c>
      <c r="X339" s="12" t="s">
        <v>113</v>
      </c>
      <c r="Y339" s="12" t="s">
        <v>113</v>
      </c>
      <c r="Z339" s="10"/>
      <c r="AA339" s="10"/>
      <c r="AB339" s="10"/>
      <c r="AC339" s="10"/>
      <c r="AD339" s="10"/>
      <c r="AE339" s="10"/>
      <c r="AF339" s="10"/>
      <c r="AG339" s="10"/>
      <c r="AH339" s="12"/>
      <c r="AI339" s="12"/>
      <c r="AJ339" s="12"/>
      <c r="AK339" s="12"/>
      <c r="AL339" s="10"/>
      <c r="AM339" s="12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2"/>
      <c r="CN339" s="12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>
        <f t="shared" si="12"/>
        <v>1</v>
      </c>
    </row>
    <row r="340" spans="1:104" s="11" customFormat="1" ht="21.75" customHeight="1">
      <c r="A340" s="13">
        <v>332</v>
      </c>
      <c r="B340" s="84">
        <v>40148</v>
      </c>
      <c r="C340" s="35" t="s">
        <v>756</v>
      </c>
      <c r="D340" s="19" t="s">
        <v>420</v>
      </c>
      <c r="E340" s="9">
        <v>45650</v>
      </c>
      <c r="F340" s="10"/>
      <c r="G340" s="12" t="s">
        <v>113</v>
      </c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7"/>
      <c r="S340" s="10"/>
      <c r="T340" s="7"/>
      <c r="U340" s="10"/>
      <c r="V340" s="7"/>
      <c r="W340" s="12" t="s">
        <v>113</v>
      </c>
      <c r="X340" s="12" t="s">
        <v>113</v>
      </c>
      <c r="Y340" s="12" t="s">
        <v>113</v>
      </c>
      <c r="Z340" s="10"/>
      <c r="AA340" s="10"/>
      <c r="AB340" s="10"/>
      <c r="AC340" s="10"/>
      <c r="AD340" s="10"/>
      <c r="AE340" s="10"/>
      <c r="AF340" s="10"/>
      <c r="AG340" s="10"/>
      <c r="AH340" s="12"/>
      <c r="AI340" s="12"/>
      <c r="AJ340" s="12"/>
      <c r="AK340" s="12"/>
      <c r="AL340" s="10"/>
      <c r="AM340" s="12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2"/>
      <c r="CN340" s="12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>
        <f t="shared" si="12"/>
        <v>1</v>
      </c>
    </row>
    <row r="341" spans="1:104" s="11" customFormat="1" ht="21.75" customHeight="1">
      <c r="A341" s="13">
        <v>333</v>
      </c>
      <c r="B341" s="84">
        <v>40075</v>
      </c>
      <c r="C341" s="35" t="s">
        <v>757</v>
      </c>
      <c r="D341" s="19" t="s">
        <v>420</v>
      </c>
      <c r="E341" s="9">
        <v>45669</v>
      </c>
      <c r="F341" s="10"/>
      <c r="G341" s="12" t="s">
        <v>113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7"/>
      <c r="S341" s="10"/>
      <c r="T341" s="7"/>
      <c r="U341" s="10"/>
      <c r="V341" s="7"/>
      <c r="W341" s="10"/>
      <c r="X341" s="10"/>
      <c r="Y341" s="12" t="s">
        <v>113</v>
      </c>
      <c r="Z341" s="10"/>
      <c r="AA341" s="10"/>
      <c r="AB341" s="10"/>
      <c r="AC341" s="10"/>
      <c r="AD341" s="10"/>
      <c r="AE341" s="10"/>
      <c r="AF341" s="10"/>
      <c r="AG341" s="10"/>
      <c r="AH341" s="12"/>
      <c r="AI341" s="12"/>
      <c r="AJ341" s="12"/>
      <c r="AK341" s="12"/>
      <c r="AL341" s="12" t="s">
        <v>113</v>
      </c>
      <c r="AM341" s="12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2"/>
      <c r="CN341" s="12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>
        <f t="shared" si="12"/>
        <v>1</v>
      </c>
    </row>
    <row r="342" spans="1:104" s="11" customFormat="1" ht="21.75" customHeight="1">
      <c r="A342" s="13">
        <v>334</v>
      </c>
      <c r="B342" s="84">
        <v>5110</v>
      </c>
      <c r="C342" s="35" t="s">
        <v>758</v>
      </c>
      <c r="D342" s="19" t="s">
        <v>262</v>
      </c>
      <c r="E342" s="9">
        <v>45661</v>
      </c>
      <c r="F342" s="10"/>
      <c r="G342" s="12" t="s">
        <v>113</v>
      </c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7"/>
      <c r="S342" s="10"/>
      <c r="T342" s="7"/>
      <c r="U342" s="10"/>
      <c r="V342" s="7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2"/>
      <c r="AI342" s="12" t="s">
        <v>113</v>
      </c>
      <c r="AJ342" s="12" t="s">
        <v>113</v>
      </c>
      <c r="AK342" s="12"/>
      <c r="AL342" s="10"/>
      <c r="AM342" s="12" t="s">
        <v>113</v>
      </c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2" t="s">
        <v>113</v>
      </c>
      <c r="CN342" s="12" t="s">
        <v>113</v>
      </c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>
        <f t="shared" si="12"/>
        <v>1</v>
      </c>
    </row>
    <row r="343" spans="1:104" s="11" customFormat="1" ht="21.75" customHeight="1">
      <c r="A343" s="13">
        <v>335</v>
      </c>
      <c r="B343" s="84">
        <v>39330</v>
      </c>
      <c r="C343" s="35" t="s">
        <v>759</v>
      </c>
      <c r="D343" s="19" t="s">
        <v>336</v>
      </c>
      <c r="E343" s="9">
        <v>45661</v>
      </c>
      <c r="F343" s="10"/>
      <c r="G343" s="12" t="s">
        <v>113</v>
      </c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7"/>
      <c r="S343" s="10"/>
      <c r="T343" s="12" t="s">
        <v>113</v>
      </c>
      <c r="U343" s="10"/>
      <c r="V343" s="12" t="s">
        <v>113</v>
      </c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2"/>
      <c r="AI343" s="12"/>
      <c r="AJ343" s="12"/>
      <c r="AK343" s="12"/>
      <c r="AL343" s="10"/>
      <c r="AM343" s="12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2"/>
      <c r="CN343" s="12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>
        <f t="shared" si="12"/>
        <v>1</v>
      </c>
    </row>
    <row r="344" spans="1:104" s="11" customFormat="1" ht="21.75" customHeight="1">
      <c r="A344" s="13">
        <v>336</v>
      </c>
      <c r="B344" s="84">
        <v>39272</v>
      </c>
      <c r="C344" s="35" t="s">
        <v>760</v>
      </c>
      <c r="D344" s="19" t="s">
        <v>336</v>
      </c>
      <c r="E344" s="9">
        <v>45661</v>
      </c>
      <c r="F344" s="10"/>
      <c r="G344" s="12" t="s">
        <v>113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7"/>
      <c r="S344" s="10"/>
      <c r="T344" s="7"/>
      <c r="U344" s="10"/>
      <c r="V344" s="7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2"/>
      <c r="AI344" s="12"/>
      <c r="AJ344" s="12"/>
      <c r="AK344" s="12"/>
      <c r="AL344" s="10"/>
      <c r="AM344" s="12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2"/>
      <c r="CN344" s="12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>
        <f t="shared" si="12"/>
        <v>1</v>
      </c>
    </row>
    <row r="345" spans="1:104" s="11" customFormat="1" ht="21.75" customHeight="1">
      <c r="A345" s="13">
        <v>337</v>
      </c>
      <c r="B345" s="84">
        <v>3446</v>
      </c>
      <c r="C345" s="35" t="s">
        <v>761</v>
      </c>
      <c r="D345" s="21" t="s">
        <v>117</v>
      </c>
      <c r="E345" s="9">
        <v>45661</v>
      </c>
      <c r="F345" s="10"/>
      <c r="G345" s="12" t="s">
        <v>113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7"/>
      <c r="S345" s="10"/>
      <c r="T345" s="7"/>
      <c r="U345" s="10"/>
      <c r="V345" s="7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2"/>
      <c r="AI345" s="12"/>
      <c r="AJ345" s="12"/>
      <c r="AK345" s="12"/>
      <c r="AL345" s="10"/>
      <c r="AM345" s="12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2"/>
      <c r="CN345" s="12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>
        <f t="shared" si="12"/>
        <v>1</v>
      </c>
    </row>
    <row r="346" spans="1:104" s="11" customFormat="1" ht="21.75" customHeight="1">
      <c r="A346" s="13">
        <v>338</v>
      </c>
      <c r="B346" s="84">
        <v>5088</v>
      </c>
      <c r="C346" s="35" t="s">
        <v>762</v>
      </c>
      <c r="D346" s="21" t="s">
        <v>117</v>
      </c>
      <c r="E346" s="9">
        <v>45661</v>
      </c>
      <c r="F346" s="10"/>
      <c r="G346" s="12" t="s">
        <v>113</v>
      </c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7"/>
      <c r="S346" s="10"/>
      <c r="T346" s="7"/>
      <c r="U346" s="10"/>
      <c r="V346" s="7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2"/>
      <c r="AI346" s="12"/>
      <c r="AJ346" s="12"/>
      <c r="AK346" s="12"/>
      <c r="AL346" s="10"/>
      <c r="AM346" s="12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2"/>
      <c r="CN346" s="12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>
        <f t="shared" si="12"/>
        <v>1</v>
      </c>
    </row>
    <row r="347" spans="1:104" s="11" customFormat="1" ht="21.75" customHeight="1">
      <c r="A347" s="13">
        <v>339</v>
      </c>
      <c r="B347" s="84">
        <v>5090</v>
      </c>
      <c r="C347" s="35" t="s">
        <v>763</v>
      </c>
      <c r="D347" s="21" t="s">
        <v>117</v>
      </c>
      <c r="E347" s="9">
        <v>45661</v>
      </c>
      <c r="F347" s="10"/>
      <c r="G347" s="12" t="s">
        <v>113</v>
      </c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7"/>
      <c r="S347" s="10"/>
      <c r="T347" s="7"/>
      <c r="U347" s="10"/>
      <c r="V347" s="7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2"/>
      <c r="AI347" s="12"/>
      <c r="AJ347" s="12"/>
      <c r="AK347" s="12"/>
      <c r="AL347" s="10"/>
      <c r="AM347" s="12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2"/>
      <c r="CN347" s="12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>
        <f t="shared" si="12"/>
        <v>1</v>
      </c>
    </row>
    <row r="348" spans="1:104" s="11" customFormat="1" ht="21.75" customHeight="1">
      <c r="A348" s="13">
        <v>340</v>
      </c>
      <c r="B348" s="84">
        <v>4993</v>
      </c>
      <c r="C348" s="35" t="s">
        <v>764</v>
      </c>
      <c r="D348" s="21" t="s">
        <v>117</v>
      </c>
      <c r="E348" s="9">
        <v>45661</v>
      </c>
      <c r="F348" s="10"/>
      <c r="G348" s="12" t="s">
        <v>113</v>
      </c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7"/>
      <c r="S348" s="10"/>
      <c r="T348" s="7"/>
      <c r="U348" s="10"/>
      <c r="V348" s="7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2"/>
      <c r="AI348" s="12"/>
      <c r="AJ348" s="12"/>
      <c r="AK348" s="12"/>
      <c r="AL348" s="10"/>
      <c r="AM348" s="12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2"/>
      <c r="CN348" s="12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>
        <f t="shared" si="12"/>
        <v>1</v>
      </c>
    </row>
    <row r="349" spans="1:104" s="11" customFormat="1" ht="21.75" customHeight="1">
      <c r="A349" s="13">
        <v>341</v>
      </c>
      <c r="B349" s="84">
        <v>5022</v>
      </c>
      <c r="C349" s="35" t="s">
        <v>765</v>
      </c>
      <c r="D349" s="18" t="s">
        <v>19</v>
      </c>
      <c r="E349" s="9">
        <v>45680</v>
      </c>
      <c r="F349" s="10"/>
      <c r="G349" s="12" t="s">
        <v>113</v>
      </c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7"/>
      <c r="S349" s="10"/>
      <c r="T349" s="7"/>
      <c r="U349" s="10"/>
      <c r="V349" s="7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2"/>
      <c r="AI349" s="12"/>
      <c r="AJ349" s="12"/>
      <c r="AK349" s="12"/>
      <c r="AL349" s="10"/>
      <c r="AM349" s="12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2" t="s">
        <v>113</v>
      </c>
      <c r="BV349" s="10"/>
      <c r="BW349" s="12" t="s">
        <v>113</v>
      </c>
      <c r="BX349" s="12" t="s">
        <v>113</v>
      </c>
      <c r="BY349" s="12" t="s">
        <v>113</v>
      </c>
      <c r="BZ349" s="12" t="s">
        <v>113</v>
      </c>
      <c r="CA349" s="12" t="s">
        <v>113</v>
      </c>
      <c r="CB349" s="12" t="s">
        <v>113</v>
      </c>
      <c r="CC349" s="12" t="s">
        <v>113</v>
      </c>
      <c r="CD349" s="12" t="s">
        <v>113</v>
      </c>
      <c r="CE349" s="12" t="s">
        <v>113</v>
      </c>
      <c r="CF349" s="12"/>
      <c r="CG349" s="12"/>
      <c r="CH349" s="10"/>
      <c r="CI349" s="10"/>
      <c r="CJ349" s="10"/>
      <c r="CK349" s="10"/>
      <c r="CL349" s="10"/>
      <c r="CM349" s="12"/>
      <c r="CN349" s="12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>
        <f t="shared" si="12"/>
        <v>1</v>
      </c>
    </row>
    <row r="350" spans="1:104" s="11" customFormat="1" ht="21.75" customHeight="1">
      <c r="A350" s="13">
        <v>342</v>
      </c>
      <c r="B350" s="84">
        <v>5231</v>
      </c>
      <c r="C350" s="35" t="s">
        <v>766</v>
      </c>
      <c r="D350" s="18" t="s">
        <v>19</v>
      </c>
      <c r="E350" s="9">
        <v>45680</v>
      </c>
      <c r="F350" s="10"/>
      <c r="G350" s="12" t="s">
        <v>113</v>
      </c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7"/>
      <c r="S350" s="10"/>
      <c r="T350" s="7"/>
      <c r="U350" s="10"/>
      <c r="V350" s="7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2"/>
      <c r="AI350" s="12"/>
      <c r="AJ350" s="12"/>
      <c r="AK350" s="12"/>
      <c r="AL350" s="10"/>
      <c r="AM350" s="12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2" t="s">
        <v>113</v>
      </c>
      <c r="BV350" s="10"/>
      <c r="BW350" s="10"/>
      <c r="BX350" s="10"/>
      <c r="BY350" s="10"/>
      <c r="BZ350" s="10"/>
      <c r="CA350" s="10"/>
      <c r="CB350" s="10"/>
      <c r="CC350" s="12" t="s">
        <v>113</v>
      </c>
      <c r="CD350" s="10"/>
      <c r="CE350" s="12" t="s">
        <v>113</v>
      </c>
      <c r="CF350" s="12"/>
      <c r="CG350" s="10"/>
      <c r="CH350" s="10"/>
      <c r="CI350" s="10"/>
      <c r="CJ350" s="10"/>
      <c r="CK350" s="10"/>
      <c r="CL350" s="10"/>
      <c r="CM350" s="12"/>
      <c r="CN350" s="12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>
        <f t="shared" si="12"/>
        <v>1</v>
      </c>
    </row>
    <row r="351" spans="1:104" s="11" customFormat="1" ht="21.75" customHeight="1">
      <c r="A351" s="13">
        <v>343</v>
      </c>
      <c r="B351" s="84">
        <v>5216</v>
      </c>
      <c r="C351" s="35" t="s">
        <v>767</v>
      </c>
      <c r="D351" s="18" t="s">
        <v>19</v>
      </c>
      <c r="E351" s="9">
        <v>45680</v>
      </c>
      <c r="F351" s="10"/>
      <c r="G351" s="12" t="s">
        <v>113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7"/>
      <c r="S351" s="10"/>
      <c r="T351" s="7"/>
      <c r="U351" s="10"/>
      <c r="V351" s="7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2"/>
      <c r="AI351" s="12"/>
      <c r="AJ351" s="12"/>
      <c r="AK351" s="12"/>
      <c r="AL351" s="10"/>
      <c r="AM351" s="12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2" t="s">
        <v>113</v>
      </c>
      <c r="BV351" s="12" t="s">
        <v>113</v>
      </c>
      <c r="BW351" s="12" t="s">
        <v>113</v>
      </c>
      <c r="BX351" s="12" t="s">
        <v>113</v>
      </c>
      <c r="BY351" s="12" t="s">
        <v>113</v>
      </c>
      <c r="BZ351" s="12" t="s">
        <v>113</v>
      </c>
      <c r="CA351" s="12" t="s">
        <v>113</v>
      </c>
      <c r="CB351" s="12" t="s">
        <v>113</v>
      </c>
      <c r="CC351" s="12" t="s">
        <v>113</v>
      </c>
      <c r="CD351" s="12" t="s">
        <v>113</v>
      </c>
      <c r="CE351" s="12" t="s">
        <v>113</v>
      </c>
      <c r="CF351" s="12"/>
      <c r="CG351" s="12" t="s">
        <v>113</v>
      </c>
      <c r="CH351" s="10"/>
      <c r="CI351" s="10"/>
      <c r="CJ351" s="10"/>
      <c r="CK351" s="10"/>
      <c r="CL351" s="10"/>
      <c r="CM351" s="12"/>
      <c r="CN351" s="12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>
        <f t="shared" si="12"/>
        <v>1</v>
      </c>
    </row>
    <row r="352" spans="1:104" s="11" customFormat="1" ht="21.75" customHeight="1">
      <c r="A352" s="13">
        <v>344</v>
      </c>
      <c r="B352" s="84">
        <v>4259</v>
      </c>
      <c r="C352" s="35" t="s">
        <v>768</v>
      </c>
      <c r="D352" s="18" t="s">
        <v>19</v>
      </c>
      <c r="E352" s="9">
        <v>45680</v>
      </c>
      <c r="F352" s="10"/>
      <c r="G352" s="12" t="s">
        <v>113</v>
      </c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2" t="s">
        <v>113</v>
      </c>
      <c r="S352" s="10"/>
      <c r="T352" s="7"/>
      <c r="U352" s="10"/>
      <c r="V352" s="7"/>
      <c r="W352" s="10"/>
      <c r="X352" s="10"/>
      <c r="Y352" s="10"/>
      <c r="Z352" s="10"/>
      <c r="AA352" s="10"/>
      <c r="AB352" s="10"/>
      <c r="AC352" s="12" t="s">
        <v>113</v>
      </c>
      <c r="AD352" s="10"/>
      <c r="AE352" s="10"/>
      <c r="AF352" s="10"/>
      <c r="AG352" s="10"/>
      <c r="AH352" s="12"/>
      <c r="AI352" s="12"/>
      <c r="AJ352" s="12"/>
      <c r="AK352" s="12"/>
      <c r="AL352" s="10"/>
      <c r="AM352" s="12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2"/>
      <c r="BL352" s="10"/>
      <c r="BM352" s="10"/>
      <c r="BN352" s="10"/>
      <c r="BO352" s="10"/>
      <c r="BP352" s="10"/>
      <c r="BQ352" s="10"/>
      <c r="BR352" s="10"/>
      <c r="BS352" s="10"/>
      <c r="BT352" s="10"/>
      <c r="BU352" s="12" t="s">
        <v>113</v>
      </c>
      <c r="BV352" s="12" t="s">
        <v>113</v>
      </c>
      <c r="BW352" s="12" t="s">
        <v>113</v>
      </c>
      <c r="BX352" s="12" t="s">
        <v>113</v>
      </c>
      <c r="BY352" s="12" t="s">
        <v>113</v>
      </c>
      <c r="BZ352" s="12" t="s">
        <v>113</v>
      </c>
      <c r="CA352" s="12" t="s">
        <v>113</v>
      </c>
      <c r="CB352" s="12" t="s">
        <v>113</v>
      </c>
      <c r="CC352" s="12" t="s">
        <v>113</v>
      </c>
      <c r="CD352" s="12" t="s">
        <v>113</v>
      </c>
      <c r="CE352" s="12" t="s">
        <v>113</v>
      </c>
      <c r="CF352" s="12"/>
      <c r="CG352" s="12" t="s">
        <v>113</v>
      </c>
      <c r="CH352" s="10"/>
      <c r="CI352" s="10"/>
      <c r="CJ352" s="10"/>
      <c r="CK352" s="10"/>
      <c r="CL352" s="10"/>
      <c r="CM352" s="12"/>
      <c r="CN352" s="12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>
        <f t="shared" si="12"/>
        <v>1</v>
      </c>
    </row>
    <row r="353" spans="1:104" s="11" customFormat="1" ht="21.75" customHeight="1">
      <c r="A353" s="13">
        <v>345</v>
      </c>
      <c r="B353" s="84">
        <v>4892</v>
      </c>
      <c r="C353" s="35" t="s">
        <v>256</v>
      </c>
      <c r="D353" s="18" t="s">
        <v>19</v>
      </c>
      <c r="E353" s="9">
        <v>45680</v>
      </c>
      <c r="F353" s="10"/>
      <c r="G353" s="12" t="s">
        <v>113</v>
      </c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2"/>
      <c r="S353" s="10"/>
      <c r="T353" s="7"/>
      <c r="U353" s="10"/>
      <c r="V353" s="7"/>
      <c r="W353" s="10"/>
      <c r="X353" s="10"/>
      <c r="Y353" s="10"/>
      <c r="Z353" s="10"/>
      <c r="AA353" s="10"/>
      <c r="AB353" s="10"/>
      <c r="AC353" s="12" t="s">
        <v>113</v>
      </c>
      <c r="AD353" s="10"/>
      <c r="AE353" s="10"/>
      <c r="AF353" s="10"/>
      <c r="AG353" s="10"/>
      <c r="AH353" s="12"/>
      <c r="AI353" s="12"/>
      <c r="AJ353" s="12"/>
      <c r="AK353" s="12"/>
      <c r="AL353" s="10"/>
      <c r="AM353" s="12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2"/>
      <c r="BL353" s="10"/>
      <c r="BM353" s="10"/>
      <c r="BN353" s="10"/>
      <c r="BO353" s="10"/>
      <c r="BP353" s="10"/>
      <c r="BQ353" s="10"/>
      <c r="BR353" s="10"/>
      <c r="BS353" s="10"/>
      <c r="BT353" s="10"/>
      <c r="BU353" s="12" t="s">
        <v>113</v>
      </c>
      <c r="BV353" s="12" t="s">
        <v>113</v>
      </c>
      <c r="BW353" s="12" t="s">
        <v>113</v>
      </c>
      <c r="BX353" s="12" t="s">
        <v>113</v>
      </c>
      <c r="BY353" s="12" t="s">
        <v>113</v>
      </c>
      <c r="BZ353" s="12" t="s">
        <v>113</v>
      </c>
      <c r="CA353" s="12" t="s">
        <v>113</v>
      </c>
      <c r="CB353" s="12" t="s">
        <v>113</v>
      </c>
      <c r="CC353" s="12" t="s">
        <v>113</v>
      </c>
      <c r="CD353" s="12" t="s">
        <v>113</v>
      </c>
      <c r="CE353" s="12" t="s">
        <v>113</v>
      </c>
      <c r="CF353" s="12"/>
      <c r="CG353" s="12" t="s">
        <v>113</v>
      </c>
      <c r="CH353" s="10"/>
      <c r="CI353" s="10"/>
      <c r="CJ353" s="10"/>
      <c r="CK353" s="10"/>
      <c r="CL353" s="10"/>
      <c r="CM353" s="12"/>
      <c r="CN353" s="12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>
        <f t="shared" ref="CZ353:CZ355" si="13">IF(COUNTIF(F353:CY353,"ü")&lt;=0,0,1)</f>
        <v>1</v>
      </c>
    </row>
    <row r="354" spans="1:104" s="11" customFormat="1" ht="21.75" customHeight="1">
      <c r="A354" s="13">
        <v>346</v>
      </c>
      <c r="B354" s="84">
        <v>5033</v>
      </c>
      <c r="C354" s="35" t="s">
        <v>259</v>
      </c>
      <c r="D354" s="18" t="s">
        <v>19</v>
      </c>
      <c r="E354" s="9">
        <v>45680</v>
      </c>
      <c r="F354" s="10"/>
      <c r="G354" s="12" t="s">
        <v>113</v>
      </c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7"/>
      <c r="S354" s="10"/>
      <c r="T354" s="7"/>
      <c r="U354" s="10"/>
      <c r="V354" s="7"/>
      <c r="W354" s="10"/>
      <c r="X354" s="10"/>
      <c r="Y354" s="10"/>
      <c r="Z354" s="10"/>
      <c r="AA354" s="10"/>
      <c r="AB354" s="10"/>
      <c r="AC354" s="12" t="s">
        <v>113</v>
      </c>
      <c r="AD354" s="10"/>
      <c r="AE354" s="10"/>
      <c r="AF354" s="10"/>
      <c r="AG354" s="10"/>
      <c r="AH354" s="12"/>
      <c r="AI354" s="12"/>
      <c r="AJ354" s="12"/>
      <c r="AK354" s="12"/>
      <c r="AL354" s="10"/>
      <c r="AM354" s="12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2" t="s">
        <v>113</v>
      </c>
      <c r="BV354" s="12" t="s">
        <v>113</v>
      </c>
      <c r="BW354" s="12" t="s">
        <v>113</v>
      </c>
      <c r="BX354" s="12" t="s">
        <v>113</v>
      </c>
      <c r="BY354" s="12" t="s">
        <v>113</v>
      </c>
      <c r="BZ354" s="12" t="s">
        <v>113</v>
      </c>
      <c r="CA354" s="12" t="s">
        <v>113</v>
      </c>
      <c r="CB354" s="12" t="s">
        <v>113</v>
      </c>
      <c r="CC354" s="12" t="s">
        <v>113</v>
      </c>
      <c r="CD354" s="12" t="s">
        <v>113</v>
      </c>
      <c r="CE354" s="12" t="s">
        <v>113</v>
      </c>
      <c r="CF354" s="12"/>
      <c r="CG354" s="12" t="s">
        <v>113</v>
      </c>
      <c r="CH354" s="10"/>
      <c r="CI354" s="10"/>
      <c r="CJ354" s="10"/>
      <c r="CK354" s="10"/>
      <c r="CL354" s="10"/>
      <c r="CM354" s="12"/>
      <c r="CN354" s="12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>
        <f t="shared" si="13"/>
        <v>1</v>
      </c>
    </row>
    <row r="355" spans="1:104" s="11" customFormat="1" ht="21.75" customHeight="1">
      <c r="A355" s="13">
        <v>347</v>
      </c>
      <c r="B355" s="84">
        <v>5218</v>
      </c>
      <c r="C355" s="35" t="s">
        <v>769</v>
      </c>
      <c r="D355" s="18" t="s">
        <v>225</v>
      </c>
      <c r="E355" s="9">
        <v>45661</v>
      </c>
      <c r="F355" s="10"/>
      <c r="G355" s="12" t="s">
        <v>113</v>
      </c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7"/>
      <c r="S355" s="10"/>
      <c r="T355" s="7"/>
      <c r="U355" s="10"/>
      <c r="V355" s="7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2"/>
      <c r="AI355" s="12"/>
      <c r="AJ355" s="12"/>
      <c r="AK355" s="12"/>
      <c r="AL355" s="10"/>
      <c r="AM355" s="12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2"/>
      <c r="CN355" s="12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>
        <f t="shared" si="13"/>
        <v>1</v>
      </c>
    </row>
    <row r="356" spans="1:104" s="11" customFormat="1" ht="21.75" customHeight="1">
      <c r="A356" s="13">
        <v>348</v>
      </c>
      <c r="B356" s="84">
        <v>2842</v>
      </c>
      <c r="C356" s="35" t="s">
        <v>338</v>
      </c>
      <c r="D356" s="18" t="s">
        <v>232</v>
      </c>
      <c r="E356" s="9">
        <v>45661</v>
      </c>
      <c r="F356" s="10"/>
      <c r="G356" s="12" t="s">
        <v>113</v>
      </c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7"/>
      <c r="S356" s="10"/>
      <c r="T356" s="7"/>
      <c r="U356" s="10"/>
      <c r="V356" s="7"/>
      <c r="W356" s="12" t="s">
        <v>113</v>
      </c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2"/>
      <c r="AI356" s="12"/>
      <c r="AJ356" s="12"/>
      <c r="AK356" s="12"/>
      <c r="AL356" s="10"/>
      <c r="AM356" s="12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2"/>
      <c r="CN356" s="12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>
        <f t="shared" ref="CZ356:CZ369" si="14">IF(COUNTIF(F356:CY356,"ü")&lt;=0,0,1)</f>
        <v>1</v>
      </c>
    </row>
    <row r="357" spans="1:104" s="11" customFormat="1" ht="21.75" customHeight="1">
      <c r="A357" s="13">
        <v>349</v>
      </c>
      <c r="B357" s="84">
        <v>4926</v>
      </c>
      <c r="C357" s="35" t="s">
        <v>770</v>
      </c>
      <c r="D357" s="18" t="s">
        <v>232</v>
      </c>
      <c r="E357" s="9">
        <v>45661</v>
      </c>
      <c r="F357" s="10"/>
      <c r="G357" s="12" t="s">
        <v>113</v>
      </c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7"/>
      <c r="S357" s="10"/>
      <c r="T357" s="7"/>
      <c r="U357" s="10"/>
      <c r="V357" s="7"/>
      <c r="W357" s="10"/>
      <c r="X357" s="10"/>
      <c r="Y357" s="10"/>
      <c r="Z357" s="10"/>
      <c r="AA357" s="10"/>
      <c r="AB357" s="10"/>
      <c r="AC357" s="12" t="s">
        <v>113</v>
      </c>
      <c r="AD357" s="10"/>
      <c r="AE357" s="10"/>
      <c r="AF357" s="10"/>
      <c r="AG357" s="10"/>
      <c r="AH357" s="12"/>
      <c r="AI357" s="12"/>
      <c r="AJ357" s="12"/>
      <c r="AK357" s="12"/>
      <c r="AL357" s="10"/>
      <c r="AM357" s="12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2" t="s">
        <v>113</v>
      </c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2"/>
      <c r="CN357" s="12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>
        <f t="shared" si="14"/>
        <v>1</v>
      </c>
    </row>
    <row r="358" spans="1:104" s="11" customFormat="1" ht="21.75" customHeight="1">
      <c r="A358" s="13">
        <v>350</v>
      </c>
      <c r="B358" s="84">
        <v>1485</v>
      </c>
      <c r="C358" s="35" t="s">
        <v>771</v>
      </c>
      <c r="D358" s="18" t="s">
        <v>232</v>
      </c>
      <c r="E358" s="9">
        <v>45661</v>
      </c>
      <c r="F358" s="10"/>
      <c r="G358" s="12" t="s">
        <v>113</v>
      </c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7"/>
      <c r="S358" s="10"/>
      <c r="T358" s="7"/>
      <c r="U358" s="10"/>
      <c r="V358" s="7"/>
      <c r="W358" s="12" t="s">
        <v>113</v>
      </c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2"/>
      <c r="AI358" s="12"/>
      <c r="AJ358" s="12"/>
      <c r="AK358" s="12"/>
      <c r="AL358" s="10"/>
      <c r="AM358" s="12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2" t="s">
        <v>113</v>
      </c>
      <c r="BF358" s="10"/>
      <c r="BG358" s="12" t="s">
        <v>113</v>
      </c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2"/>
      <c r="CN358" s="12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>
        <f t="shared" si="14"/>
        <v>1</v>
      </c>
    </row>
    <row r="359" spans="1:104" s="11" customFormat="1" ht="21.75" customHeight="1">
      <c r="A359" s="13">
        <v>351</v>
      </c>
      <c r="B359" s="84">
        <v>5263</v>
      </c>
      <c r="C359" s="35" t="s">
        <v>772</v>
      </c>
      <c r="D359" s="18" t="s">
        <v>232</v>
      </c>
      <c r="E359" s="9">
        <v>45661</v>
      </c>
      <c r="F359" s="10"/>
      <c r="G359" s="12" t="s">
        <v>113</v>
      </c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7"/>
      <c r="S359" s="10"/>
      <c r="T359" s="7"/>
      <c r="U359" s="10"/>
      <c r="V359" s="7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2"/>
      <c r="AI359" s="12"/>
      <c r="AJ359" s="12"/>
      <c r="AK359" s="12"/>
      <c r="AL359" s="10"/>
      <c r="AM359" s="12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2" t="s">
        <v>113</v>
      </c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2"/>
      <c r="CN359" s="12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>
        <f t="shared" si="14"/>
        <v>1</v>
      </c>
    </row>
    <row r="360" spans="1:104" s="11" customFormat="1" ht="21.75" customHeight="1">
      <c r="A360" s="13">
        <v>352</v>
      </c>
      <c r="B360" s="84">
        <v>5187</v>
      </c>
      <c r="C360" s="35" t="s">
        <v>773</v>
      </c>
      <c r="D360" s="18" t="s">
        <v>131</v>
      </c>
      <c r="E360" s="9">
        <v>45661</v>
      </c>
      <c r="F360" s="10"/>
      <c r="G360" s="12" t="s">
        <v>113</v>
      </c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7"/>
      <c r="S360" s="10"/>
      <c r="T360" s="7"/>
      <c r="U360" s="10"/>
      <c r="V360" s="7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2"/>
      <c r="AI360" s="12"/>
      <c r="AJ360" s="12"/>
      <c r="AK360" s="12"/>
      <c r="AL360" s="10"/>
      <c r="AM360" s="12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2"/>
      <c r="CN360" s="12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>
        <f t="shared" si="14"/>
        <v>1</v>
      </c>
    </row>
    <row r="361" spans="1:104" s="11" customFormat="1" ht="21.75" customHeight="1">
      <c r="A361" s="13">
        <v>353</v>
      </c>
      <c r="B361" s="84">
        <v>5137</v>
      </c>
      <c r="C361" s="35" t="s">
        <v>774</v>
      </c>
      <c r="D361" s="18" t="s">
        <v>131</v>
      </c>
      <c r="E361" s="9">
        <v>45896</v>
      </c>
      <c r="F361" s="10"/>
      <c r="G361" s="12" t="s">
        <v>113</v>
      </c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7"/>
      <c r="S361" s="10"/>
      <c r="T361" s="7"/>
      <c r="U361" s="10"/>
      <c r="V361" s="7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2"/>
      <c r="AI361" s="12"/>
      <c r="AJ361" s="12"/>
      <c r="AK361" s="12"/>
      <c r="AL361" s="10"/>
      <c r="AM361" s="12"/>
      <c r="AN361" s="10"/>
      <c r="AO361" s="12" t="s">
        <v>113</v>
      </c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2"/>
      <c r="CN361" s="12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>
        <f t="shared" si="14"/>
        <v>1</v>
      </c>
    </row>
    <row r="362" spans="1:104" s="11" customFormat="1" ht="21.75" customHeight="1">
      <c r="A362" s="13">
        <v>354</v>
      </c>
      <c r="B362" s="84">
        <v>5000</v>
      </c>
      <c r="C362" s="35" t="s">
        <v>775</v>
      </c>
      <c r="D362" s="18" t="s">
        <v>131</v>
      </c>
      <c r="E362" s="9">
        <v>45896</v>
      </c>
      <c r="F362" s="10"/>
      <c r="G362" s="12" t="s">
        <v>113</v>
      </c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7"/>
      <c r="S362" s="10"/>
      <c r="T362" s="7"/>
      <c r="U362" s="10"/>
      <c r="V362" s="7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2"/>
      <c r="AI362" s="12"/>
      <c r="AJ362" s="12"/>
      <c r="AK362" s="12"/>
      <c r="AL362" s="10"/>
      <c r="AM362" s="12"/>
      <c r="AN362" s="10"/>
      <c r="AO362" s="12" t="s">
        <v>113</v>
      </c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2"/>
      <c r="CN362" s="12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>
        <f t="shared" si="14"/>
        <v>1</v>
      </c>
    </row>
    <row r="363" spans="1:104" s="11" customFormat="1" ht="21.75" customHeight="1">
      <c r="A363" s="13">
        <v>355</v>
      </c>
      <c r="B363" s="84">
        <v>4822</v>
      </c>
      <c r="C363" s="35" t="s">
        <v>776</v>
      </c>
      <c r="D363" s="18" t="s">
        <v>131</v>
      </c>
      <c r="E363" s="9">
        <v>45661</v>
      </c>
      <c r="F363" s="10"/>
      <c r="G363" s="12" t="s">
        <v>113</v>
      </c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7"/>
      <c r="S363" s="10"/>
      <c r="T363" s="7"/>
      <c r="U363" s="10"/>
      <c r="V363" s="7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2"/>
      <c r="AI363" s="12"/>
      <c r="AJ363" s="12"/>
      <c r="AK363" s="12"/>
      <c r="AL363" s="10"/>
      <c r="AM363" s="12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2"/>
      <c r="CN363" s="12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>
        <f t="shared" si="14"/>
        <v>1</v>
      </c>
    </row>
    <row r="364" spans="1:104" s="11" customFormat="1" ht="21.75" customHeight="1">
      <c r="A364" s="13">
        <v>356</v>
      </c>
      <c r="B364" s="84">
        <v>4686</v>
      </c>
      <c r="C364" s="35" t="s">
        <v>777</v>
      </c>
      <c r="D364" s="18" t="s">
        <v>131</v>
      </c>
      <c r="E364" s="9">
        <v>45661</v>
      </c>
      <c r="F364" s="10"/>
      <c r="G364" s="12" t="s">
        <v>113</v>
      </c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7"/>
      <c r="S364" s="10"/>
      <c r="T364" s="7"/>
      <c r="U364" s="10"/>
      <c r="V364" s="7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2"/>
      <c r="AI364" s="12"/>
      <c r="AJ364" s="12"/>
      <c r="AK364" s="12"/>
      <c r="AL364" s="10"/>
      <c r="AM364" s="12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2"/>
      <c r="CN364" s="12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>
        <f t="shared" si="14"/>
        <v>1</v>
      </c>
    </row>
    <row r="365" spans="1:104" s="11" customFormat="1" ht="21.75" customHeight="1">
      <c r="A365" s="13">
        <v>357</v>
      </c>
      <c r="B365" s="84">
        <v>2254</v>
      </c>
      <c r="C365" s="35" t="s">
        <v>778</v>
      </c>
      <c r="D365" s="18" t="s">
        <v>131</v>
      </c>
      <c r="E365" s="9">
        <v>45661</v>
      </c>
      <c r="F365" s="10"/>
      <c r="G365" s="12" t="s">
        <v>113</v>
      </c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7"/>
      <c r="S365" s="10"/>
      <c r="T365" s="7"/>
      <c r="U365" s="10"/>
      <c r="V365" s="7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2"/>
      <c r="AI365" s="12"/>
      <c r="AJ365" s="12"/>
      <c r="AK365" s="12"/>
      <c r="AL365" s="10"/>
      <c r="AM365" s="12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2"/>
      <c r="CN365" s="12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>
        <f t="shared" si="14"/>
        <v>1</v>
      </c>
    </row>
    <row r="366" spans="1:104" s="11" customFormat="1" ht="21.75" customHeight="1">
      <c r="A366" s="13">
        <v>358</v>
      </c>
      <c r="B366" s="84">
        <v>4658</v>
      </c>
      <c r="C366" s="35" t="s">
        <v>779</v>
      </c>
      <c r="D366" s="18" t="s">
        <v>131</v>
      </c>
      <c r="E366" s="9">
        <v>45661</v>
      </c>
      <c r="F366" s="10"/>
      <c r="G366" s="12" t="s">
        <v>113</v>
      </c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7"/>
      <c r="S366" s="10"/>
      <c r="T366" s="7"/>
      <c r="U366" s="10"/>
      <c r="V366" s="7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2"/>
      <c r="AI366" s="12"/>
      <c r="AJ366" s="12"/>
      <c r="AK366" s="12"/>
      <c r="AL366" s="10"/>
      <c r="AM366" s="12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2"/>
      <c r="CN366" s="12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>
        <f t="shared" si="14"/>
        <v>1</v>
      </c>
    </row>
    <row r="367" spans="1:104" s="11" customFormat="1" ht="21.75" customHeight="1">
      <c r="A367" s="13">
        <v>359</v>
      </c>
      <c r="B367" s="43" t="s">
        <v>780</v>
      </c>
      <c r="C367" s="44" t="s">
        <v>781</v>
      </c>
      <c r="D367" s="18" t="s">
        <v>149</v>
      </c>
      <c r="E367" s="9">
        <v>45662</v>
      </c>
      <c r="F367" s="10"/>
      <c r="G367" s="12" t="s">
        <v>113</v>
      </c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7"/>
      <c r="S367" s="10"/>
      <c r="T367" s="7"/>
      <c r="U367" s="10"/>
      <c r="V367" s="7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2"/>
      <c r="AI367" s="12"/>
      <c r="AJ367" s="12"/>
      <c r="AK367" s="12"/>
      <c r="AL367" s="10"/>
      <c r="AM367" s="12"/>
      <c r="AN367" s="12" t="s">
        <v>113</v>
      </c>
      <c r="AO367" s="12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2" t="s">
        <v>113</v>
      </c>
      <c r="CK367" s="12" t="s">
        <v>113</v>
      </c>
      <c r="CL367" s="10"/>
      <c r="CM367" s="12" t="s">
        <v>113</v>
      </c>
      <c r="CN367" s="12" t="s">
        <v>113</v>
      </c>
      <c r="CO367" s="12" t="s">
        <v>113</v>
      </c>
      <c r="CP367" s="12" t="s">
        <v>113</v>
      </c>
      <c r="CQ367" s="12" t="s">
        <v>113</v>
      </c>
      <c r="CR367" s="12"/>
      <c r="CS367" s="10"/>
      <c r="CT367" s="10"/>
      <c r="CU367" s="12" t="s">
        <v>113</v>
      </c>
      <c r="CV367" s="10"/>
      <c r="CW367" s="10"/>
      <c r="CX367" s="10"/>
      <c r="CY367" s="10"/>
      <c r="CZ367" s="10">
        <f t="shared" si="14"/>
        <v>1</v>
      </c>
    </row>
    <row r="368" spans="1:104" s="11" customFormat="1" ht="21.75" customHeight="1">
      <c r="A368" s="13">
        <v>360</v>
      </c>
      <c r="B368" s="43" t="s">
        <v>782</v>
      </c>
      <c r="C368" s="85" t="s">
        <v>783</v>
      </c>
      <c r="D368" s="18" t="s">
        <v>154</v>
      </c>
      <c r="E368" s="9">
        <v>45662</v>
      </c>
      <c r="F368" s="10"/>
      <c r="G368" s="12" t="s">
        <v>113</v>
      </c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7"/>
      <c r="S368" s="10"/>
      <c r="T368" s="7"/>
      <c r="U368" s="10"/>
      <c r="V368" s="7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2"/>
      <c r="AI368" s="12"/>
      <c r="AJ368" s="12"/>
      <c r="AK368" s="12"/>
      <c r="AL368" s="10"/>
      <c r="AM368" s="12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2" t="s">
        <v>113</v>
      </c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2" t="s">
        <v>113</v>
      </c>
      <c r="CK368" s="12" t="s">
        <v>113</v>
      </c>
      <c r="CL368" s="10"/>
      <c r="CM368" s="12"/>
      <c r="CN368" s="12"/>
      <c r="CO368" s="10"/>
      <c r="CP368" s="10"/>
      <c r="CQ368" s="10"/>
      <c r="CR368" s="10"/>
      <c r="CS368" s="10"/>
      <c r="CT368" s="10"/>
      <c r="CU368" s="12" t="s">
        <v>113</v>
      </c>
      <c r="CV368" s="10"/>
      <c r="CW368" s="10"/>
      <c r="CX368" s="10"/>
      <c r="CY368" s="10"/>
      <c r="CZ368" s="10">
        <f t="shared" si="14"/>
        <v>1</v>
      </c>
    </row>
    <row r="369" spans="1:104" s="11" customFormat="1" ht="21.75" customHeight="1">
      <c r="A369" s="13">
        <v>361</v>
      </c>
      <c r="B369" s="77" t="s">
        <v>784</v>
      </c>
      <c r="C369" s="77" t="s">
        <v>785</v>
      </c>
      <c r="D369" s="18" t="s">
        <v>154</v>
      </c>
      <c r="E369" s="9">
        <v>45662</v>
      </c>
      <c r="F369" s="10"/>
      <c r="G369" s="12" t="s">
        <v>113</v>
      </c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7"/>
      <c r="S369" s="10"/>
      <c r="T369" s="7"/>
      <c r="U369" s="10"/>
      <c r="V369" s="7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2"/>
      <c r="AI369" s="12"/>
      <c r="AJ369" s="12"/>
      <c r="AK369" s="12"/>
      <c r="AL369" s="10"/>
      <c r="AM369" s="12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2" t="s">
        <v>113</v>
      </c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2" t="s">
        <v>113</v>
      </c>
      <c r="CK369" s="12" t="s">
        <v>113</v>
      </c>
      <c r="CL369" s="10"/>
      <c r="CM369" s="12"/>
      <c r="CN369" s="12"/>
      <c r="CO369" s="10"/>
      <c r="CP369" s="10"/>
      <c r="CQ369" s="10"/>
      <c r="CR369" s="10"/>
      <c r="CS369" s="12" t="s">
        <v>113</v>
      </c>
      <c r="CT369" s="12" t="s">
        <v>113</v>
      </c>
      <c r="CU369" s="12" t="s">
        <v>113</v>
      </c>
      <c r="CV369" s="10"/>
      <c r="CW369" s="10"/>
      <c r="CX369" s="10"/>
      <c r="CY369" s="10"/>
      <c r="CZ369" s="10">
        <f t="shared" si="14"/>
        <v>1</v>
      </c>
    </row>
    <row r="370" spans="1:104" s="11" customFormat="1" ht="21.75" customHeight="1">
      <c r="A370" s="13">
        <v>362</v>
      </c>
      <c r="B370" s="38" t="s">
        <v>786</v>
      </c>
      <c r="C370" s="44" t="s">
        <v>787</v>
      </c>
      <c r="D370" s="18" t="s">
        <v>154</v>
      </c>
      <c r="E370" s="9">
        <v>45829</v>
      </c>
      <c r="F370" s="10"/>
      <c r="G370" s="12" t="s">
        <v>113</v>
      </c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7"/>
      <c r="S370" s="10"/>
      <c r="T370" s="7"/>
      <c r="U370" s="10"/>
      <c r="V370" s="7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2"/>
      <c r="AI370" s="12"/>
      <c r="AJ370" s="12"/>
      <c r="AK370" s="12"/>
      <c r="AL370" s="10"/>
      <c r="AM370" s="12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2" t="s">
        <v>113</v>
      </c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2" t="s">
        <v>113</v>
      </c>
      <c r="CK370" s="12" t="s">
        <v>113</v>
      </c>
      <c r="CL370" s="10"/>
      <c r="CM370" s="12"/>
      <c r="CN370" s="12"/>
      <c r="CO370" s="10"/>
      <c r="CP370" s="10"/>
      <c r="CQ370" s="10"/>
      <c r="CR370" s="10"/>
      <c r="CS370" s="10"/>
      <c r="CT370" s="10"/>
      <c r="CU370" s="12"/>
      <c r="CV370" s="10"/>
      <c r="CW370" s="10"/>
      <c r="CX370" s="10"/>
      <c r="CY370" s="10"/>
      <c r="CZ370" s="10"/>
    </row>
    <row r="371" spans="1:104" s="11" customFormat="1" ht="21.75" customHeight="1">
      <c r="A371" s="13">
        <v>363</v>
      </c>
      <c r="B371" s="43" t="s">
        <v>788</v>
      </c>
      <c r="C371" s="44" t="s">
        <v>789</v>
      </c>
      <c r="D371" s="18" t="s">
        <v>154</v>
      </c>
      <c r="E371" s="9">
        <v>45722</v>
      </c>
      <c r="F371" s="10"/>
      <c r="G371" s="12" t="s">
        <v>113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7"/>
      <c r="S371" s="10"/>
      <c r="T371" s="7"/>
      <c r="U371" s="10"/>
      <c r="V371" s="7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2"/>
      <c r="AI371" s="12"/>
      <c r="AJ371" s="12"/>
      <c r="AK371" s="12"/>
      <c r="AL371" s="10"/>
      <c r="AM371" s="12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2" t="s">
        <v>113</v>
      </c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2" t="s">
        <v>113</v>
      </c>
      <c r="CK371" s="12" t="s">
        <v>113</v>
      </c>
      <c r="CL371" s="10"/>
      <c r="CM371" s="12"/>
      <c r="CN371" s="12"/>
      <c r="CO371" s="10"/>
      <c r="CP371" s="10"/>
      <c r="CQ371" s="10"/>
      <c r="CR371" s="12" t="s">
        <v>113</v>
      </c>
      <c r="CS371" s="12" t="s">
        <v>113</v>
      </c>
      <c r="CT371" s="12" t="s">
        <v>113</v>
      </c>
      <c r="CU371" s="12" t="s">
        <v>113</v>
      </c>
      <c r="CV371" s="10"/>
      <c r="CW371" s="10"/>
      <c r="CX371" s="10"/>
      <c r="CY371" s="10"/>
      <c r="CZ371" s="10"/>
    </row>
    <row r="372" spans="1:104" s="11" customFormat="1" ht="21.75" customHeight="1">
      <c r="A372" s="13">
        <v>364</v>
      </c>
      <c r="B372" s="77" t="s">
        <v>790</v>
      </c>
      <c r="C372" s="77" t="s">
        <v>791</v>
      </c>
      <c r="D372" s="18" t="s">
        <v>154</v>
      </c>
      <c r="E372" s="9">
        <v>45730</v>
      </c>
      <c r="F372" s="10"/>
      <c r="G372" s="12" t="s">
        <v>113</v>
      </c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7"/>
      <c r="S372" s="10"/>
      <c r="T372" s="7"/>
      <c r="U372" s="10"/>
      <c r="V372" s="7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2"/>
      <c r="AI372" s="12"/>
      <c r="AJ372" s="12"/>
      <c r="AK372" s="12"/>
      <c r="AL372" s="10"/>
      <c r="AM372" s="12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2" t="s">
        <v>113</v>
      </c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2" t="s">
        <v>113</v>
      </c>
      <c r="CK372" s="12" t="s">
        <v>113</v>
      </c>
      <c r="CL372" s="10"/>
      <c r="CM372" s="12"/>
      <c r="CN372" s="12"/>
      <c r="CO372" s="10"/>
      <c r="CP372" s="10"/>
      <c r="CQ372" s="10"/>
      <c r="CR372" s="10"/>
      <c r="CS372" s="10"/>
      <c r="CT372" s="10"/>
      <c r="CU372" s="12" t="s">
        <v>113</v>
      </c>
      <c r="CV372" s="10"/>
      <c r="CW372" s="10"/>
      <c r="CX372" s="10"/>
      <c r="CY372" s="10"/>
      <c r="CZ372" s="10"/>
    </row>
    <row r="373" spans="1:104" s="11" customFormat="1" ht="21.75" customHeight="1">
      <c r="A373" s="13">
        <v>365</v>
      </c>
      <c r="B373" s="35" t="s">
        <v>792</v>
      </c>
      <c r="C373" s="86" t="s">
        <v>793</v>
      </c>
      <c r="D373" s="18" t="s">
        <v>794</v>
      </c>
      <c r="E373" s="9">
        <v>45666</v>
      </c>
      <c r="F373" s="10"/>
      <c r="G373" s="12" t="s">
        <v>113</v>
      </c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2" t="s">
        <v>113</v>
      </c>
      <c r="AO373" s="12"/>
      <c r="AP373" s="12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2" t="s">
        <v>113</v>
      </c>
      <c r="CK373" s="12" t="s">
        <v>113</v>
      </c>
      <c r="CL373" s="10"/>
      <c r="CM373" s="12" t="s">
        <v>113</v>
      </c>
      <c r="CN373" s="12" t="s">
        <v>113</v>
      </c>
      <c r="CO373" s="12" t="s">
        <v>113</v>
      </c>
      <c r="CP373" s="12" t="s">
        <v>113</v>
      </c>
      <c r="CQ373" s="12" t="s">
        <v>113</v>
      </c>
      <c r="CR373" s="10"/>
      <c r="CS373" s="10"/>
      <c r="CT373" s="10"/>
      <c r="CU373" s="12" t="s">
        <v>113</v>
      </c>
      <c r="CV373" s="10"/>
      <c r="CW373" s="10"/>
      <c r="CX373" s="10"/>
      <c r="CY373" s="10"/>
      <c r="CZ373" s="10">
        <f>IF(COUNTIF(F373:CY373,"ü")&lt;=0,0,1)</f>
        <v>1</v>
      </c>
    </row>
    <row r="374" spans="1:104" s="11" customFormat="1" ht="21.75" customHeight="1">
      <c r="A374" s="13">
        <v>366</v>
      </c>
      <c r="B374" s="35">
        <v>39369</v>
      </c>
      <c r="C374" s="86" t="s">
        <v>795</v>
      </c>
      <c r="D374" s="18" t="s">
        <v>796</v>
      </c>
      <c r="E374" s="9">
        <v>45669</v>
      </c>
      <c r="F374" s="10"/>
      <c r="G374" s="12" t="s">
        <v>113</v>
      </c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7"/>
      <c r="S374" s="10"/>
      <c r="T374" s="7"/>
      <c r="U374" s="10"/>
      <c r="V374" s="7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2"/>
      <c r="AI374" s="12"/>
      <c r="AJ374" s="12"/>
      <c r="AK374" s="12"/>
      <c r="AL374" s="10"/>
      <c r="AM374" s="12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2"/>
      <c r="CN374" s="12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</row>
    <row r="375" spans="1:104" s="11" customFormat="1" ht="21.75" customHeight="1">
      <c r="A375" s="13">
        <v>367</v>
      </c>
      <c r="B375" s="35">
        <v>39821</v>
      </c>
      <c r="C375" s="86" t="s">
        <v>797</v>
      </c>
      <c r="D375" s="18" t="s">
        <v>796</v>
      </c>
      <c r="E375" s="9">
        <v>45810</v>
      </c>
      <c r="F375" s="10"/>
      <c r="G375" s="12" t="s">
        <v>113</v>
      </c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7"/>
      <c r="S375" s="10"/>
      <c r="T375" s="7"/>
      <c r="U375" s="10"/>
      <c r="V375" s="7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2"/>
      <c r="AI375" s="12"/>
      <c r="AJ375" s="12"/>
      <c r="AK375" s="12"/>
      <c r="AL375" s="10"/>
      <c r="AM375" s="12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2"/>
      <c r="CN375" s="12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</row>
    <row r="376" spans="1:104" s="11" customFormat="1" ht="21.75" customHeight="1">
      <c r="A376" s="13">
        <v>368</v>
      </c>
      <c r="B376" s="35">
        <v>4662</v>
      </c>
      <c r="C376" s="86" t="s">
        <v>798</v>
      </c>
      <c r="D376" s="18" t="s">
        <v>796</v>
      </c>
      <c r="E376" s="9">
        <v>45780</v>
      </c>
      <c r="F376" s="10"/>
      <c r="G376" s="12" t="s">
        <v>113</v>
      </c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7"/>
      <c r="S376" s="10"/>
      <c r="T376" s="7"/>
      <c r="U376" s="10"/>
      <c r="V376" s="7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2"/>
      <c r="AI376" s="12" t="s">
        <v>113</v>
      </c>
      <c r="AJ376" s="12" t="s">
        <v>113</v>
      </c>
      <c r="AK376" s="12"/>
      <c r="AL376" s="10"/>
      <c r="AM376" s="12"/>
      <c r="AN376" s="10"/>
      <c r="AO376" s="12" t="s">
        <v>113</v>
      </c>
      <c r="AP376" s="12" t="s">
        <v>113</v>
      </c>
      <c r="AQ376" s="10"/>
      <c r="AR376" s="10"/>
      <c r="AS376" s="10"/>
      <c r="AT376" s="10"/>
      <c r="AU376" s="12" t="s">
        <v>113</v>
      </c>
      <c r="AV376" s="12" t="s">
        <v>113</v>
      </c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2" t="s">
        <v>113</v>
      </c>
      <c r="CK376" s="12" t="s">
        <v>113</v>
      </c>
      <c r="CL376" s="10"/>
      <c r="CM376" s="12"/>
      <c r="CN376" s="12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</row>
    <row r="377" spans="1:104" s="11" customFormat="1" ht="21.75" customHeight="1">
      <c r="A377" s="13">
        <v>369</v>
      </c>
      <c r="B377" s="35">
        <v>5294</v>
      </c>
      <c r="C377" s="86" t="s">
        <v>799</v>
      </c>
      <c r="D377" s="18" t="s">
        <v>796</v>
      </c>
      <c r="E377" s="9">
        <v>45796</v>
      </c>
      <c r="F377" s="10"/>
      <c r="G377" s="12" t="s">
        <v>113</v>
      </c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7"/>
      <c r="S377" s="10"/>
      <c r="T377" s="7"/>
      <c r="U377" s="10"/>
      <c r="V377" s="7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2"/>
      <c r="AI377" s="12"/>
      <c r="AJ377" s="12" t="s">
        <v>113</v>
      </c>
      <c r="AK377" s="12"/>
      <c r="AL377" s="10"/>
      <c r="AM377" s="12"/>
      <c r="AN377" s="10"/>
      <c r="AO377" s="10"/>
      <c r="AP377" s="10"/>
      <c r="AQ377" s="10"/>
      <c r="AR377" s="10"/>
      <c r="AS377" s="10"/>
      <c r="AT377" s="10"/>
      <c r="AU377" s="12" t="s">
        <v>113</v>
      </c>
      <c r="AV377" s="12" t="s">
        <v>113</v>
      </c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2" t="s">
        <v>113</v>
      </c>
      <c r="CL377" s="10"/>
      <c r="CM377" s="12"/>
      <c r="CN377" s="12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>
        <f>IF(COUNTIF(F377:CY377,"ü")&lt;=0,0,1)</f>
        <v>1</v>
      </c>
    </row>
    <row r="378" spans="1:104" s="11" customFormat="1" ht="21.75" customHeight="1">
      <c r="A378" s="13">
        <v>370</v>
      </c>
      <c r="B378" s="35">
        <v>4955</v>
      </c>
      <c r="C378" s="86" t="s">
        <v>800</v>
      </c>
      <c r="D378" s="18" t="s">
        <v>393</v>
      </c>
      <c r="E378" s="9">
        <v>45669</v>
      </c>
      <c r="F378" s="10"/>
      <c r="G378" s="12" t="s">
        <v>113</v>
      </c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7"/>
      <c r="S378" s="10"/>
      <c r="T378" s="7"/>
      <c r="U378" s="10"/>
      <c r="V378" s="7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2"/>
      <c r="AI378" s="12"/>
      <c r="AJ378" s="12"/>
      <c r="AK378" s="12"/>
      <c r="AL378" s="10"/>
      <c r="AM378" s="12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2"/>
      <c r="CN378" s="12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</row>
    <row r="379" spans="1:104" s="11" customFormat="1" ht="21.75" customHeight="1">
      <c r="A379" s="13">
        <v>371</v>
      </c>
      <c r="B379" s="35">
        <v>5054</v>
      </c>
      <c r="C379" s="86" t="s">
        <v>801</v>
      </c>
      <c r="D379" s="18" t="s">
        <v>393</v>
      </c>
      <c r="E379" s="9">
        <v>45669</v>
      </c>
      <c r="F379" s="10"/>
      <c r="G379" s="12" t="s">
        <v>113</v>
      </c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7"/>
      <c r="S379" s="10"/>
      <c r="T379" s="7"/>
      <c r="U379" s="10"/>
      <c r="V379" s="7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2"/>
      <c r="AI379" s="12"/>
      <c r="AJ379" s="12"/>
      <c r="AK379" s="12"/>
      <c r="AL379" s="10"/>
      <c r="AM379" s="12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2"/>
      <c r="CN379" s="12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</row>
    <row r="380" spans="1:104" s="11" customFormat="1" ht="21.75" customHeight="1">
      <c r="A380" s="13">
        <v>372</v>
      </c>
      <c r="B380" s="35">
        <v>5142</v>
      </c>
      <c r="C380" s="86" t="s">
        <v>802</v>
      </c>
      <c r="D380" s="18" t="s">
        <v>393</v>
      </c>
      <c r="E380" s="9">
        <v>45669</v>
      </c>
      <c r="F380" s="10"/>
      <c r="G380" s="12" t="s">
        <v>113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7"/>
      <c r="S380" s="10"/>
      <c r="T380" s="7"/>
      <c r="U380" s="10"/>
      <c r="V380" s="7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2"/>
      <c r="AI380" s="12"/>
      <c r="AJ380" s="12"/>
      <c r="AK380" s="12"/>
      <c r="AL380" s="10"/>
      <c r="AM380" s="12"/>
      <c r="AN380" s="10"/>
      <c r="AO380" s="10"/>
      <c r="AP380" s="10"/>
      <c r="AQ380" s="12" t="s">
        <v>113</v>
      </c>
      <c r="AR380" s="12" t="s">
        <v>113</v>
      </c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2"/>
      <c r="CN380" s="12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</row>
    <row r="381" spans="1:104" s="11" customFormat="1" ht="21.75" customHeight="1">
      <c r="A381" s="13">
        <v>373</v>
      </c>
      <c r="B381" s="35">
        <v>5125</v>
      </c>
      <c r="C381" s="86" t="s">
        <v>803</v>
      </c>
      <c r="D381" s="18" t="s">
        <v>393</v>
      </c>
      <c r="E381" s="9">
        <v>45669</v>
      </c>
      <c r="F381" s="10"/>
      <c r="G381" s="12" t="s">
        <v>113</v>
      </c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7"/>
      <c r="S381" s="10"/>
      <c r="T381" s="7"/>
      <c r="U381" s="10"/>
      <c r="V381" s="7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2"/>
      <c r="AI381" s="12"/>
      <c r="AJ381" s="12"/>
      <c r="AK381" s="12"/>
      <c r="AL381" s="10"/>
      <c r="AM381" s="12"/>
      <c r="AN381" s="10"/>
      <c r="AO381" s="10"/>
      <c r="AP381" s="10"/>
      <c r="AQ381" s="10"/>
      <c r="AR381" s="10"/>
      <c r="AS381" s="10"/>
      <c r="AT381" s="10"/>
      <c r="AU381" s="10"/>
      <c r="AV381" s="10"/>
      <c r="AW381" s="12" t="s">
        <v>113</v>
      </c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2"/>
      <c r="CN381" s="12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</row>
    <row r="382" spans="1:104" s="11" customFormat="1" ht="21.75" customHeight="1">
      <c r="A382" s="13">
        <v>374</v>
      </c>
      <c r="B382" s="35">
        <v>4300</v>
      </c>
      <c r="C382" s="86" t="s">
        <v>804</v>
      </c>
      <c r="D382" s="18" t="s">
        <v>393</v>
      </c>
      <c r="E382" s="9">
        <v>45669</v>
      </c>
      <c r="F382" s="10"/>
      <c r="G382" s="12" t="s">
        <v>113</v>
      </c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7"/>
      <c r="S382" s="10"/>
      <c r="T382" s="7"/>
      <c r="U382" s="10"/>
      <c r="V382" s="7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2"/>
      <c r="AI382" s="12"/>
      <c r="AJ382" s="12"/>
      <c r="AK382" s="12"/>
      <c r="AL382" s="10"/>
      <c r="AM382" s="12"/>
      <c r="AN382" s="10"/>
      <c r="AO382" s="10"/>
      <c r="AP382" s="10"/>
      <c r="AQ382" s="10"/>
      <c r="AR382" s="10"/>
      <c r="AS382" s="10"/>
      <c r="AT382" s="12" t="s">
        <v>113</v>
      </c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2"/>
      <c r="CN382" s="12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</row>
    <row r="383" spans="1:104" s="11" customFormat="1" ht="21.75" customHeight="1">
      <c r="A383" s="13">
        <v>375</v>
      </c>
      <c r="B383" s="35">
        <v>4383</v>
      </c>
      <c r="C383" s="86" t="s">
        <v>805</v>
      </c>
      <c r="D383" s="18" t="s">
        <v>299</v>
      </c>
      <c r="E383" s="9">
        <v>45669</v>
      </c>
      <c r="F383" s="10"/>
      <c r="G383" s="12" t="s">
        <v>113</v>
      </c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7"/>
      <c r="S383" s="10"/>
      <c r="T383" s="7"/>
      <c r="U383" s="10"/>
      <c r="V383" s="7"/>
      <c r="W383" s="10"/>
      <c r="X383" s="10"/>
      <c r="Y383" s="10"/>
      <c r="Z383" s="10"/>
      <c r="AA383" s="10"/>
      <c r="AB383" s="10"/>
      <c r="AC383" s="12" t="s">
        <v>113</v>
      </c>
      <c r="AD383" s="10"/>
      <c r="AE383" s="10"/>
      <c r="AF383" s="10"/>
      <c r="AG383" s="10"/>
      <c r="AH383" s="12"/>
      <c r="AI383" s="12"/>
      <c r="AJ383" s="12"/>
      <c r="AK383" s="12"/>
      <c r="AL383" s="10"/>
      <c r="AM383" s="12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2" t="s">
        <v>113</v>
      </c>
      <c r="AY383" s="12" t="s">
        <v>113</v>
      </c>
      <c r="AZ383" s="10"/>
      <c r="BA383" s="10"/>
      <c r="BB383" s="12" t="s">
        <v>113</v>
      </c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2"/>
      <c r="CN383" s="12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</row>
    <row r="384" spans="1:104" s="11" customFormat="1" ht="21.75" customHeight="1">
      <c r="A384" s="13">
        <v>376</v>
      </c>
      <c r="B384" s="35">
        <v>4521</v>
      </c>
      <c r="C384" s="86" t="s">
        <v>806</v>
      </c>
      <c r="D384" s="18" t="s">
        <v>299</v>
      </c>
      <c r="E384" s="9">
        <v>45669</v>
      </c>
      <c r="F384" s="10"/>
      <c r="G384" s="12" t="s">
        <v>113</v>
      </c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7"/>
      <c r="S384" s="10"/>
      <c r="T384" s="7"/>
      <c r="U384" s="10"/>
      <c r="V384" s="7"/>
      <c r="W384" s="10"/>
      <c r="X384" s="10"/>
      <c r="Y384" s="10"/>
      <c r="Z384" s="10"/>
      <c r="AA384" s="10"/>
      <c r="AB384" s="10"/>
      <c r="AC384" s="12" t="s">
        <v>113</v>
      </c>
      <c r="AD384" s="10"/>
      <c r="AE384" s="10"/>
      <c r="AF384" s="10"/>
      <c r="AG384" s="10"/>
      <c r="AH384" s="12"/>
      <c r="AI384" s="12"/>
      <c r="AJ384" s="12"/>
      <c r="AK384" s="12"/>
      <c r="AL384" s="10"/>
      <c r="AM384" s="12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2" t="s">
        <v>113</v>
      </c>
      <c r="AY384" s="12" t="s">
        <v>113</v>
      </c>
      <c r="AZ384" s="10"/>
      <c r="BA384" s="10"/>
      <c r="BB384" s="12" t="s">
        <v>113</v>
      </c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2"/>
      <c r="CN384" s="12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</row>
    <row r="385" spans="1:104" s="11" customFormat="1" ht="21.75" customHeight="1">
      <c r="A385" s="13">
        <v>377</v>
      </c>
      <c r="B385" s="78">
        <v>5217</v>
      </c>
      <c r="C385" s="87" t="s">
        <v>807</v>
      </c>
      <c r="D385" s="28" t="s">
        <v>120</v>
      </c>
      <c r="E385" s="9">
        <v>45678</v>
      </c>
      <c r="F385" s="10"/>
      <c r="G385" s="12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7"/>
      <c r="S385" s="10"/>
      <c r="T385" s="7"/>
      <c r="U385" s="10"/>
      <c r="V385" s="7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2"/>
      <c r="AI385" s="12"/>
      <c r="AJ385" s="12"/>
      <c r="AK385" s="12"/>
      <c r="AL385" s="10"/>
      <c r="AM385" s="12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2" t="s">
        <v>113</v>
      </c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2"/>
      <c r="CN385" s="12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</row>
    <row r="386" spans="1:104" s="11" customFormat="1" ht="21.75" customHeight="1">
      <c r="A386" s="13">
        <v>378</v>
      </c>
      <c r="B386" s="88" t="s">
        <v>808</v>
      </c>
      <c r="C386" s="89" t="s">
        <v>809</v>
      </c>
      <c r="D386" s="18" t="s">
        <v>336</v>
      </c>
      <c r="E386" s="9">
        <v>45679</v>
      </c>
      <c r="F386" s="10"/>
      <c r="G386" s="12" t="s">
        <v>113</v>
      </c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7"/>
      <c r="S386" s="10"/>
      <c r="T386" s="12" t="s">
        <v>113</v>
      </c>
      <c r="U386" s="10"/>
      <c r="V386" s="12" t="s">
        <v>113</v>
      </c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2"/>
      <c r="AI386" s="12"/>
      <c r="AJ386" s="12"/>
      <c r="AK386" s="12"/>
      <c r="AL386" s="10"/>
      <c r="AM386" s="12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2"/>
      <c r="CN386" s="12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</row>
    <row r="387" spans="1:104" s="11" customFormat="1" ht="21.75" customHeight="1">
      <c r="A387" s="13">
        <v>379</v>
      </c>
      <c r="B387" s="90" t="s">
        <v>810</v>
      </c>
      <c r="C387" s="87" t="s">
        <v>811</v>
      </c>
      <c r="D387" s="28" t="s">
        <v>393</v>
      </c>
      <c r="E387" s="9">
        <v>45680</v>
      </c>
      <c r="F387" s="10"/>
      <c r="G387" s="12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7"/>
      <c r="S387" s="10"/>
      <c r="T387" s="7"/>
      <c r="U387" s="10"/>
      <c r="V387" s="7"/>
      <c r="W387" s="10"/>
      <c r="X387" s="10"/>
      <c r="Y387" s="10"/>
      <c r="Z387" s="10"/>
      <c r="AA387" s="10"/>
      <c r="AB387" s="10"/>
      <c r="AC387" s="12" t="s">
        <v>113</v>
      </c>
      <c r="AD387" s="10"/>
      <c r="AE387" s="10"/>
      <c r="AF387" s="10"/>
      <c r="AG387" s="10"/>
      <c r="AH387" s="12"/>
      <c r="AI387" s="12"/>
      <c r="AJ387" s="12"/>
      <c r="AK387" s="12"/>
      <c r="AL387" s="10"/>
      <c r="AM387" s="12"/>
      <c r="AN387" s="10"/>
      <c r="AO387" s="10"/>
      <c r="AP387" s="10"/>
      <c r="AQ387" s="12" t="s">
        <v>113</v>
      </c>
      <c r="AR387" s="12" t="s">
        <v>113</v>
      </c>
      <c r="AS387" s="12" t="s">
        <v>113</v>
      </c>
      <c r="AT387" s="12" t="s">
        <v>113</v>
      </c>
      <c r="AU387" s="10"/>
      <c r="AV387" s="10"/>
      <c r="AW387" s="12" t="s">
        <v>113</v>
      </c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2"/>
      <c r="CN387" s="12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</row>
    <row r="388" spans="1:104" s="11" customFormat="1" ht="21.75" customHeight="1">
      <c r="A388" s="13">
        <v>380</v>
      </c>
      <c r="B388" s="38">
        <v>5239</v>
      </c>
      <c r="C388" s="85" t="s">
        <v>812</v>
      </c>
      <c r="D388" s="18" t="s">
        <v>120</v>
      </c>
      <c r="E388" s="9">
        <v>45899</v>
      </c>
      <c r="F388" s="10"/>
      <c r="G388" s="12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7"/>
      <c r="S388" s="10"/>
      <c r="T388" s="7"/>
      <c r="U388" s="10"/>
      <c r="V388" s="7"/>
      <c r="W388" s="10"/>
      <c r="X388" s="10"/>
      <c r="Y388" s="10"/>
      <c r="Z388" s="10"/>
      <c r="AA388" s="10"/>
      <c r="AB388" s="10"/>
      <c r="AC388" s="12"/>
      <c r="AD388" s="10"/>
      <c r="AE388" s="10"/>
      <c r="AF388" s="10"/>
      <c r="AG388" s="10"/>
      <c r="AH388" s="12"/>
      <c r="AI388" s="12"/>
      <c r="AJ388" s="12"/>
      <c r="AK388" s="12"/>
      <c r="AL388" s="10"/>
      <c r="AM388" s="12"/>
      <c r="AN388" s="10"/>
      <c r="AO388" s="10"/>
      <c r="AP388" s="10"/>
      <c r="AQ388" s="12"/>
      <c r="AR388" s="12"/>
      <c r="AS388" s="12"/>
      <c r="AT388" s="12"/>
      <c r="AU388" s="10"/>
      <c r="AV388" s="10"/>
      <c r="AW388" s="12"/>
      <c r="AX388" s="12" t="s">
        <v>113</v>
      </c>
      <c r="AY388" s="12" t="s">
        <v>113</v>
      </c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2"/>
      <c r="CN388" s="12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</row>
    <row r="389" spans="1:104" s="11" customFormat="1" ht="21.75" customHeight="1">
      <c r="A389" s="13">
        <v>381</v>
      </c>
      <c r="B389" s="38">
        <v>5212</v>
      </c>
      <c r="C389" s="44" t="s">
        <v>813</v>
      </c>
      <c r="D389" s="18" t="s">
        <v>120</v>
      </c>
      <c r="E389" s="9">
        <v>45694</v>
      </c>
      <c r="F389" s="10"/>
      <c r="G389" s="12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7"/>
      <c r="S389" s="10"/>
      <c r="T389" s="7"/>
      <c r="U389" s="10"/>
      <c r="V389" s="7"/>
      <c r="W389" s="10"/>
      <c r="X389" s="10"/>
      <c r="Y389" s="10"/>
      <c r="Z389" s="10"/>
      <c r="AA389" s="10"/>
      <c r="AB389" s="10"/>
      <c r="AC389" s="12"/>
      <c r="AD389" s="10"/>
      <c r="AE389" s="10"/>
      <c r="AF389" s="10"/>
      <c r="AG389" s="10"/>
      <c r="AH389" s="12"/>
      <c r="AI389" s="12"/>
      <c r="AJ389" s="12"/>
      <c r="AK389" s="12"/>
      <c r="AL389" s="10"/>
      <c r="AM389" s="12"/>
      <c r="AN389" s="10"/>
      <c r="AO389" s="10"/>
      <c r="AP389" s="10"/>
      <c r="AQ389" s="12"/>
      <c r="AR389" s="12"/>
      <c r="AS389" s="12"/>
      <c r="AT389" s="12"/>
      <c r="AU389" s="10"/>
      <c r="AV389" s="10"/>
      <c r="AW389" s="12"/>
      <c r="AX389" s="10"/>
      <c r="AY389" s="12" t="s">
        <v>113</v>
      </c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2"/>
      <c r="CN389" s="12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</row>
    <row r="390" spans="1:104" s="11" customFormat="1" ht="21.75" customHeight="1">
      <c r="A390" s="13">
        <v>382</v>
      </c>
      <c r="B390" s="38">
        <v>5264</v>
      </c>
      <c r="C390" s="44" t="s">
        <v>814</v>
      </c>
      <c r="D390" s="18" t="s">
        <v>120</v>
      </c>
      <c r="E390" s="9">
        <v>45694</v>
      </c>
      <c r="F390" s="10"/>
      <c r="G390" s="12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7"/>
      <c r="S390" s="10"/>
      <c r="T390" s="7"/>
      <c r="U390" s="10"/>
      <c r="V390" s="7"/>
      <c r="W390" s="10"/>
      <c r="X390" s="10"/>
      <c r="Y390" s="10"/>
      <c r="Z390" s="10"/>
      <c r="AA390" s="10"/>
      <c r="AB390" s="10"/>
      <c r="AC390" s="12"/>
      <c r="AD390" s="10"/>
      <c r="AE390" s="10"/>
      <c r="AF390" s="10"/>
      <c r="AG390" s="10"/>
      <c r="AH390" s="12"/>
      <c r="AI390" s="12"/>
      <c r="AJ390" s="12"/>
      <c r="AK390" s="12"/>
      <c r="AL390" s="10"/>
      <c r="AM390" s="12"/>
      <c r="AN390" s="10"/>
      <c r="AO390" s="10"/>
      <c r="AP390" s="10"/>
      <c r="AQ390" s="12"/>
      <c r="AR390" s="12"/>
      <c r="AS390" s="12"/>
      <c r="AT390" s="12"/>
      <c r="AU390" s="10"/>
      <c r="AV390" s="10"/>
      <c r="AW390" s="12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2" t="s">
        <v>113</v>
      </c>
      <c r="BS390" s="12" t="s">
        <v>113</v>
      </c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2"/>
      <c r="CN390" s="12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</row>
    <row r="391" spans="1:104" s="11" customFormat="1" ht="21.75" customHeight="1">
      <c r="A391" s="13">
        <v>383</v>
      </c>
      <c r="B391" s="43" t="s">
        <v>815</v>
      </c>
      <c r="C391" s="86" t="s">
        <v>816</v>
      </c>
      <c r="D391" s="18" t="s">
        <v>299</v>
      </c>
      <c r="E391" s="9">
        <v>45703</v>
      </c>
      <c r="F391" s="10"/>
      <c r="G391" s="12" t="s">
        <v>113</v>
      </c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7"/>
      <c r="S391" s="10"/>
      <c r="T391" s="7"/>
      <c r="U391" s="10"/>
      <c r="V391" s="7"/>
      <c r="W391" s="10"/>
      <c r="X391" s="10"/>
      <c r="Y391" s="10"/>
      <c r="Z391" s="10"/>
      <c r="AA391" s="10"/>
      <c r="AB391" s="10"/>
      <c r="AC391" s="12" t="s">
        <v>113</v>
      </c>
      <c r="AD391" s="10"/>
      <c r="AE391" s="10"/>
      <c r="AF391" s="10"/>
      <c r="AG391" s="10"/>
      <c r="AH391" s="12"/>
      <c r="AI391" s="12"/>
      <c r="AJ391" s="12"/>
      <c r="AK391" s="12"/>
      <c r="AL391" s="10"/>
      <c r="AM391" s="12"/>
      <c r="AN391" s="10"/>
      <c r="AO391" s="10"/>
      <c r="AP391" s="10"/>
      <c r="AQ391" s="12"/>
      <c r="AR391" s="12"/>
      <c r="AS391" s="12"/>
      <c r="AT391" s="12"/>
      <c r="AU391" s="10"/>
      <c r="AV391" s="10"/>
      <c r="AW391" s="12"/>
      <c r="AX391" s="12" t="s">
        <v>113</v>
      </c>
      <c r="AY391" s="10"/>
      <c r="AZ391" s="10"/>
      <c r="BA391" s="10"/>
      <c r="BB391" s="12" t="s">
        <v>113</v>
      </c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2"/>
      <c r="CN391" s="12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</row>
    <row r="392" spans="1:104" s="11" customFormat="1" ht="21.75" customHeight="1">
      <c r="A392" s="13">
        <v>384</v>
      </c>
      <c r="B392" s="43" t="s">
        <v>817</v>
      </c>
      <c r="C392" s="44" t="s">
        <v>818</v>
      </c>
      <c r="D392" s="18" t="s">
        <v>299</v>
      </c>
      <c r="E392" s="9">
        <v>45680</v>
      </c>
      <c r="F392" s="10"/>
      <c r="G392" s="12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7"/>
      <c r="S392" s="10"/>
      <c r="T392" s="7"/>
      <c r="U392" s="10"/>
      <c r="V392" s="7"/>
      <c r="W392" s="10"/>
      <c r="X392" s="10"/>
      <c r="Y392" s="10"/>
      <c r="Z392" s="10"/>
      <c r="AA392" s="10"/>
      <c r="AB392" s="10"/>
      <c r="AC392" s="12" t="s">
        <v>113</v>
      </c>
      <c r="AD392" s="10"/>
      <c r="AE392" s="10"/>
      <c r="AF392" s="10"/>
      <c r="AG392" s="10"/>
      <c r="AH392" s="12"/>
      <c r="AI392" s="12"/>
      <c r="AJ392" s="12"/>
      <c r="AK392" s="12"/>
      <c r="AL392" s="10"/>
      <c r="AM392" s="12"/>
      <c r="AN392" s="10"/>
      <c r="AO392" s="10"/>
      <c r="AP392" s="10"/>
      <c r="AQ392" s="12"/>
      <c r="AR392" s="12"/>
      <c r="AS392" s="12"/>
      <c r="AT392" s="12"/>
      <c r="AU392" s="10"/>
      <c r="AV392" s="10"/>
      <c r="AW392" s="12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2"/>
      <c r="CN392" s="12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</row>
    <row r="393" spans="1:104" s="11" customFormat="1" ht="21.75" customHeight="1">
      <c r="A393" s="13">
        <v>385</v>
      </c>
      <c r="B393" s="35" t="s">
        <v>819</v>
      </c>
      <c r="C393" s="91" t="s">
        <v>820</v>
      </c>
      <c r="D393" s="18" t="s">
        <v>336</v>
      </c>
      <c r="E393" s="9">
        <v>45782</v>
      </c>
      <c r="F393" s="10"/>
      <c r="G393" s="12" t="s">
        <v>113</v>
      </c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2" t="s">
        <v>113</v>
      </c>
      <c r="S393" s="10"/>
      <c r="T393" s="12" t="s">
        <v>113</v>
      </c>
      <c r="U393" s="10"/>
      <c r="V393" s="12" t="s">
        <v>113</v>
      </c>
      <c r="W393" s="10"/>
      <c r="X393" s="10"/>
      <c r="Y393" s="10"/>
      <c r="Z393" s="10"/>
      <c r="AA393" s="10"/>
      <c r="AB393" s="10"/>
      <c r="AC393" s="12"/>
      <c r="AD393" s="10"/>
      <c r="AE393" s="10"/>
      <c r="AF393" s="10"/>
      <c r="AG393" s="10"/>
      <c r="AH393" s="12"/>
      <c r="AI393" s="12"/>
      <c r="AJ393" s="12"/>
      <c r="AK393" s="12"/>
      <c r="AL393" s="10"/>
      <c r="AM393" s="12"/>
      <c r="AN393" s="10"/>
      <c r="AO393" s="10"/>
      <c r="AP393" s="10"/>
      <c r="AQ393" s="12"/>
      <c r="AR393" s="12"/>
      <c r="AS393" s="12"/>
      <c r="AT393" s="12"/>
      <c r="AU393" s="10"/>
      <c r="AV393" s="10"/>
      <c r="AW393" s="12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2"/>
      <c r="CN393" s="12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</row>
    <row r="394" spans="1:104" s="11" customFormat="1" ht="21.75" customHeight="1">
      <c r="A394" s="13">
        <v>386</v>
      </c>
      <c r="B394" s="92" t="s">
        <v>821</v>
      </c>
      <c r="C394" s="75" t="s">
        <v>822</v>
      </c>
      <c r="D394" s="18" t="s">
        <v>299</v>
      </c>
      <c r="E394" s="9">
        <v>45680</v>
      </c>
      <c r="F394" s="10"/>
      <c r="G394" s="12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7"/>
      <c r="S394" s="10"/>
      <c r="T394" s="7"/>
      <c r="U394" s="10"/>
      <c r="V394" s="7"/>
      <c r="W394" s="10"/>
      <c r="X394" s="10"/>
      <c r="Y394" s="10"/>
      <c r="Z394" s="10"/>
      <c r="AA394" s="10"/>
      <c r="AB394" s="10"/>
      <c r="AC394" s="12"/>
      <c r="AD394" s="10"/>
      <c r="AE394" s="10"/>
      <c r="AF394" s="10"/>
      <c r="AG394" s="10"/>
      <c r="AH394" s="12"/>
      <c r="AI394" s="12"/>
      <c r="AJ394" s="12"/>
      <c r="AK394" s="12"/>
      <c r="AL394" s="10"/>
      <c r="AM394" s="12"/>
      <c r="AN394" s="10"/>
      <c r="AO394" s="10"/>
      <c r="AP394" s="10"/>
      <c r="AQ394" s="12"/>
      <c r="AR394" s="12"/>
      <c r="AS394" s="12"/>
      <c r="AT394" s="12"/>
      <c r="AU394" s="10"/>
      <c r="AV394" s="10"/>
      <c r="AW394" s="12"/>
      <c r="AX394" s="10"/>
      <c r="AY394" s="12" t="s">
        <v>113</v>
      </c>
      <c r="AZ394" s="10"/>
      <c r="BA394" s="10"/>
      <c r="BB394" s="12" t="s">
        <v>113</v>
      </c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2"/>
      <c r="CN394" s="12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</row>
    <row r="395" spans="1:104" s="11" customFormat="1" ht="21.75" customHeight="1">
      <c r="A395" s="13">
        <v>387</v>
      </c>
      <c r="B395" s="77" t="s">
        <v>823</v>
      </c>
      <c r="C395" s="93" t="s">
        <v>824</v>
      </c>
      <c r="D395" s="32" t="s">
        <v>262</v>
      </c>
      <c r="E395" s="9">
        <v>45721</v>
      </c>
      <c r="F395" s="10"/>
      <c r="G395" s="12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7"/>
      <c r="S395" s="10"/>
      <c r="T395" s="7"/>
      <c r="U395" s="10"/>
      <c r="V395" s="7"/>
      <c r="W395" s="10"/>
      <c r="X395" s="10"/>
      <c r="Y395" s="10"/>
      <c r="Z395" s="10"/>
      <c r="AA395" s="10"/>
      <c r="AB395" s="10"/>
      <c r="AC395" s="12"/>
      <c r="AD395" s="10"/>
      <c r="AE395" s="10"/>
      <c r="AF395" s="10"/>
      <c r="AG395" s="10"/>
      <c r="AH395" s="12"/>
      <c r="AI395" s="12"/>
      <c r="AJ395" s="12"/>
      <c r="AK395" s="12"/>
      <c r="AL395" s="10"/>
      <c r="AM395" s="12"/>
      <c r="AN395" s="10"/>
      <c r="AO395" s="10"/>
      <c r="AP395" s="10"/>
      <c r="AQ395" s="12"/>
      <c r="AR395" s="12"/>
      <c r="AS395" s="12"/>
      <c r="AT395" s="12"/>
      <c r="AU395" s="10"/>
      <c r="AV395" s="10"/>
      <c r="AW395" s="12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2"/>
      <c r="CN395" s="12" t="s">
        <v>113</v>
      </c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</row>
    <row r="396" spans="1:104" s="11" customFormat="1" ht="21.75" customHeight="1">
      <c r="A396" s="13">
        <v>388</v>
      </c>
      <c r="B396" s="35" t="s">
        <v>825</v>
      </c>
      <c r="C396" s="36" t="s">
        <v>826</v>
      </c>
      <c r="D396" s="18" t="s">
        <v>154</v>
      </c>
      <c r="E396" s="9">
        <v>45722</v>
      </c>
      <c r="F396" s="10"/>
      <c r="G396" s="12" t="s">
        <v>113</v>
      </c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7"/>
      <c r="S396" s="10"/>
      <c r="T396" s="7"/>
      <c r="U396" s="10"/>
      <c r="V396" s="7"/>
      <c r="W396" s="10"/>
      <c r="X396" s="10"/>
      <c r="Y396" s="10"/>
      <c r="Z396" s="10"/>
      <c r="AA396" s="10"/>
      <c r="AB396" s="10"/>
      <c r="AC396" s="12"/>
      <c r="AD396" s="10"/>
      <c r="AE396" s="10"/>
      <c r="AF396" s="10"/>
      <c r="AG396" s="10"/>
      <c r="AH396" s="12"/>
      <c r="AI396" s="12"/>
      <c r="AJ396" s="12"/>
      <c r="AK396" s="12"/>
      <c r="AL396" s="10"/>
      <c r="AM396" s="12"/>
      <c r="AN396" s="10"/>
      <c r="AO396" s="10"/>
      <c r="AP396" s="10"/>
      <c r="AQ396" s="12"/>
      <c r="AR396" s="12"/>
      <c r="AS396" s="12"/>
      <c r="AT396" s="12"/>
      <c r="AU396" s="10"/>
      <c r="AV396" s="10"/>
      <c r="AW396" s="12"/>
      <c r="AX396" s="10"/>
      <c r="AY396" s="10"/>
      <c r="AZ396" s="10"/>
      <c r="BA396" s="10"/>
      <c r="BB396" s="12" t="s">
        <v>113</v>
      </c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2" t="s">
        <v>113</v>
      </c>
      <c r="CK396" s="10"/>
      <c r="CL396" s="10"/>
      <c r="CM396" s="12"/>
      <c r="CN396" s="12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</row>
    <row r="397" spans="1:104" s="11" customFormat="1" ht="21.75" customHeight="1">
      <c r="A397" s="13">
        <v>389</v>
      </c>
      <c r="B397" s="84" t="s">
        <v>827</v>
      </c>
      <c r="C397" s="35" t="s">
        <v>828</v>
      </c>
      <c r="D397" s="18" t="s">
        <v>154</v>
      </c>
      <c r="E397" s="9">
        <v>45722</v>
      </c>
      <c r="F397" s="10"/>
      <c r="G397" s="12" t="s">
        <v>113</v>
      </c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7"/>
      <c r="S397" s="10"/>
      <c r="T397" s="7"/>
      <c r="U397" s="10"/>
      <c r="V397" s="7"/>
      <c r="W397" s="10"/>
      <c r="X397" s="10"/>
      <c r="Y397" s="10"/>
      <c r="Z397" s="10"/>
      <c r="AA397" s="10"/>
      <c r="AB397" s="10"/>
      <c r="AC397" s="12"/>
      <c r="AD397" s="10"/>
      <c r="AE397" s="10"/>
      <c r="AF397" s="10"/>
      <c r="AG397" s="10"/>
      <c r="AH397" s="12"/>
      <c r="AI397" s="12"/>
      <c r="AJ397" s="12"/>
      <c r="AK397" s="12"/>
      <c r="AL397" s="10"/>
      <c r="AM397" s="12"/>
      <c r="AN397" s="10"/>
      <c r="AO397" s="10"/>
      <c r="AP397" s="10"/>
      <c r="AQ397" s="12"/>
      <c r="AR397" s="12"/>
      <c r="AS397" s="12"/>
      <c r="AT397" s="12"/>
      <c r="AU397" s="10"/>
      <c r="AV397" s="10"/>
      <c r="AW397" s="12"/>
      <c r="AX397" s="10"/>
      <c r="AY397" s="10"/>
      <c r="AZ397" s="10"/>
      <c r="BA397" s="10"/>
      <c r="BB397" s="12" t="s">
        <v>113</v>
      </c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2" t="s">
        <v>113</v>
      </c>
      <c r="CK397" s="10"/>
      <c r="CL397" s="10"/>
      <c r="CM397" s="12"/>
      <c r="CN397" s="12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</row>
    <row r="398" spans="1:104" s="11" customFormat="1" ht="21.75" customHeight="1">
      <c r="A398" s="13">
        <v>390</v>
      </c>
      <c r="B398" s="43" t="s">
        <v>829</v>
      </c>
      <c r="C398" s="44" t="s">
        <v>830</v>
      </c>
      <c r="D398" s="18" t="s">
        <v>154</v>
      </c>
      <c r="E398" s="9">
        <v>45722</v>
      </c>
      <c r="F398" s="10"/>
      <c r="G398" s="12" t="s">
        <v>113</v>
      </c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7"/>
      <c r="S398" s="10"/>
      <c r="T398" s="7"/>
      <c r="U398" s="10"/>
      <c r="V398" s="7"/>
      <c r="W398" s="10"/>
      <c r="X398" s="10"/>
      <c r="Y398" s="10"/>
      <c r="Z398" s="10"/>
      <c r="AA398" s="10"/>
      <c r="AB398" s="10"/>
      <c r="AC398" s="12"/>
      <c r="AD398" s="10"/>
      <c r="AE398" s="10"/>
      <c r="AF398" s="10"/>
      <c r="AG398" s="10"/>
      <c r="AH398" s="12"/>
      <c r="AI398" s="12"/>
      <c r="AJ398" s="12"/>
      <c r="AK398" s="12"/>
      <c r="AL398" s="10"/>
      <c r="AM398" s="12"/>
      <c r="AN398" s="10"/>
      <c r="AO398" s="10"/>
      <c r="AP398" s="10"/>
      <c r="AQ398" s="12"/>
      <c r="AR398" s="12"/>
      <c r="AS398" s="12"/>
      <c r="AT398" s="12"/>
      <c r="AU398" s="10"/>
      <c r="AV398" s="10"/>
      <c r="AW398" s="12"/>
      <c r="AX398" s="10"/>
      <c r="AY398" s="10"/>
      <c r="AZ398" s="10"/>
      <c r="BA398" s="10"/>
      <c r="BB398" s="12" t="s">
        <v>113</v>
      </c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2"/>
      <c r="CN398" s="12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</row>
    <row r="399" spans="1:104" s="11" customFormat="1" ht="21.75" customHeight="1">
      <c r="A399" s="13">
        <v>391</v>
      </c>
      <c r="B399" s="43" t="s">
        <v>831</v>
      </c>
      <c r="C399" s="86" t="s">
        <v>832</v>
      </c>
      <c r="D399" s="18" t="s">
        <v>154</v>
      </c>
      <c r="E399" s="9">
        <v>45722</v>
      </c>
      <c r="F399" s="10"/>
      <c r="G399" s="12" t="s">
        <v>113</v>
      </c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7"/>
      <c r="S399" s="10"/>
      <c r="T399" s="7"/>
      <c r="U399" s="10"/>
      <c r="V399" s="7"/>
      <c r="W399" s="10"/>
      <c r="X399" s="10"/>
      <c r="Y399" s="10"/>
      <c r="Z399" s="10"/>
      <c r="AA399" s="10"/>
      <c r="AB399" s="10"/>
      <c r="AC399" s="12"/>
      <c r="AD399" s="10"/>
      <c r="AE399" s="10"/>
      <c r="AF399" s="10"/>
      <c r="AG399" s="10"/>
      <c r="AH399" s="12"/>
      <c r="AI399" s="12"/>
      <c r="AJ399" s="12"/>
      <c r="AK399" s="12"/>
      <c r="AL399" s="10"/>
      <c r="AM399" s="12"/>
      <c r="AN399" s="10"/>
      <c r="AO399" s="10"/>
      <c r="AP399" s="10"/>
      <c r="AQ399" s="12"/>
      <c r="AR399" s="12"/>
      <c r="AS399" s="12"/>
      <c r="AT399" s="12"/>
      <c r="AU399" s="10"/>
      <c r="AV399" s="10"/>
      <c r="AW399" s="12"/>
      <c r="AX399" s="10"/>
      <c r="AY399" s="10"/>
      <c r="AZ399" s="10"/>
      <c r="BA399" s="10"/>
      <c r="BB399" s="12" t="s">
        <v>113</v>
      </c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2"/>
      <c r="CN399" s="12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</row>
    <row r="400" spans="1:104" s="11" customFormat="1" ht="21.75" customHeight="1">
      <c r="A400" s="13">
        <v>392</v>
      </c>
      <c r="B400" s="43" t="s">
        <v>833</v>
      </c>
      <c r="C400" s="44" t="s">
        <v>834</v>
      </c>
      <c r="D400" s="18" t="s">
        <v>154</v>
      </c>
      <c r="E400" s="9">
        <v>45722</v>
      </c>
      <c r="F400" s="10"/>
      <c r="G400" s="12" t="s">
        <v>113</v>
      </c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7"/>
      <c r="S400" s="10"/>
      <c r="T400" s="7"/>
      <c r="U400" s="10"/>
      <c r="V400" s="7"/>
      <c r="W400" s="10"/>
      <c r="X400" s="10"/>
      <c r="Y400" s="10"/>
      <c r="Z400" s="10"/>
      <c r="AA400" s="10"/>
      <c r="AB400" s="10"/>
      <c r="AC400" s="12"/>
      <c r="AD400" s="10"/>
      <c r="AE400" s="10"/>
      <c r="AF400" s="10"/>
      <c r="AG400" s="10"/>
      <c r="AH400" s="12"/>
      <c r="AI400" s="12"/>
      <c r="AJ400" s="12"/>
      <c r="AK400" s="12"/>
      <c r="AL400" s="10"/>
      <c r="AM400" s="12"/>
      <c r="AN400" s="10"/>
      <c r="AO400" s="10"/>
      <c r="AP400" s="10"/>
      <c r="AQ400" s="12"/>
      <c r="AR400" s="12"/>
      <c r="AS400" s="12"/>
      <c r="AT400" s="12"/>
      <c r="AU400" s="10"/>
      <c r="AV400" s="10"/>
      <c r="AW400" s="12"/>
      <c r="AX400" s="10"/>
      <c r="AY400" s="10"/>
      <c r="AZ400" s="10"/>
      <c r="BA400" s="10"/>
      <c r="BB400" s="12" t="s">
        <v>113</v>
      </c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2"/>
      <c r="CN400" s="12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</row>
    <row r="401" spans="1:104" s="11" customFormat="1" ht="21.75" customHeight="1">
      <c r="A401" s="13">
        <v>393</v>
      </c>
      <c r="B401" s="43" t="s">
        <v>835</v>
      </c>
      <c r="C401" s="44" t="s">
        <v>836</v>
      </c>
      <c r="D401" s="18" t="s">
        <v>154</v>
      </c>
      <c r="E401" s="9">
        <v>45722</v>
      </c>
      <c r="F401" s="10"/>
      <c r="G401" s="12" t="s">
        <v>113</v>
      </c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7"/>
      <c r="S401" s="10"/>
      <c r="T401" s="7"/>
      <c r="U401" s="10"/>
      <c r="V401" s="7"/>
      <c r="W401" s="10"/>
      <c r="X401" s="10"/>
      <c r="Y401" s="10"/>
      <c r="Z401" s="10"/>
      <c r="AA401" s="10"/>
      <c r="AB401" s="10"/>
      <c r="AC401" s="12"/>
      <c r="AD401" s="10"/>
      <c r="AE401" s="10"/>
      <c r="AF401" s="10"/>
      <c r="AG401" s="10"/>
      <c r="AH401" s="12"/>
      <c r="AI401" s="12"/>
      <c r="AJ401" s="12"/>
      <c r="AK401" s="12"/>
      <c r="AL401" s="10"/>
      <c r="AM401" s="12"/>
      <c r="AN401" s="10"/>
      <c r="AO401" s="10"/>
      <c r="AP401" s="10"/>
      <c r="AQ401" s="12"/>
      <c r="AR401" s="12"/>
      <c r="AS401" s="12"/>
      <c r="AT401" s="12"/>
      <c r="AU401" s="10"/>
      <c r="AV401" s="10"/>
      <c r="AW401" s="12"/>
      <c r="AX401" s="10"/>
      <c r="AY401" s="10"/>
      <c r="AZ401" s="10"/>
      <c r="BA401" s="10"/>
      <c r="BB401" s="12" t="s">
        <v>113</v>
      </c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2" t="s">
        <v>113</v>
      </c>
      <c r="CK401" s="12" t="s">
        <v>113</v>
      </c>
      <c r="CL401" s="10"/>
      <c r="CM401" s="12"/>
      <c r="CN401" s="12" t="s">
        <v>113</v>
      </c>
      <c r="CO401" s="10"/>
      <c r="CP401" s="10"/>
      <c r="CQ401" s="10"/>
      <c r="CR401" s="12" t="s">
        <v>113</v>
      </c>
      <c r="CS401" s="12" t="s">
        <v>113</v>
      </c>
      <c r="CT401" s="12" t="s">
        <v>113</v>
      </c>
      <c r="CU401" s="12" t="s">
        <v>113</v>
      </c>
      <c r="CV401" s="10"/>
      <c r="CW401" s="10"/>
      <c r="CX401" s="10"/>
      <c r="CY401" s="10"/>
      <c r="CZ401" s="10"/>
    </row>
    <row r="402" spans="1:104" s="11" customFormat="1" ht="21.75" customHeight="1">
      <c r="A402" s="13">
        <v>394</v>
      </c>
      <c r="B402" s="38" t="s">
        <v>837</v>
      </c>
      <c r="C402" s="44" t="s">
        <v>838</v>
      </c>
      <c r="D402" s="18" t="s">
        <v>154</v>
      </c>
      <c r="E402" s="9">
        <v>45722</v>
      </c>
      <c r="F402" s="10"/>
      <c r="G402" s="12" t="s">
        <v>113</v>
      </c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7"/>
      <c r="S402" s="10"/>
      <c r="T402" s="7"/>
      <c r="U402" s="10"/>
      <c r="V402" s="7"/>
      <c r="W402" s="10"/>
      <c r="X402" s="10"/>
      <c r="Y402" s="10"/>
      <c r="Z402" s="10"/>
      <c r="AA402" s="10"/>
      <c r="AB402" s="10"/>
      <c r="AC402" s="12"/>
      <c r="AD402" s="10"/>
      <c r="AE402" s="10"/>
      <c r="AF402" s="10"/>
      <c r="AG402" s="10"/>
      <c r="AH402" s="12"/>
      <c r="AI402" s="12"/>
      <c r="AJ402" s="12"/>
      <c r="AK402" s="12"/>
      <c r="AL402" s="10"/>
      <c r="AM402" s="12"/>
      <c r="AN402" s="10"/>
      <c r="AO402" s="10"/>
      <c r="AP402" s="10"/>
      <c r="AQ402" s="12"/>
      <c r="AR402" s="12"/>
      <c r="AS402" s="12"/>
      <c r="AT402" s="12"/>
      <c r="AU402" s="10"/>
      <c r="AV402" s="10"/>
      <c r="AW402" s="12"/>
      <c r="AX402" s="10"/>
      <c r="AY402" s="10"/>
      <c r="AZ402" s="10"/>
      <c r="BA402" s="10"/>
      <c r="BB402" s="12" t="s">
        <v>113</v>
      </c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2" t="s">
        <v>113</v>
      </c>
      <c r="CK402" s="10"/>
      <c r="CL402" s="10"/>
      <c r="CM402" s="12"/>
      <c r="CN402" s="12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</row>
    <row r="403" spans="1:104" s="11" customFormat="1" ht="21.75" customHeight="1">
      <c r="A403" s="13">
        <v>395</v>
      </c>
      <c r="B403" s="92" t="s">
        <v>839</v>
      </c>
      <c r="C403" s="94" t="s">
        <v>840</v>
      </c>
      <c r="D403" s="18" t="s">
        <v>154</v>
      </c>
      <c r="E403" s="9">
        <v>45722</v>
      </c>
      <c r="F403" s="10"/>
      <c r="G403" s="12" t="s">
        <v>113</v>
      </c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7"/>
      <c r="S403" s="10"/>
      <c r="T403" s="7"/>
      <c r="U403" s="10"/>
      <c r="V403" s="7"/>
      <c r="W403" s="10"/>
      <c r="X403" s="10"/>
      <c r="Y403" s="10"/>
      <c r="Z403" s="10"/>
      <c r="AA403" s="10"/>
      <c r="AB403" s="10"/>
      <c r="AC403" s="12"/>
      <c r="AD403" s="10"/>
      <c r="AE403" s="10"/>
      <c r="AF403" s="10"/>
      <c r="AG403" s="10"/>
      <c r="AH403" s="12"/>
      <c r="AI403" s="12"/>
      <c r="AJ403" s="12"/>
      <c r="AK403" s="12"/>
      <c r="AL403" s="10"/>
      <c r="AM403" s="12"/>
      <c r="AN403" s="10"/>
      <c r="AO403" s="10"/>
      <c r="AP403" s="10"/>
      <c r="AQ403" s="12"/>
      <c r="AR403" s="12"/>
      <c r="AS403" s="12"/>
      <c r="AT403" s="12"/>
      <c r="AU403" s="10"/>
      <c r="AV403" s="10"/>
      <c r="AW403" s="12"/>
      <c r="AX403" s="10"/>
      <c r="AY403" s="10"/>
      <c r="AZ403" s="10"/>
      <c r="BA403" s="10"/>
      <c r="BB403" s="12" t="s">
        <v>113</v>
      </c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2"/>
      <c r="CN403" s="12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</row>
    <row r="404" spans="1:104" s="11" customFormat="1" ht="21.75" customHeight="1">
      <c r="A404" s="13">
        <v>396</v>
      </c>
      <c r="B404" s="38" t="s">
        <v>841</v>
      </c>
      <c r="C404" s="44" t="s">
        <v>842</v>
      </c>
      <c r="D404" s="18" t="s">
        <v>154</v>
      </c>
      <c r="E404" s="9">
        <v>45722</v>
      </c>
      <c r="F404" s="10"/>
      <c r="G404" s="12" t="s">
        <v>113</v>
      </c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7"/>
      <c r="S404" s="10"/>
      <c r="T404" s="7"/>
      <c r="U404" s="10"/>
      <c r="V404" s="7"/>
      <c r="W404" s="10"/>
      <c r="X404" s="10"/>
      <c r="Y404" s="10"/>
      <c r="Z404" s="10"/>
      <c r="AA404" s="10"/>
      <c r="AB404" s="10"/>
      <c r="AC404" s="12"/>
      <c r="AD404" s="10"/>
      <c r="AE404" s="10"/>
      <c r="AF404" s="10"/>
      <c r="AG404" s="10"/>
      <c r="AH404" s="12"/>
      <c r="AI404" s="12"/>
      <c r="AJ404" s="12"/>
      <c r="AK404" s="12"/>
      <c r="AL404" s="10"/>
      <c r="AM404" s="12"/>
      <c r="AN404" s="10"/>
      <c r="AO404" s="10"/>
      <c r="AP404" s="10"/>
      <c r="AQ404" s="12"/>
      <c r="AR404" s="12"/>
      <c r="AS404" s="12"/>
      <c r="AT404" s="12"/>
      <c r="AU404" s="10"/>
      <c r="AV404" s="10"/>
      <c r="AW404" s="12"/>
      <c r="AX404" s="10"/>
      <c r="AY404" s="10"/>
      <c r="AZ404" s="10"/>
      <c r="BA404" s="10"/>
      <c r="BB404" s="12" t="s">
        <v>113</v>
      </c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2" t="s">
        <v>113</v>
      </c>
      <c r="CK404" s="10"/>
      <c r="CL404" s="10"/>
      <c r="CM404" s="12"/>
      <c r="CN404" s="12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</row>
    <row r="405" spans="1:104" s="11" customFormat="1" ht="21.75" customHeight="1">
      <c r="A405" s="13">
        <v>397</v>
      </c>
      <c r="B405" s="38" t="s">
        <v>843</v>
      </c>
      <c r="C405" s="44" t="s">
        <v>844</v>
      </c>
      <c r="D405" s="18" t="s">
        <v>154</v>
      </c>
      <c r="E405" s="9">
        <v>45722</v>
      </c>
      <c r="F405" s="10"/>
      <c r="G405" s="12" t="s">
        <v>113</v>
      </c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7"/>
      <c r="S405" s="10"/>
      <c r="T405" s="7"/>
      <c r="U405" s="10"/>
      <c r="V405" s="7"/>
      <c r="W405" s="10"/>
      <c r="X405" s="10"/>
      <c r="Y405" s="10"/>
      <c r="Z405" s="10"/>
      <c r="AA405" s="10"/>
      <c r="AB405" s="10"/>
      <c r="AC405" s="12"/>
      <c r="AD405" s="10"/>
      <c r="AE405" s="10"/>
      <c r="AF405" s="10"/>
      <c r="AG405" s="10"/>
      <c r="AH405" s="12"/>
      <c r="AI405" s="12"/>
      <c r="AJ405" s="12"/>
      <c r="AK405" s="12"/>
      <c r="AL405" s="10"/>
      <c r="AM405" s="12"/>
      <c r="AN405" s="10"/>
      <c r="AO405" s="10"/>
      <c r="AP405" s="10"/>
      <c r="AQ405" s="12"/>
      <c r="AR405" s="12"/>
      <c r="AS405" s="12"/>
      <c r="AT405" s="12"/>
      <c r="AU405" s="10"/>
      <c r="AV405" s="10"/>
      <c r="AW405" s="12"/>
      <c r="AX405" s="10"/>
      <c r="AY405" s="10"/>
      <c r="AZ405" s="10"/>
      <c r="BA405" s="10"/>
      <c r="BB405" s="12" t="s">
        <v>113</v>
      </c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2"/>
      <c r="CN405" s="12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</row>
    <row r="406" spans="1:104" s="11" customFormat="1" ht="21.75" customHeight="1">
      <c r="A406" s="13">
        <v>398</v>
      </c>
      <c r="B406" s="95">
        <v>5077</v>
      </c>
      <c r="C406" s="95" t="s">
        <v>830</v>
      </c>
      <c r="D406" s="18" t="s">
        <v>154</v>
      </c>
      <c r="E406" s="9">
        <v>45730</v>
      </c>
      <c r="F406" s="10"/>
      <c r="G406" s="12" t="s">
        <v>113</v>
      </c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7"/>
      <c r="S406" s="10"/>
      <c r="T406" s="7"/>
      <c r="U406" s="10"/>
      <c r="V406" s="7"/>
      <c r="W406" s="10"/>
      <c r="X406" s="10"/>
      <c r="Y406" s="10"/>
      <c r="Z406" s="10"/>
      <c r="AA406" s="10"/>
      <c r="AB406" s="10"/>
      <c r="AC406" s="12"/>
      <c r="AD406" s="10"/>
      <c r="AE406" s="10"/>
      <c r="AF406" s="10"/>
      <c r="AG406" s="10"/>
      <c r="AH406" s="12"/>
      <c r="AI406" s="12"/>
      <c r="AJ406" s="12"/>
      <c r="AK406" s="12"/>
      <c r="AL406" s="10"/>
      <c r="AM406" s="12"/>
      <c r="AN406" s="10"/>
      <c r="AO406" s="10"/>
      <c r="AP406" s="10"/>
      <c r="AQ406" s="12"/>
      <c r="AR406" s="12"/>
      <c r="AS406" s="12"/>
      <c r="AT406" s="12"/>
      <c r="AU406" s="10"/>
      <c r="AV406" s="10"/>
      <c r="AW406" s="12"/>
      <c r="AX406" s="10"/>
      <c r="AY406" s="10"/>
      <c r="AZ406" s="10"/>
      <c r="BA406" s="10"/>
      <c r="BB406" s="12" t="s">
        <v>113</v>
      </c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2"/>
      <c r="CN406" s="12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</row>
    <row r="407" spans="1:104" s="11" customFormat="1" ht="21.75" customHeight="1">
      <c r="A407" s="13">
        <v>399</v>
      </c>
      <c r="B407" s="38">
        <v>4507</v>
      </c>
      <c r="C407" s="38" t="s">
        <v>845</v>
      </c>
      <c r="D407" s="18" t="s">
        <v>154</v>
      </c>
      <c r="E407" s="9">
        <v>45730</v>
      </c>
      <c r="F407" s="10"/>
      <c r="G407" s="12" t="s">
        <v>113</v>
      </c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7"/>
      <c r="S407" s="10"/>
      <c r="T407" s="7"/>
      <c r="U407" s="10"/>
      <c r="V407" s="7"/>
      <c r="W407" s="10"/>
      <c r="X407" s="10"/>
      <c r="Y407" s="10"/>
      <c r="Z407" s="10"/>
      <c r="AA407" s="10"/>
      <c r="AB407" s="10"/>
      <c r="AC407" s="12"/>
      <c r="AD407" s="10"/>
      <c r="AE407" s="10"/>
      <c r="AF407" s="10"/>
      <c r="AG407" s="10"/>
      <c r="AH407" s="12"/>
      <c r="AI407" s="12"/>
      <c r="AJ407" s="12"/>
      <c r="AK407" s="12"/>
      <c r="AL407" s="10"/>
      <c r="AM407" s="12"/>
      <c r="AN407" s="10"/>
      <c r="AO407" s="10"/>
      <c r="AP407" s="10"/>
      <c r="AQ407" s="12"/>
      <c r="AR407" s="12"/>
      <c r="AS407" s="12"/>
      <c r="AT407" s="12"/>
      <c r="AU407" s="10"/>
      <c r="AV407" s="10"/>
      <c r="AW407" s="12"/>
      <c r="AX407" s="10"/>
      <c r="AY407" s="10"/>
      <c r="AZ407" s="10"/>
      <c r="BA407" s="10"/>
      <c r="BB407" s="12" t="s">
        <v>113</v>
      </c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2"/>
      <c r="CN407" s="12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</row>
    <row r="408" spans="1:104" s="11" customFormat="1" ht="21.75" customHeight="1">
      <c r="A408" s="13">
        <v>400</v>
      </c>
      <c r="B408" s="33">
        <v>5305</v>
      </c>
      <c r="C408" s="39" t="s">
        <v>846</v>
      </c>
      <c r="D408" s="18" t="s">
        <v>154</v>
      </c>
      <c r="E408" s="9">
        <v>45829</v>
      </c>
      <c r="F408" s="10"/>
      <c r="G408" s="12" t="s">
        <v>113</v>
      </c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7"/>
      <c r="S408" s="10"/>
      <c r="T408" s="7"/>
      <c r="U408" s="10"/>
      <c r="V408" s="7"/>
      <c r="W408" s="10"/>
      <c r="X408" s="10"/>
      <c r="Y408" s="10"/>
      <c r="Z408" s="10"/>
      <c r="AA408" s="10"/>
      <c r="AB408" s="10"/>
      <c r="AC408" s="12"/>
      <c r="AD408" s="10"/>
      <c r="AE408" s="10"/>
      <c r="AF408" s="10"/>
      <c r="AG408" s="10"/>
      <c r="AH408" s="12"/>
      <c r="AI408" s="12"/>
      <c r="AJ408" s="12"/>
      <c r="AK408" s="12"/>
      <c r="AL408" s="10"/>
      <c r="AM408" s="12"/>
      <c r="AN408" s="12" t="s">
        <v>113</v>
      </c>
      <c r="AO408" s="12"/>
      <c r="AP408" s="10"/>
      <c r="AQ408" s="12"/>
      <c r="AR408" s="12"/>
      <c r="AS408" s="12"/>
      <c r="AT408" s="12"/>
      <c r="AU408" s="10"/>
      <c r="AV408" s="10"/>
      <c r="AW408" s="12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2" t="s">
        <v>113</v>
      </c>
      <c r="CK408" s="12" t="s">
        <v>113</v>
      </c>
      <c r="CL408" s="10"/>
      <c r="CM408" s="12" t="s">
        <v>113</v>
      </c>
      <c r="CN408" s="12" t="s">
        <v>113</v>
      </c>
      <c r="CO408" s="10"/>
      <c r="CP408" s="12" t="s">
        <v>113</v>
      </c>
      <c r="CQ408" s="12" t="s">
        <v>113</v>
      </c>
      <c r="CR408" s="10"/>
      <c r="CS408" s="10"/>
      <c r="CT408" s="10"/>
      <c r="CU408" s="12" t="s">
        <v>113</v>
      </c>
      <c r="CV408" s="10"/>
      <c r="CW408" s="10"/>
      <c r="CX408" s="10"/>
      <c r="CY408" s="10"/>
      <c r="CZ408" s="10"/>
    </row>
    <row r="409" spans="1:104" s="11" customFormat="1" ht="21.75" customHeight="1">
      <c r="A409" s="13">
        <v>401</v>
      </c>
      <c r="B409" s="33">
        <v>5284</v>
      </c>
      <c r="C409" s="39" t="s">
        <v>847</v>
      </c>
      <c r="D409" s="18" t="s">
        <v>154</v>
      </c>
      <c r="E409" s="9">
        <v>45730</v>
      </c>
      <c r="F409" s="10"/>
      <c r="G409" s="12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7"/>
      <c r="S409" s="10"/>
      <c r="T409" s="7"/>
      <c r="U409" s="10"/>
      <c r="V409" s="7"/>
      <c r="W409" s="10"/>
      <c r="X409" s="10"/>
      <c r="Y409" s="10"/>
      <c r="Z409" s="10"/>
      <c r="AA409" s="10"/>
      <c r="AB409" s="10"/>
      <c r="AC409" s="12"/>
      <c r="AD409" s="10"/>
      <c r="AE409" s="10"/>
      <c r="AF409" s="10"/>
      <c r="AG409" s="10"/>
      <c r="AH409" s="12"/>
      <c r="AI409" s="12"/>
      <c r="AJ409" s="12"/>
      <c r="AK409" s="12"/>
      <c r="AL409" s="10"/>
      <c r="AM409" s="12"/>
      <c r="AN409" s="10"/>
      <c r="AO409" s="10"/>
      <c r="AP409" s="10"/>
      <c r="AQ409" s="12"/>
      <c r="AR409" s="12"/>
      <c r="AS409" s="12"/>
      <c r="AT409" s="12"/>
      <c r="AU409" s="10"/>
      <c r="AV409" s="10"/>
      <c r="AW409" s="12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2" t="s">
        <v>113</v>
      </c>
      <c r="CK409" s="12" t="s">
        <v>113</v>
      </c>
      <c r="CL409" s="10"/>
      <c r="CM409" s="12"/>
      <c r="CN409" s="12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</row>
    <row r="410" spans="1:104" s="11" customFormat="1" ht="21.75" customHeight="1">
      <c r="A410" s="13">
        <v>402</v>
      </c>
      <c r="B410" s="33">
        <v>39460</v>
      </c>
      <c r="C410" s="39" t="s">
        <v>848</v>
      </c>
      <c r="D410" s="18" t="s">
        <v>154</v>
      </c>
      <c r="E410" s="9">
        <v>45829</v>
      </c>
      <c r="F410" s="10"/>
      <c r="G410" s="12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7"/>
      <c r="S410" s="10"/>
      <c r="T410" s="7"/>
      <c r="U410" s="10"/>
      <c r="V410" s="7"/>
      <c r="W410" s="10"/>
      <c r="X410" s="10"/>
      <c r="Y410" s="10"/>
      <c r="Z410" s="10"/>
      <c r="AA410" s="10"/>
      <c r="AB410" s="10"/>
      <c r="AC410" s="12"/>
      <c r="AD410" s="10"/>
      <c r="AE410" s="10"/>
      <c r="AF410" s="10"/>
      <c r="AG410" s="10"/>
      <c r="AH410" s="12"/>
      <c r="AI410" s="12"/>
      <c r="AJ410" s="12"/>
      <c r="AK410" s="12"/>
      <c r="AL410" s="10"/>
      <c r="AM410" s="12"/>
      <c r="AN410" s="10"/>
      <c r="AO410" s="10"/>
      <c r="AP410" s="10"/>
      <c r="AQ410" s="12"/>
      <c r="AR410" s="12"/>
      <c r="AS410" s="12"/>
      <c r="AT410" s="12"/>
      <c r="AU410" s="10"/>
      <c r="AV410" s="10"/>
      <c r="AW410" s="12"/>
      <c r="AX410" s="10"/>
      <c r="AY410" s="10"/>
      <c r="AZ410" s="10"/>
      <c r="BA410" s="10"/>
      <c r="BB410" s="12" t="s">
        <v>113</v>
      </c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2" t="s">
        <v>113</v>
      </c>
      <c r="CK410" s="12" t="s">
        <v>113</v>
      </c>
      <c r="CL410" s="10"/>
      <c r="CM410" s="12"/>
      <c r="CN410" s="12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</row>
    <row r="411" spans="1:104" s="11" customFormat="1" ht="21.75" customHeight="1">
      <c r="A411" s="13">
        <v>403</v>
      </c>
      <c r="B411" s="33">
        <v>39474</v>
      </c>
      <c r="C411" s="39" t="s">
        <v>849</v>
      </c>
      <c r="D411" s="18" t="s">
        <v>154</v>
      </c>
      <c r="E411" s="9">
        <v>45730</v>
      </c>
      <c r="F411" s="10"/>
      <c r="G411" s="12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7"/>
      <c r="S411" s="10"/>
      <c r="T411" s="7"/>
      <c r="U411" s="10"/>
      <c r="V411" s="7"/>
      <c r="W411" s="10"/>
      <c r="X411" s="10"/>
      <c r="Y411" s="10"/>
      <c r="Z411" s="10"/>
      <c r="AA411" s="10"/>
      <c r="AB411" s="10"/>
      <c r="AC411" s="12"/>
      <c r="AD411" s="10"/>
      <c r="AE411" s="10"/>
      <c r="AF411" s="10"/>
      <c r="AG411" s="10"/>
      <c r="AH411" s="12"/>
      <c r="AI411" s="12"/>
      <c r="AJ411" s="12"/>
      <c r="AK411" s="12"/>
      <c r="AL411" s="10"/>
      <c r="AM411" s="12"/>
      <c r="AN411" s="10"/>
      <c r="AO411" s="10"/>
      <c r="AP411" s="10"/>
      <c r="AQ411" s="12"/>
      <c r="AR411" s="12"/>
      <c r="AS411" s="12"/>
      <c r="AT411" s="12"/>
      <c r="AU411" s="10"/>
      <c r="AV411" s="10"/>
      <c r="AW411" s="12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2" t="s">
        <v>113</v>
      </c>
      <c r="CK411" s="12" t="s">
        <v>113</v>
      </c>
      <c r="CL411" s="10"/>
      <c r="CM411" s="12"/>
      <c r="CN411" s="12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</row>
    <row r="412" spans="1:104" s="11" customFormat="1" ht="21.75" customHeight="1">
      <c r="A412" s="13">
        <v>404</v>
      </c>
      <c r="B412" s="33">
        <v>5303</v>
      </c>
      <c r="C412" s="39" t="s">
        <v>850</v>
      </c>
      <c r="D412" s="19" t="s">
        <v>299</v>
      </c>
      <c r="E412" s="9">
        <v>45731</v>
      </c>
      <c r="F412" s="10"/>
      <c r="G412" s="12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7"/>
      <c r="S412" s="10"/>
      <c r="T412" s="7"/>
      <c r="U412" s="10"/>
      <c r="V412" s="7"/>
      <c r="W412" s="10"/>
      <c r="X412" s="10"/>
      <c r="Y412" s="10"/>
      <c r="Z412" s="10"/>
      <c r="AA412" s="10"/>
      <c r="AB412" s="10"/>
      <c r="AC412" s="12"/>
      <c r="AD412" s="10"/>
      <c r="AE412" s="10"/>
      <c r="AF412" s="10"/>
      <c r="AG412" s="10"/>
      <c r="AH412" s="12"/>
      <c r="AI412" s="12"/>
      <c r="AJ412" s="12"/>
      <c r="AK412" s="12"/>
      <c r="AL412" s="10"/>
      <c r="AM412" s="12"/>
      <c r="AN412" s="10"/>
      <c r="AO412" s="10"/>
      <c r="AP412" s="10"/>
      <c r="AQ412" s="12"/>
      <c r="AR412" s="12"/>
      <c r="AS412" s="12"/>
      <c r="AT412" s="12"/>
      <c r="AU412" s="10"/>
      <c r="AV412" s="10"/>
      <c r="AW412" s="12"/>
      <c r="AX412" s="12" t="s">
        <v>113</v>
      </c>
      <c r="AY412" s="10"/>
      <c r="AZ412" s="10"/>
      <c r="BA412" s="10"/>
      <c r="BB412" s="12" t="s">
        <v>113</v>
      </c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2"/>
      <c r="CN412" s="12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</row>
    <row r="413" spans="1:104" s="11" customFormat="1" ht="21.75" customHeight="1">
      <c r="A413" s="13">
        <v>405</v>
      </c>
      <c r="B413" s="38">
        <v>39325</v>
      </c>
      <c r="C413" s="73" t="s">
        <v>851</v>
      </c>
      <c r="D413" s="19" t="s">
        <v>299</v>
      </c>
      <c r="E413" s="9">
        <v>45731</v>
      </c>
      <c r="F413" s="10"/>
      <c r="G413" s="12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7"/>
      <c r="S413" s="10"/>
      <c r="T413" s="7"/>
      <c r="U413" s="10"/>
      <c r="V413" s="7"/>
      <c r="W413" s="10"/>
      <c r="X413" s="10"/>
      <c r="Y413" s="10"/>
      <c r="Z413" s="10"/>
      <c r="AA413" s="10"/>
      <c r="AB413" s="10"/>
      <c r="AC413" s="12"/>
      <c r="AD413" s="10"/>
      <c r="AE413" s="10"/>
      <c r="AF413" s="10"/>
      <c r="AG413" s="10"/>
      <c r="AH413" s="12"/>
      <c r="AI413" s="12"/>
      <c r="AJ413" s="12"/>
      <c r="AK413" s="12"/>
      <c r="AL413" s="10"/>
      <c r="AM413" s="12"/>
      <c r="AN413" s="10"/>
      <c r="AO413" s="10"/>
      <c r="AP413" s="10"/>
      <c r="AQ413" s="12"/>
      <c r="AR413" s="12"/>
      <c r="AS413" s="12"/>
      <c r="AT413" s="12"/>
      <c r="AU413" s="10"/>
      <c r="AV413" s="10"/>
      <c r="AW413" s="12"/>
      <c r="AX413" s="12" t="s">
        <v>113</v>
      </c>
      <c r="AY413" s="10"/>
      <c r="AZ413" s="10"/>
      <c r="BA413" s="10"/>
      <c r="BB413" s="12" t="s">
        <v>113</v>
      </c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2"/>
      <c r="CN413" s="12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</row>
    <row r="414" spans="1:104" s="11" customFormat="1" ht="21" customHeight="1">
      <c r="A414" s="13">
        <v>406</v>
      </c>
      <c r="B414" s="33">
        <v>39502</v>
      </c>
      <c r="C414" s="39" t="s">
        <v>852</v>
      </c>
      <c r="D414" s="19" t="s">
        <v>853</v>
      </c>
      <c r="E414" s="9">
        <v>45733</v>
      </c>
      <c r="F414" s="10"/>
      <c r="G414" s="12" t="s">
        <v>113</v>
      </c>
      <c r="H414" s="10"/>
      <c r="I414" s="10"/>
      <c r="J414" s="10"/>
      <c r="K414" s="10"/>
      <c r="L414" s="10"/>
      <c r="M414" s="10"/>
      <c r="N414" s="10"/>
      <c r="O414" s="10"/>
      <c r="P414" s="12" t="s">
        <v>113</v>
      </c>
      <c r="Q414" s="10"/>
      <c r="R414" s="7"/>
      <c r="S414" s="12" t="s">
        <v>113</v>
      </c>
      <c r="T414" s="7"/>
      <c r="U414" s="10"/>
      <c r="V414" s="7"/>
      <c r="W414" s="10"/>
      <c r="X414" s="10"/>
      <c r="Y414" s="10"/>
      <c r="Z414" s="10"/>
      <c r="AA414" s="10"/>
      <c r="AB414" s="10"/>
      <c r="AC414" s="12"/>
      <c r="AD414" s="10"/>
      <c r="AE414" s="10"/>
      <c r="AF414" s="10"/>
      <c r="AG414" s="10"/>
      <c r="AH414" s="12"/>
      <c r="AI414" s="12"/>
      <c r="AJ414" s="12"/>
      <c r="AK414" s="12"/>
      <c r="AL414" s="10"/>
      <c r="AM414" s="12"/>
      <c r="AN414" s="10"/>
      <c r="AO414" s="10"/>
      <c r="AP414" s="10"/>
      <c r="AQ414" s="12"/>
      <c r="AR414" s="12"/>
      <c r="AS414" s="12"/>
      <c r="AT414" s="12"/>
      <c r="AU414" s="10"/>
      <c r="AV414" s="10"/>
      <c r="AW414" s="12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2" t="s">
        <v>113</v>
      </c>
      <c r="BV414" s="10"/>
      <c r="BW414" s="12" t="s">
        <v>113</v>
      </c>
      <c r="BX414" s="10"/>
      <c r="BY414" s="12" t="s">
        <v>113</v>
      </c>
      <c r="BZ414" s="10"/>
      <c r="CA414" s="10"/>
      <c r="CB414" s="12" t="s">
        <v>113</v>
      </c>
      <c r="CC414" s="12" t="s">
        <v>113</v>
      </c>
      <c r="CD414" s="12" t="s">
        <v>113</v>
      </c>
      <c r="CE414" s="12" t="s">
        <v>113</v>
      </c>
      <c r="CF414" s="10"/>
      <c r="CG414" s="10"/>
      <c r="CH414" s="10"/>
      <c r="CI414" s="10"/>
      <c r="CJ414" s="10"/>
      <c r="CK414" s="10"/>
      <c r="CL414" s="10"/>
      <c r="CM414" s="12"/>
      <c r="CN414" s="12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</row>
    <row r="415" spans="1:104" s="11" customFormat="1" ht="21.75" customHeight="1">
      <c r="A415" s="13">
        <v>407</v>
      </c>
      <c r="B415" s="33">
        <v>5275</v>
      </c>
      <c r="C415" s="39" t="s">
        <v>854</v>
      </c>
      <c r="D415" s="19" t="s">
        <v>853</v>
      </c>
      <c r="E415" s="9">
        <v>45733</v>
      </c>
      <c r="F415" s="10"/>
      <c r="G415" s="12" t="s">
        <v>113</v>
      </c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7"/>
      <c r="S415" s="10"/>
      <c r="T415" s="7"/>
      <c r="U415" s="10"/>
      <c r="V415" s="7"/>
      <c r="W415" s="10"/>
      <c r="X415" s="10"/>
      <c r="Y415" s="10"/>
      <c r="Z415" s="10"/>
      <c r="AA415" s="10"/>
      <c r="AB415" s="10"/>
      <c r="AC415" s="12"/>
      <c r="AD415" s="10"/>
      <c r="AE415" s="10"/>
      <c r="AF415" s="10"/>
      <c r="AH415" s="12" t="s">
        <v>113</v>
      </c>
      <c r="AI415" s="12"/>
      <c r="AJ415" s="12" t="s">
        <v>113</v>
      </c>
      <c r="AK415" s="12"/>
      <c r="AL415" s="10"/>
      <c r="AM415" s="12"/>
      <c r="AN415" s="10"/>
      <c r="AO415" s="10"/>
      <c r="AP415" s="10"/>
      <c r="AQ415" s="12"/>
      <c r="AR415" s="12"/>
      <c r="AS415" s="12"/>
      <c r="AT415" s="12"/>
      <c r="AU415" s="10"/>
      <c r="AV415" s="10"/>
      <c r="AW415" s="12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2" t="s">
        <v>113</v>
      </c>
      <c r="BL415" s="10"/>
      <c r="BM415" s="10"/>
      <c r="BN415" s="10"/>
      <c r="BO415" s="10"/>
      <c r="BP415" s="10"/>
      <c r="BQ415" s="10"/>
      <c r="BR415" s="10"/>
      <c r="BS415" s="10"/>
      <c r="BT415" s="10"/>
      <c r="BU415" s="12" t="s">
        <v>113</v>
      </c>
      <c r="BV415" s="10"/>
      <c r="BW415" s="12" t="s">
        <v>113</v>
      </c>
      <c r="BX415" s="10"/>
      <c r="BY415" s="12" t="s">
        <v>113</v>
      </c>
      <c r="BZ415" s="10"/>
      <c r="CA415" s="10"/>
      <c r="CB415" s="12" t="s">
        <v>113</v>
      </c>
      <c r="CC415" s="12" t="s">
        <v>113</v>
      </c>
      <c r="CD415" s="12" t="s">
        <v>113</v>
      </c>
      <c r="CE415" s="12" t="s">
        <v>113</v>
      </c>
      <c r="CF415" s="10"/>
      <c r="CG415" s="10"/>
      <c r="CH415" s="10"/>
      <c r="CI415" s="10"/>
      <c r="CJ415" s="10"/>
      <c r="CK415" s="10"/>
      <c r="CL415" s="10"/>
      <c r="CM415" s="12"/>
      <c r="CN415" s="12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</row>
    <row r="416" spans="1:104" s="11" customFormat="1" ht="21.75" customHeight="1">
      <c r="A416" s="13">
        <v>408</v>
      </c>
      <c r="B416" s="33">
        <v>39362</v>
      </c>
      <c r="C416" s="39" t="s">
        <v>855</v>
      </c>
      <c r="D416" s="19" t="s">
        <v>262</v>
      </c>
      <c r="E416" s="9">
        <v>45735</v>
      </c>
      <c r="F416" s="10"/>
      <c r="G416" s="12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7"/>
      <c r="S416" s="10"/>
      <c r="T416" s="7"/>
      <c r="U416" s="10"/>
      <c r="V416" s="7"/>
      <c r="W416" s="10"/>
      <c r="X416" s="10"/>
      <c r="Y416" s="10"/>
      <c r="Z416" s="10"/>
      <c r="AA416" s="10"/>
      <c r="AB416" s="10"/>
      <c r="AC416" s="12"/>
      <c r="AD416" s="10"/>
      <c r="AE416" s="10"/>
      <c r="AF416" s="10"/>
      <c r="AG416" s="10"/>
      <c r="AH416" s="12"/>
      <c r="AI416" s="12"/>
      <c r="AJ416" s="12"/>
      <c r="AK416" s="12"/>
      <c r="AL416" s="10"/>
      <c r="AM416" s="12"/>
      <c r="AN416" s="10"/>
      <c r="AO416" s="10"/>
      <c r="AP416" s="10"/>
      <c r="AQ416" s="12"/>
      <c r="AR416" s="12"/>
      <c r="AS416" s="12"/>
      <c r="AT416" s="12"/>
      <c r="AU416" s="10"/>
      <c r="AV416" s="10"/>
      <c r="AW416" s="12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2"/>
      <c r="CN416" s="12" t="s">
        <v>113</v>
      </c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</row>
    <row r="417" spans="1:104" s="11" customFormat="1" ht="21.75" customHeight="1">
      <c r="A417" s="13">
        <v>409</v>
      </c>
      <c r="B417" s="33">
        <v>5266</v>
      </c>
      <c r="C417" s="39" t="s">
        <v>856</v>
      </c>
      <c r="D417" s="19" t="s">
        <v>262</v>
      </c>
      <c r="E417" s="9">
        <v>45735</v>
      </c>
      <c r="F417" s="10"/>
      <c r="G417" s="12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7"/>
      <c r="S417" s="10"/>
      <c r="T417" s="7"/>
      <c r="U417" s="10"/>
      <c r="V417" s="7"/>
      <c r="W417" s="10"/>
      <c r="X417" s="10"/>
      <c r="Y417" s="10"/>
      <c r="Z417" s="10"/>
      <c r="AA417" s="10"/>
      <c r="AB417" s="10"/>
      <c r="AC417" s="12"/>
      <c r="AD417" s="10"/>
      <c r="AE417" s="10"/>
      <c r="AF417" s="10"/>
      <c r="AG417" s="10"/>
      <c r="AH417" s="12" t="s">
        <v>113</v>
      </c>
      <c r="AI417" s="12"/>
      <c r="AJ417" s="12"/>
      <c r="AK417" s="12"/>
      <c r="AL417" s="10"/>
      <c r="AM417" s="12"/>
      <c r="AN417" s="10"/>
      <c r="AO417" s="10"/>
      <c r="AP417" s="10"/>
      <c r="AQ417" s="12"/>
      <c r="AR417" s="12"/>
      <c r="AS417" s="12"/>
      <c r="AT417" s="12"/>
      <c r="AU417" s="10"/>
      <c r="AV417" s="10"/>
      <c r="AW417" s="12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2"/>
      <c r="CN417" s="12" t="s">
        <v>113</v>
      </c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</row>
    <row r="418" spans="1:104" s="11" customFormat="1" ht="21.75" customHeight="1">
      <c r="A418" s="13">
        <v>410</v>
      </c>
      <c r="B418" s="33">
        <v>5292</v>
      </c>
      <c r="C418" s="39" t="s">
        <v>857</v>
      </c>
      <c r="D418" s="19" t="s">
        <v>262</v>
      </c>
      <c r="E418" s="9">
        <v>45735</v>
      </c>
      <c r="F418" s="10"/>
      <c r="G418" s="12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7"/>
      <c r="S418" s="10"/>
      <c r="T418" s="7"/>
      <c r="U418" s="10"/>
      <c r="V418" s="7"/>
      <c r="W418" s="10"/>
      <c r="X418" s="10"/>
      <c r="Y418" s="10"/>
      <c r="Z418" s="10"/>
      <c r="AA418" s="10"/>
      <c r="AB418" s="10"/>
      <c r="AC418" s="12"/>
      <c r="AD418" s="10"/>
      <c r="AE418" s="10"/>
      <c r="AF418" s="10"/>
      <c r="AG418" s="10"/>
      <c r="AH418" s="12"/>
      <c r="AI418" s="12"/>
      <c r="AJ418" s="12"/>
      <c r="AK418" s="12" t="s">
        <v>113</v>
      </c>
      <c r="AL418" s="10"/>
      <c r="AM418" s="12"/>
      <c r="AN418" s="10"/>
      <c r="AO418" s="10"/>
      <c r="AP418" s="10"/>
      <c r="AQ418" s="12"/>
      <c r="AR418" s="12"/>
      <c r="AS418" s="12"/>
      <c r="AT418" s="12"/>
      <c r="AU418" s="10"/>
      <c r="AV418" s="10"/>
      <c r="AW418" s="12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2"/>
      <c r="CN418" s="12" t="s">
        <v>113</v>
      </c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</row>
    <row r="419" spans="1:104" s="11" customFormat="1" ht="21.75" customHeight="1">
      <c r="A419" s="13">
        <v>411</v>
      </c>
      <c r="B419" s="33">
        <v>5267</v>
      </c>
      <c r="C419" s="39" t="s">
        <v>858</v>
      </c>
      <c r="D419" s="19" t="s">
        <v>262</v>
      </c>
      <c r="E419" s="9">
        <v>45735</v>
      </c>
      <c r="F419" s="10"/>
      <c r="G419" s="12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7"/>
      <c r="S419" s="10"/>
      <c r="T419" s="7"/>
      <c r="U419" s="10"/>
      <c r="V419" s="7"/>
      <c r="W419" s="10"/>
      <c r="X419" s="10"/>
      <c r="Y419" s="10"/>
      <c r="Z419" s="10"/>
      <c r="AA419" s="10"/>
      <c r="AB419" s="10"/>
      <c r="AC419" s="12"/>
      <c r="AD419" s="10"/>
      <c r="AE419" s="10"/>
      <c r="AF419" s="10"/>
      <c r="AG419" s="10"/>
      <c r="AH419" s="12" t="s">
        <v>113</v>
      </c>
      <c r="AI419" s="12"/>
      <c r="AJ419" s="12"/>
      <c r="AK419" s="12"/>
      <c r="AL419" s="10"/>
      <c r="AM419" s="12"/>
      <c r="AN419" s="10"/>
      <c r="AO419" s="10"/>
      <c r="AP419" s="10"/>
      <c r="AQ419" s="12"/>
      <c r="AR419" s="12"/>
      <c r="AS419" s="12"/>
      <c r="AT419" s="12"/>
      <c r="AU419" s="10"/>
      <c r="AV419" s="10"/>
      <c r="AW419" s="12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2" t="s">
        <v>113</v>
      </c>
      <c r="CN419" s="12" t="s">
        <v>113</v>
      </c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</row>
    <row r="420" spans="1:104" s="11" customFormat="1" ht="21.75" customHeight="1">
      <c r="A420" s="13">
        <v>412</v>
      </c>
      <c r="B420" s="33">
        <v>39511</v>
      </c>
      <c r="C420" s="39" t="s">
        <v>859</v>
      </c>
      <c r="D420" s="19" t="s">
        <v>420</v>
      </c>
      <c r="E420" s="9">
        <v>45738</v>
      </c>
      <c r="F420" s="10"/>
      <c r="G420" s="12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7"/>
      <c r="S420" s="10"/>
      <c r="T420" s="7"/>
      <c r="U420" s="10"/>
      <c r="V420" s="7"/>
      <c r="W420" s="10"/>
      <c r="X420" s="12" t="s">
        <v>113</v>
      </c>
      <c r="Y420" s="10"/>
      <c r="Z420" s="10"/>
      <c r="AA420" s="10"/>
      <c r="AB420" s="10"/>
      <c r="AC420" s="12"/>
      <c r="AD420" s="10"/>
      <c r="AE420" s="10"/>
      <c r="AF420" s="10"/>
      <c r="AG420" s="10"/>
      <c r="AH420" s="12"/>
      <c r="AI420" s="12"/>
      <c r="AJ420" s="12"/>
      <c r="AK420" s="12"/>
      <c r="AL420" s="10"/>
      <c r="AM420" s="12"/>
      <c r="AN420" s="10"/>
      <c r="AO420" s="10"/>
      <c r="AP420" s="10"/>
      <c r="AQ420" s="12"/>
      <c r="AR420" s="12"/>
      <c r="AS420" s="12"/>
      <c r="AT420" s="12"/>
      <c r="AU420" s="10"/>
      <c r="AV420" s="10"/>
      <c r="AW420" s="12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2"/>
      <c r="CN420" s="12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</row>
    <row r="421" spans="1:104" s="11" customFormat="1" ht="21.75" customHeight="1">
      <c r="A421" s="13">
        <v>413</v>
      </c>
      <c r="B421" s="33">
        <v>5298</v>
      </c>
      <c r="C421" s="39" t="s">
        <v>860</v>
      </c>
      <c r="D421" s="19" t="s">
        <v>420</v>
      </c>
      <c r="E421" s="9">
        <v>45738</v>
      </c>
      <c r="F421" s="10"/>
      <c r="G421" s="12" t="s">
        <v>113</v>
      </c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7"/>
      <c r="S421" s="10"/>
      <c r="T421" s="7"/>
      <c r="U421" s="10"/>
      <c r="V421" s="7"/>
      <c r="W421" s="10"/>
      <c r="X421" s="12" t="s">
        <v>113</v>
      </c>
      <c r="Y421" s="10"/>
      <c r="Z421" s="10"/>
      <c r="AA421" s="10"/>
      <c r="AB421" s="10"/>
      <c r="AC421" s="12"/>
      <c r="AD421" s="10"/>
      <c r="AE421" s="10"/>
      <c r="AF421" s="10"/>
      <c r="AG421" s="10"/>
      <c r="AH421" s="12"/>
      <c r="AI421" s="12"/>
      <c r="AJ421" s="12"/>
      <c r="AK421" s="12"/>
      <c r="AL421" s="10"/>
      <c r="AM421" s="12"/>
      <c r="AN421" s="10"/>
      <c r="AO421" s="10"/>
      <c r="AP421" s="10"/>
      <c r="AQ421" s="12"/>
      <c r="AR421" s="12"/>
      <c r="AS421" s="12"/>
      <c r="AT421" s="12"/>
      <c r="AU421" s="10"/>
      <c r="AV421" s="10"/>
      <c r="AW421" s="12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2"/>
      <c r="CN421" s="12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</row>
    <row r="422" spans="1:104" s="11" customFormat="1" ht="21.75" customHeight="1">
      <c r="A422" s="13">
        <v>414</v>
      </c>
      <c r="B422" s="33">
        <v>39506</v>
      </c>
      <c r="C422" s="39" t="s">
        <v>861</v>
      </c>
      <c r="D422" s="19" t="s">
        <v>420</v>
      </c>
      <c r="E422" s="9">
        <v>45738</v>
      </c>
      <c r="F422" s="10"/>
      <c r="G422" s="12" t="s">
        <v>113</v>
      </c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7"/>
      <c r="S422" s="10"/>
      <c r="T422" s="7"/>
      <c r="U422" s="10"/>
      <c r="V422" s="7"/>
      <c r="W422" s="12" t="s">
        <v>113</v>
      </c>
      <c r="X422" s="12" t="s">
        <v>113</v>
      </c>
      <c r="Y422" s="12" t="s">
        <v>113</v>
      </c>
      <c r="Z422" s="10"/>
      <c r="AA422" s="10"/>
      <c r="AB422" s="10"/>
      <c r="AC422" s="12"/>
      <c r="AD422" s="10"/>
      <c r="AE422" s="10"/>
      <c r="AF422" s="10"/>
      <c r="AG422" s="10"/>
      <c r="AH422" s="12"/>
      <c r="AI422" s="12"/>
      <c r="AJ422" s="12"/>
      <c r="AK422" s="12"/>
      <c r="AL422" s="10"/>
      <c r="AM422" s="12"/>
      <c r="AN422" s="10"/>
      <c r="AO422" s="10"/>
      <c r="AP422" s="10"/>
      <c r="AQ422" s="12"/>
      <c r="AR422" s="12"/>
      <c r="AS422" s="12"/>
      <c r="AT422" s="12"/>
      <c r="AU422" s="10"/>
      <c r="AV422" s="10"/>
      <c r="AW422" s="12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2"/>
      <c r="CN422" s="12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</row>
    <row r="423" spans="1:104" s="11" customFormat="1" ht="21.75" customHeight="1">
      <c r="A423" s="13">
        <v>415</v>
      </c>
      <c r="B423" s="35" t="s">
        <v>862</v>
      </c>
      <c r="C423" s="91" t="s">
        <v>863</v>
      </c>
      <c r="D423" s="28" t="s">
        <v>232</v>
      </c>
      <c r="E423" s="9">
        <v>45740</v>
      </c>
      <c r="F423" s="10"/>
      <c r="G423" s="12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7"/>
      <c r="S423" s="10"/>
      <c r="T423" s="7"/>
      <c r="U423" s="10"/>
      <c r="V423" s="7"/>
      <c r="W423" s="10"/>
      <c r="X423" s="10"/>
      <c r="Y423" s="10"/>
      <c r="Z423" s="10"/>
      <c r="AA423" s="10"/>
      <c r="AB423" s="10"/>
      <c r="AC423" s="12"/>
      <c r="AD423" s="10"/>
      <c r="AE423" s="10"/>
      <c r="AF423" s="10"/>
      <c r="AG423" s="10"/>
      <c r="AH423" s="12"/>
      <c r="AI423" s="12"/>
      <c r="AJ423" s="12"/>
      <c r="AK423" s="12"/>
      <c r="AL423" s="10"/>
      <c r="AM423" s="12"/>
      <c r="AN423" s="10"/>
      <c r="AO423" s="10"/>
      <c r="AP423" s="10"/>
      <c r="AQ423" s="12"/>
      <c r="AR423" s="12"/>
      <c r="AS423" s="12"/>
      <c r="AT423" s="12"/>
      <c r="AU423" s="10"/>
      <c r="AV423" s="10"/>
      <c r="AW423" s="12"/>
      <c r="AX423" s="10"/>
      <c r="AY423" s="10"/>
      <c r="AZ423" s="10"/>
      <c r="BA423" s="10"/>
      <c r="BB423" s="10"/>
      <c r="BC423" s="10"/>
      <c r="BD423" s="10"/>
      <c r="BE423" s="10"/>
      <c r="BF423" s="10"/>
      <c r="BG423" s="12" t="s">
        <v>113</v>
      </c>
      <c r="BH423" s="10"/>
      <c r="BI423" s="12" t="s">
        <v>113</v>
      </c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2"/>
      <c r="CN423" s="12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</row>
    <row r="424" spans="1:104" s="11" customFormat="1" ht="21.75" customHeight="1">
      <c r="A424" s="13">
        <v>416</v>
      </c>
      <c r="B424" s="77" t="s">
        <v>864</v>
      </c>
      <c r="C424" s="93" t="s">
        <v>865</v>
      </c>
      <c r="D424" s="28" t="s">
        <v>120</v>
      </c>
      <c r="E424" s="9">
        <v>45740</v>
      </c>
      <c r="F424" s="10"/>
      <c r="G424" s="12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7"/>
      <c r="S424" s="10"/>
      <c r="T424" s="7"/>
      <c r="U424" s="10"/>
      <c r="V424" s="7"/>
      <c r="W424" s="10"/>
      <c r="X424" s="10"/>
      <c r="Y424" s="10"/>
      <c r="Z424" s="10"/>
      <c r="AA424" s="10"/>
      <c r="AB424" s="10"/>
      <c r="AC424" s="12"/>
      <c r="AD424" s="10"/>
      <c r="AE424" s="10"/>
      <c r="AF424" s="10"/>
      <c r="AG424" s="10"/>
      <c r="AH424" s="12"/>
      <c r="AI424" s="12"/>
      <c r="AJ424" s="12"/>
      <c r="AK424" s="12"/>
      <c r="AL424" s="10"/>
      <c r="AM424" s="12"/>
      <c r="AN424" s="10"/>
      <c r="AO424" s="10"/>
      <c r="AP424" s="10"/>
      <c r="AQ424" s="12"/>
      <c r="AR424" s="12"/>
      <c r="AS424" s="12"/>
      <c r="AT424" s="12"/>
      <c r="AU424" s="10"/>
      <c r="AV424" s="10"/>
      <c r="AW424" s="12"/>
      <c r="AX424" s="10"/>
      <c r="AY424" s="12" t="s">
        <v>113</v>
      </c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2"/>
      <c r="CN424" s="12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</row>
    <row r="425" spans="1:104" s="11" customFormat="1" ht="21.75" customHeight="1">
      <c r="A425" s="13">
        <v>417</v>
      </c>
      <c r="B425" s="77" t="s">
        <v>866</v>
      </c>
      <c r="C425" s="93" t="s">
        <v>867</v>
      </c>
      <c r="D425" s="28" t="s">
        <v>120</v>
      </c>
      <c r="E425" s="9">
        <v>45740</v>
      </c>
      <c r="F425" s="10"/>
      <c r="G425" s="12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7"/>
      <c r="S425" s="10"/>
      <c r="T425" s="7"/>
      <c r="U425" s="10"/>
      <c r="V425" s="7"/>
      <c r="W425" s="10"/>
      <c r="X425" s="10"/>
      <c r="Y425" s="10"/>
      <c r="Z425" s="10"/>
      <c r="AA425" s="10"/>
      <c r="AB425" s="10"/>
      <c r="AC425" s="12"/>
      <c r="AD425" s="10"/>
      <c r="AE425" s="10"/>
      <c r="AF425" s="10"/>
      <c r="AG425" s="10"/>
      <c r="AH425" s="12"/>
      <c r="AI425" s="12"/>
      <c r="AJ425" s="12"/>
      <c r="AK425" s="12"/>
      <c r="AL425" s="10"/>
      <c r="AM425" s="12"/>
      <c r="AN425" s="10"/>
      <c r="AO425" s="10"/>
      <c r="AP425" s="10"/>
      <c r="AQ425" s="12"/>
      <c r="AR425" s="12"/>
      <c r="AS425" s="12"/>
      <c r="AT425" s="12"/>
      <c r="AU425" s="10"/>
      <c r="AV425" s="10"/>
      <c r="AW425" s="12"/>
      <c r="AX425" s="10"/>
      <c r="AY425" s="12" t="s">
        <v>113</v>
      </c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2"/>
      <c r="CN425" s="12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</row>
    <row r="426" spans="1:104" s="11" customFormat="1" ht="21.75" customHeight="1">
      <c r="A426" s="13">
        <v>418</v>
      </c>
      <c r="B426" s="33">
        <v>5290</v>
      </c>
      <c r="C426" s="39" t="s">
        <v>868</v>
      </c>
      <c r="D426" s="19" t="s">
        <v>336</v>
      </c>
      <c r="E426" s="9">
        <v>45745</v>
      </c>
      <c r="F426" s="10"/>
      <c r="G426" s="12"/>
      <c r="H426" s="10"/>
      <c r="I426" s="10"/>
      <c r="J426" s="10"/>
      <c r="K426" s="10"/>
      <c r="L426" s="10"/>
      <c r="M426" s="10"/>
      <c r="N426" s="10"/>
      <c r="O426" s="10"/>
      <c r="P426" s="12" t="s">
        <v>113</v>
      </c>
      <c r="Q426" s="10"/>
      <c r="R426" s="12" t="s">
        <v>113</v>
      </c>
      <c r="S426" s="10"/>
      <c r="T426" s="12" t="s">
        <v>113</v>
      </c>
      <c r="U426" s="10"/>
      <c r="V426" s="7"/>
      <c r="W426" s="10"/>
      <c r="X426" s="10"/>
      <c r="Y426" s="10"/>
      <c r="Z426" s="10"/>
      <c r="AA426" s="10"/>
      <c r="AB426" s="10"/>
      <c r="AC426" s="12"/>
      <c r="AD426" s="10"/>
      <c r="AE426" s="10"/>
      <c r="AF426" s="10"/>
      <c r="AG426" s="10"/>
      <c r="AH426" s="12"/>
      <c r="AI426" s="12"/>
      <c r="AJ426" s="12"/>
      <c r="AK426" s="12"/>
      <c r="AL426" s="10"/>
      <c r="AM426" s="12"/>
      <c r="AN426" s="10"/>
      <c r="AO426" s="10"/>
      <c r="AP426" s="10"/>
      <c r="AQ426" s="12"/>
      <c r="AR426" s="12"/>
      <c r="AS426" s="12"/>
      <c r="AT426" s="12"/>
      <c r="AU426" s="10"/>
      <c r="AV426" s="10"/>
      <c r="AW426" s="12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2"/>
      <c r="CN426" s="12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</row>
    <row r="427" spans="1:104" s="11" customFormat="1" ht="21.75" customHeight="1">
      <c r="A427" s="13">
        <v>419</v>
      </c>
      <c r="B427" s="95">
        <v>5045</v>
      </c>
      <c r="C427" s="95" t="s">
        <v>869</v>
      </c>
      <c r="D427" s="19" t="s">
        <v>870</v>
      </c>
      <c r="E427" s="9">
        <v>45745</v>
      </c>
      <c r="F427" s="10"/>
      <c r="G427" s="12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7"/>
      <c r="S427" s="10"/>
      <c r="T427" s="7"/>
      <c r="U427" s="10"/>
      <c r="V427" s="7"/>
      <c r="W427" s="10"/>
      <c r="X427" s="10"/>
      <c r="Y427" s="10"/>
      <c r="Z427" s="10"/>
      <c r="AA427" s="10"/>
      <c r="AB427" s="10"/>
      <c r="AC427" s="12"/>
      <c r="AD427" s="10"/>
      <c r="AE427" s="10"/>
      <c r="AF427" s="10"/>
      <c r="AG427" s="10"/>
      <c r="AH427" s="12"/>
      <c r="AI427" s="12"/>
      <c r="AJ427" s="12"/>
      <c r="AK427" s="12"/>
      <c r="AL427" s="10"/>
      <c r="AM427" s="12"/>
      <c r="AN427" s="10"/>
      <c r="AO427" s="10"/>
      <c r="AP427" s="10"/>
      <c r="AQ427" s="12"/>
      <c r="AR427" s="12"/>
      <c r="AS427" s="12"/>
      <c r="AT427" s="12"/>
      <c r="AU427" s="10"/>
      <c r="AV427" s="10"/>
      <c r="AW427" s="12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2" t="s">
        <v>113</v>
      </c>
      <c r="CI427" s="12" t="s">
        <v>113</v>
      </c>
      <c r="CJ427" s="12" t="s">
        <v>113</v>
      </c>
      <c r="CK427" s="12" t="s">
        <v>113</v>
      </c>
      <c r="CL427" s="10"/>
      <c r="CM427" s="12"/>
      <c r="CN427" s="12"/>
      <c r="CO427" s="10"/>
      <c r="CP427" s="12" t="s">
        <v>113</v>
      </c>
      <c r="CQ427" s="10"/>
      <c r="CR427" s="10"/>
      <c r="CS427" s="10"/>
      <c r="CT427" s="10"/>
      <c r="CU427" s="12" t="s">
        <v>113</v>
      </c>
      <c r="CV427" s="10"/>
      <c r="CW427" s="10"/>
      <c r="CX427" s="10"/>
      <c r="CY427" s="10"/>
      <c r="CZ427" s="10"/>
    </row>
    <row r="428" spans="1:104" s="11" customFormat="1" ht="21.75" customHeight="1">
      <c r="A428" s="13">
        <v>420</v>
      </c>
      <c r="B428" s="38">
        <v>4980</v>
      </c>
      <c r="C428" s="33" t="s">
        <v>871</v>
      </c>
      <c r="D428" s="19" t="s">
        <v>870</v>
      </c>
      <c r="E428" s="9">
        <v>45745</v>
      </c>
      <c r="F428" s="10"/>
      <c r="G428" s="12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7"/>
      <c r="S428" s="10"/>
      <c r="T428" s="7"/>
      <c r="U428" s="10"/>
      <c r="V428" s="7"/>
      <c r="W428" s="10"/>
      <c r="X428" s="10"/>
      <c r="Y428" s="10"/>
      <c r="Z428" s="10"/>
      <c r="AA428" s="10"/>
      <c r="AB428" s="10"/>
      <c r="AC428" s="12"/>
      <c r="AD428" s="10"/>
      <c r="AE428" s="10"/>
      <c r="AF428" s="10"/>
      <c r="AG428" s="10"/>
      <c r="AH428" s="12"/>
      <c r="AI428" s="12"/>
      <c r="AJ428" s="12"/>
      <c r="AK428" s="12"/>
      <c r="AL428" s="10"/>
      <c r="AM428" s="12"/>
      <c r="AN428" s="10"/>
      <c r="AO428" s="10"/>
      <c r="AP428" s="10"/>
      <c r="AQ428" s="12"/>
      <c r="AR428" s="12"/>
      <c r="AS428" s="12"/>
      <c r="AT428" s="12"/>
      <c r="AU428" s="10"/>
      <c r="AV428" s="10"/>
      <c r="AW428" s="12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2" t="s">
        <v>113</v>
      </c>
      <c r="CI428" s="12" t="s">
        <v>113</v>
      </c>
      <c r="CJ428" s="12" t="s">
        <v>113</v>
      </c>
      <c r="CK428" s="12" t="s">
        <v>113</v>
      </c>
      <c r="CL428" s="10"/>
      <c r="CM428" s="12"/>
      <c r="CN428" s="12"/>
      <c r="CO428" s="10"/>
      <c r="CP428" s="12" t="s">
        <v>113</v>
      </c>
      <c r="CQ428" s="10"/>
      <c r="CR428" s="10"/>
      <c r="CS428" s="10"/>
      <c r="CT428" s="10"/>
      <c r="CU428" s="12" t="s">
        <v>113</v>
      </c>
      <c r="CV428" s="10"/>
      <c r="CW428" s="10"/>
      <c r="CX428" s="10"/>
      <c r="CY428" s="10"/>
      <c r="CZ428" s="10"/>
    </row>
    <row r="429" spans="1:104" s="11" customFormat="1" ht="21.75" customHeight="1">
      <c r="A429" s="13">
        <v>421</v>
      </c>
      <c r="B429" s="95">
        <v>5046</v>
      </c>
      <c r="C429" s="95" t="s">
        <v>872</v>
      </c>
      <c r="D429" s="19" t="s">
        <v>794</v>
      </c>
      <c r="E429" s="9">
        <v>45745</v>
      </c>
      <c r="F429" s="10"/>
      <c r="G429" s="12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7"/>
      <c r="S429" s="10"/>
      <c r="T429" s="7"/>
      <c r="U429" s="10"/>
      <c r="V429" s="7"/>
      <c r="W429" s="10"/>
      <c r="X429" s="10"/>
      <c r="Y429" s="10"/>
      <c r="Z429" s="10"/>
      <c r="AA429" s="10"/>
      <c r="AB429" s="10"/>
      <c r="AC429" s="12"/>
      <c r="AD429" s="10"/>
      <c r="AE429" s="10"/>
      <c r="AF429" s="10"/>
      <c r="AG429" s="10"/>
      <c r="AH429" s="12"/>
      <c r="AI429" s="12"/>
      <c r="AJ429" s="12"/>
      <c r="AK429" s="12"/>
      <c r="AL429" s="10"/>
      <c r="AM429" s="12"/>
      <c r="AN429" s="10"/>
      <c r="AO429" s="10"/>
      <c r="AP429" s="10"/>
      <c r="AQ429" s="12"/>
      <c r="AR429" s="12"/>
      <c r="AS429" s="12"/>
      <c r="AT429" s="12"/>
      <c r="AU429" s="10"/>
      <c r="AV429" s="10"/>
      <c r="AW429" s="12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2" t="s">
        <v>113</v>
      </c>
      <c r="CI429" s="12" t="s">
        <v>113</v>
      </c>
      <c r="CJ429" s="12" t="s">
        <v>113</v>
      </c>
      <c r="CK429" s="12" t="s">
        <v>113</v>
      </c>
      <c r="CL429" s="10"/>
      <c r="CM429" s="12" t="s">
        <v>113</v>
      </c>
      <c r="CN429" s="12" t="s">
        <v>113</v>
      </c>
      <c r="CO429" s="10"/>
      <c r="CP429" s="12" t="s">
        <v>113</v>
      </c>
      <c r="CQ429" s="10"/>
      <c r="CR429" s="10"/>
      <c r="CS429" s="10"/>
      <c r="CT429" s="10"/>
      <c r="CU429" s="12" t="s">
        <v>113</v>
      </c>
      <c r="CV429" s="10"/>
      <c r="CW429" s="10"/>
      <c r="CX429" s="10"/>
      <c r="CY429" s="10"/>
      <c r="CZ429" s="10"/>
    </row>
    <row r="430" spans="1:104" s="11" customFormat="1" ht="21.75" customHeight="1">
      <c r="A430" s="13">
        <v>422</v>
      </c>
      <c r="B430" s="38">
        <v>4492</v>
      </c>
      <c r="C430" s="73" t="s">
        <v>873</v>
      </c>
      <c r="D430" s="19" t="s">
        <v>794</v>
      </c>
      <c r="E430" s="9">
        <v>45745</v>
      </c>
      <c r="F430" s="10"/>
      <c r="G430" s="12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7"/>
      <c r="S430" s="10"/>
      <c r="T430" s="7"/>
      <c r="U430" s="10"/>
      <c r="V430" s="7"/>
      <c r="W430" s="10"/>
      <c r="X430" s="10"/>
      <c r="Y430" s="10"/>
      <c r="Z430" s="10"/>
      <c r="AA430" s="10"/>
      <c r="AB430" s="10"/>
      <c r="AC430" s="12"/>
      <c r="AD430" s="10"/>
      <c r="AE430" s="10"/>
      <c r="AF430" s="10"/>
      <c r="AG430" s="10"/>
      <c r="AH430" s="12"/>
      <c r="AI430" s="12"/>
      <c r="AJ430" s="12"/>
      <c r="AK430" s="12"/>
      <c r="AL430" s="10"/>
      <c r="AM430" s="12"/>
      <c r="AN430" s="10"/>
      <c r="AO430" s="10"/>
      <c r="AP430" s="10"/>
      <c r="AQ430" s="12"/>
      <c r="AR430" s="12"/>
      <c r="AS430" s="12"/>
      <c r="AT430" s="12"/>
      <c r="AU430" s="10"/>
      <c r="AV430" s="10"/>
      <c r="AW430" s="12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2" t="s">
        <v>113</v>
      </c>
      <c r="CI430" s="12" t="s">
        <v>113</v>
      </c>
      <c r="CJ430" s="12" t="s">
        <v>113</v>
      </c>
      <c r="CK430" s="12" t="s">
        <v>113</v>
      </c>
      <c r="CL430" s="10"/>
      <c r="CM430" s="12"/>
      <c r="CN430" s="12"/>
      <c r="CO430" s="10"/>
      <c r="CP430" s="12" t="s">
        <v>113</v>
      </c>
      <c r="CQ430" s="10"/>
      <c r="CR430" s="10"/>
      <c r="CS430" s="10"/>
      <c r="CT430" s="10"/>
      <c r="CU430" s="12" t="s">
        <v>113</v>
      </c>
      <c r="CV430" s="10"/>
      <c r="CW430" s="10"/>
      <c r="CX430" s="10"/>
      <c r="CY430" s="10"/>
      <c r="CZ430" s="10"/>
    </row>
    <row r="431" spans="1:104" s="11" customFormat="1" ht="21.75" customHeight="1">
      <c r="A431" s="13">
        <v>423</v>
      </c>
      <c r="B431" s="39">
        <v>5215</v>
      </c>
      <c r="C431" s="38" t="s">
        <v>874</v>
      </c>
      <c r="D431" s="19" t="s">
        <v>794</v>
      </c>
      <c r="E431" s="9">
        <v>45745</v>
      </c>
      <c r="F431" s="10"/>
      <c r="G431" s="12" t="s">
        <v>113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7"/>
      <c r="S431" s="10"/>
      <c r="T431" s="7"/>
      <c r="U431" s="10"/>
      <c r="V431" s="7"/>
      <c r="W431" s="10"/>
      <c r="X431" s="10"/>
      <c r="Y431" s="10"/>
      <c r="Z431" s="10"/>
      <c r="AA431" s="10"/>
      <c r="AB431" s="10"/>
      <c r="AC431" s="12"/>
      <c r="AD431" s="10"/>
      <c r="AE431" s="10"/>
      <c r="AF431" s="10"/>
      <c r="AG431" s="10"/>
      <c r="AH431" s="12"/>
      <c r="AI431" s="12"/>
      <c r="AJ431" s="12"/>
      <c r="AK431" s="12"/>
      <c r="AL431" s="10"/>
      <c r="AM431" s="12"/>
      <c r="AN431" s="10"/>
      <c r="AO431" s="10"/>
      <c r="AP431" s="10"/>
      <c r="AQ431" s="12"/>
      <c r="AR431" s="12"/>
      <c r="AS431" s="12"/>
      <c r="AT431" s="12"/>
      <c r="AU431" s="10"/>
      <c r="AV431" s="10"/>
      <c r="AW431" s="12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2" t="s">
        <v>113</v>
      </c>
      <c r="CI431" s="12" t="s">
        <v>113</v>
      </c>
      <c r="CJ431" s="12" t="s">
        <v>113</v>
      </c>
      <c r="CK431" s="12" t="s">
        <v>113</v>
      </c>
      <c r="CL431" s="10"/>
      <c r="CM431" s="12"/>
      <c r="CN431" s="12"/>
      <c r="CO431" s="10"/>
      <c r="CP431" s="12" t="s">
        <v>113</v>
      </c>
      <c r="CQ431" s="10"/>
      <c r="CR431" s="10"/>
      <c r="CS431" s="10"/>
      <c r="CT431" s="10"/>
      <c r="CU431" s="12" t="s">
        <v>113</v>
      </c>
      <c r="CV431" s="10"/>
      <c r="CW431" s="10"/>
      <c r="CX431" s="10"/>
      <c r="CY431" s="10"/>
      <c r="CZ431" s="10"/>
    </row>
    <row r="432" spans="1:104" s="11" customFormat="1" ht="21.75" customHeight="1">
      <c r="A432" s="13">
        <v>424</v>
      </c>
      <c r="B432" s="33">
        <v>5308</v>
      </c>
      <c r="C432" s="39" t="s">
        <v>875</v>
      </c>
      <c r="D432" s="19" t="s">
        <v>794</v>
      </c>
      <c r="E432" s="9">
        <v>45745</v>
      </c>
      <c r="F432" s="10"/>
      <c r="G432" s="12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7"/>
      <c r="S432" s="10"/>
      <c r="T432" s="7"/>
      <c r="U432" s="10"/>
      <c r="V432" s="7"/>
      <c r="W432" s="10"/>
      <c r="X432" s="10"/>
      <c r="Y432" s="10"/>
      <c r="Z432" s="10"/>
      <c r="AA432" s="10"/>
      <c r="AB432" s="10"/>
      <c r="AC432" s="12"/>
      <c r="AD432" s="10"/>
      <c r="AE432" s="10"/>
      <c r="AF432" s="10"/>
      <c r="AG432" s="10"/>
      <c r="AH432" s="12"/>
      <c r="AI432" s="12"/>
      <c r="AJ432" s="12"/>
      <c r="AK432" s="12"/>
      <c r="AL432" s="10"/>
      <c r="AM432" s="12"/>
      <c r="AN432" s="10"/>
      <c r="AO432" s="10"/>
      <c r="AP432" s="10"/>
      <c r="AQ432" s="12"/>
      <c r="AR432" s="12"/>
      <c r="AS432" s="12"/>
      <c r="AT432" s="12"/>
      <c r="AU432" s="10"/>
      <c r="AV432" s="10"/>
      <c r="AW432" s="12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2" t="s">
        <v>113</v>
      </c>
      <c r="CK432" s="12" t="s">
        <v>113</v>
      </c>
      <c r="CL432" s="10"/>
      <c r="CM432" s="12"/>
      <c r="CN432" s="12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</row>
    <row r="433" spans="1:104" s="11" customFormat="1" ht="21.75" customHeight="1">
      <c r="A433" s="13">
        <v>425</v>
      </c>
      <c r="B433" s="33">
        <v>5068</v>
      </c>
      <c r="C433" s="96" t="s">
        <v>876</v>
      </c>
      <c r="D433" s="19" t="s">
        <v>794</v>
      </c>
      <c r="E433" s="9">
        <v>45745</v>
      </c>
      <c r="F433" s="10"/>
      <c r="G433" s="12" t="s">
        <v>113</v>
      </c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7"/>
      <c r="S433" s="10"/>
      <c r="T433" s="7"/>
      <c r="U433" s="10"/>
      <c r="V433" s="7"/>
      <c r="W433" s="10"/>
      <c r="X433" s="10"/>
      <c r="Y433" s="10"/>
      <c r="Z433" s="10"/>
      <c r="AA433" s="10"/>
      <c r="AB433" s="10"/>
      <c r="AC433" s="12"/>
      <c r="AD433" s="10"/>
      <c r="AE433" s="10"/>
      <c r="AF433" s="10"/>
      <c r="AG433" s="10"/>
      <c r="AH433" s="12"/>
      <c r="AI433" s="12"/>
      <c r="AJ433" s="12"/>
      <c r="AK433" s="12"/>
      <c r="AL433" s="10"/>
      <c r="AM433" s="12"/>
      <c r="AN433" s="10"/>
      <c r="AO433" s="10"/>
      <c r="AP433" s="10"/>
      <c r="AQ433" s="12"/>
      <c r="AR433" s="12"/>
      <c r="AS433" s="12"/>
      <c r="AT433" s="12"/>
      <c r="AU433" s="10"/>
      <c r="AV433" s="10"/>
      <c r="AW433" s="12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2" t="s">
        <v>113</v>
      </c>
      <c r="CI433" s="12" t="s">
        <v>113</v>
      </c>
      <c r="CJ433" s="12" t="s">
        <v>113</v>
      </c>
      <c r="CK433" s="12" t="s">
        <v>113</v>
      </c>
      <c r="CL433" s="10"/>
      <c r="CM433" s="12" t="s">
        <v>113</v>
      </c>
      <c r="CN433" s="12" t="s">
        <v>113</v>
      </c>
      <c r="CO433" s="10"/>
      <c r="CP433" s="12" t="s">
        <v>113</v>
      </c>
      <c r="CQ433" s="10"/>
      <c r="CR433" s="10"/>
      <c r="CS433" s="10"/>
      <c r="CT433" s="10"/>
      <c r="CU433" s="12" t="s">
        <v>113</v>
      </c>
      <c r="CV433" s="10"/>
      <c r="CW433" s="10"/>
      <c r="CX433" s="10"/>
      <c r="CY433" s="10"/>
      <c r="CZ433" s="10"/>
    </row>
    <row r="434" spans="1:104" s="11" customFormat="1" ht="21.75" customHeight="1">
      <c r="A434" s="13">
        <v>426</v>
      </c>
      <c r="B434" s="95">
        <v>5105</v>
      </c>
      <c r="C434" s="95" t="s">
        <v>877</v>
      </c>
      <c r="D434" s="19" t="s">
        <v>794</v>
      </c>
      <c r="E434" s="9">
        <v>45745</v>
      </c>
      <c r="F434" s="10"/>
      <c r="G434" s="12" t="s">
        <v>113</v>
      </c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7"/>
      <c r="S434" s="10"/>
      <c r="T434" s="7"/>
      <c r="U434" s="10"/>
      <c r="V434" s="7"/>
      <c r="W434" s="10"/>
      <c r="X434" s="10"/>
      <c r="Y434" s="10"/>
      <c r="Z434" s="10"/>
      <c r="AA434" s="10"/>
      <c r="AB434" s="10"/>
      <c r="AC434" s="12"/>
      <c r="AD434" s="10"/>
      <c r="AE434" s="10"/>
      <c r="AF434" s="10"/>
      <c r="AG434" s="10"/>
      <c r="AH434" s="12"/>
      <c r="AI434" s="12"/>
      <c r="AJ434" s="12"/>
      <c r="AK434" s="12"/>
      <c r="AL434" s="10"/>
      <c r="AM434" s="12"/>
      <c r="AN434" s="10"/>
      <c r="AO434" s="10"/>
      <c r="AP434" s="10"/>
      <c r="AQ434" s="12"/>
      <c r="AR434" s="12"/>
      <c r="AS434" s="12"/>
      <c r="AT434" s="12"/>
      <c r="AU434" s="10"/>
      <c r="AV434" s="10"/>
      <c r="AW434" s="12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2" t="s">
        <v>113</v>
      </c>
      <c r="CI434" s="12" t="s">
        <v>113</v>
      </c>
      <c r="CJ434" s="12" t="s">
        <v>113</v>
      </c>
      <c r="CK434" s="12" t="s">
        <v>113</v>
      </c>
      <c r="CL434" s="10"/>
      <c r="CM434" s="12" t="s">
        <v>113</v>
      </c>
      <c r="CN434" s="12" t="s">
        <v>113</v>
      </c>
      <c r="CO434" s="10"/>
      <c r="CP434" s="12" t="s">
        <v>113</v>
      </c>
      <c r="CQ434" s="10"/>
      <c r="CR434" s="10"/>
      <c r="CS434" s="10"/>
      <c r="CT434" s="10"/>
      <c r="CU434" s="12" t="s">
        <v>113</v>
      </c>
      <c r="CV434" s="10"/>
      <c r="CW434" s="10"/>
      <c r="CX434" s="10"/>
      <c r="CY434" s="10"/>
      <c r="CZ434" s="10"/>
    </row>
    <row r="435" spans="1:104" s="11" customFormat="1" ht="21.75" customHeight="1">
      <c r="A435" s="13">
        <v>427</v>
      </c>
      <c r="B435" s="38">
        <v>5210</v>
      </c>
      <c r="C435" s="38" t="s">
        <v>878</v>
      </c>
      <c r="D435" s="19" t="s">
        <v>794</v>
      </c>
      <c r="E435" s="9">
        <v>45745</v>
      </c>
      <c r="F435" s="10"/>
      <c r="G435" s="12" t="s">
        <v>113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7"/>
      <c r="S435" s="10"/>
      <c r="T435" s="7"/>
      <c r="U435" s="10"/>
      <c r="V435" s="7"/>
      <c r="W435" s="10"/>
      <c r="X435" s="10"/>
      <c r="Y435" s="10"/>
      <c r="Z435" s="10"/>
      <c r="AA435" s="10"/>
      <c r="AB435" s="10"/>
      <c r="AC435" s="12"/>
      <c r="AD435" s="10"/>
      <c r="AE435" s="10"/>
      <c r="AF435" s="10"/>
      <c r="AG435" s="10"/>
      <c r="AH435" s="12"/>
      <c r="AI435" s="12"/>
      <c r="AJ435" s="12"/>
      <c r="AK435" s="12"/>
      <c r="AL435" s="10"/>
      <c r="AM435" s="12"/>
      <c r="AN435" s="10"/>
      <c r="AO435" s="10"/>
      <c r="AP435" s="10"/>
      <c r="AQ435" s="12"/>
      <c r="AR435" s="12"/>
      <c r="AS435" s="12"/>
      <c r="AT435" s="12"/>
      <c r="AU435" s="10"/>
      <c r="AV435" s="10"/>
      <c r="AW435" s="12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2" t="s">
        <v>113</v>
      </c>
      <c r="CI435" s="12" t="s">
        <v>113</v>
      </c>
      <c r="CJ435" s="12" t="s">
        <v>113</v>
      </c>
      <c r="CK435" s="12" t="s">
        <v>113</v>
      </c>
      <c r="CL435" s="10"/>
      <c r="CM435" s="12" t="s">
        <v>113</v>
      </c>
      <c r="CN435" s="12" t="s">
        <v>113</v>
      </c>
      <c r="CO435" s="10"/>
      <c r="CP435" s="12" t="s">
        <v>113</v>
      </c>
      <c r="CQ435" s="10"/>
      <c r="CR435" s="10"/>
      <c r="CS435" s="10"/>
      <c r="CT435" s="10"/>
      <c r="CU435" s="12" t="s">
        <v>113</v>
      </c>
      <c r="CV435" s="10"/>
      <c r="CW435" s="10"/>
      <c r="CX435" s="10"/>
      <c r="CY435" s="10"/>
      <c r="CZ435" s="10"/>
    </row>
    <row r="436" spans="1:104" s="11" customFormat="1" ht="21.75" customHeight="1">
      <c r="A436" s="13">
        <v>428</v>
      </c>
      <c r="B436" s="38">
        <v>4712</v>
      </c>
      <c r="C436" s="73" t="s">
        <v>879</v>
      </c>
      <c r="D436" s="19" t="s">
        <v>794</v>
      </c>
      <c r="E436" s="9">
        <v>45745</v>
      </c>
      <c r="F436" s="10"/>
      <c r="G436" s="12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7"/>
      <c r="S436" s="10"/>
      <c r="T436" s="7"/>
      <c r="U436" s="10"/>
      <c r="V436" s="7"/>
      <c r="W436" s="10"/>
      <c r="X436" s="10"/>
      <c r="Y436" s="10"/>
      <c r="Z436" s="10"/>
      <c r="AA436" s="10"/>
      <c r="AB436" s="10"/>
      <c r="AC436" s="12"/>
      <c r="AD436" s="10"/>
      <c r="AE436" s="10"/>
      <c r="AF436" s="10"/>
      <c r="AG436" s="10"/>
      <c r="AH436" s="12"/>
      <c r="AI436" s="12"/>
      <c r="AJ436" s="12"/>
      <c r="AK436" s="12"/>
      <c r="AL436" s="10"/>
      <c r="AM436" s="12"/>
      <c r="AN436" s="10"/>
      <c r="AO436" s="10"/>
      <c r="AP436" s="10"/>
      <c r="AQ436" s="12"/>
      <c r="AR436" s="12"/>
      <c r="AS436" s="12"/>
      <c r="AT436" s="12"/>
      <c r="AU436" s="10"/>
      <c r="AV436" s="10"/>
      <c r="AW436" s="12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2" t="s">
        <v>113</v>
      </c>
      <c r="CI436" s="12" t="s">
        <v>113</v>
      </c>
      <c r="CJ436" s="12" t="s">
        <v>113</v>
      </c>
      <c r="CK436" s="12" t="s">
        <v>113</v>
      </c>
      <c r="CL436" s="10"/>
      <c r="CM436" s="12"/>
      <c r="CN436" s="12"/>
      <c r="CO436" s="10"/>
      <c r="CP436" s="12" t="s">
        <v>113</v>
      </c>
      <c r="CQ436" s="10"/>
      <c r="CR436" s="10"/>
      <c r="CS436" s="10"/>
      <c r="CT436" s="10"/>
      <c r="CU436" s="12" t="s">
        <v>113</v>
      </c>
      <c r="CV436" s="10"/>
      <c r="CW436" s="10"/>
      <c r="CX436" s="10"/>
      <c r="CY436" s="10"/>
      <c r="CZ436" s="10"/>
    </row>
    <row r="437" spans="1:104" s="11" customFormat="1" ht="21.75" customHeight="1">
      <c r="A437" s="13">
        <v>429</v>
      </c>
      <c r="B437" s="33">
        <v>39366</v>
      </c>
      <c r="C437" s="39" t="s">
        <v>880</v>
      </c>
      <c r="D437" s="19" t="s">
        <v>794</v>
      </c>
      <c r="E437" s="9">
        <v>45745</v>
      </c>
      <c r="F437" s="10"/>
      <c r="G437" s="12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7"/>
      <c r="S437" s="10"/>
      <c r="T437" s="7"/>
      <c r="U437" s="10"/>
      <c r="V437" s="7"/>
      <c r="W437" s="10"/>
      <c r="X437" s="10"/>
      <c r="Y437" s="10"/>
      <c r="Z437" s="10"/>
      <c r="AA437" s="10"/>
      <c r="AB437" s="10"/>
      <c r="AC437" s="12"/>
      <c r="AD437" s="10"/>
      <c r="AE437" s="10"/>
      <c r="AF437" s="10"/>
      <c r="AG437" s="10"/>
      <c r="AH437" s="12"/>
      <c r="AI437" s="12"/>
      <c r="AJ437" s="12"/>
      <c r="AK437" s="12"/>
      <c r="AL437" s="10"/>
      <c r="AM437" s="12"/>
      <c r="AN437" s="10"/>
      <c r="AO437" s="10"/>
      <c r="AP437" s="10"/>
      <c r="AQ437" s="12"/>
      <c r="AR437" s="12"/>
      <c r="AS437" s="12"/>
      <c r="AT437" s="12"/>
      <c r="AU437" s="10"/>
      <c r="AV437" s="10"/>
      <c r="AW437" s="12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2" t="s">
        <v>113</v>
      </c>
      <c r="CK437" s="12" t="s">
        <v>113</v>
      </c>
      <c r="CL437" s="10"/>
      <c r="CM437" s="12"/>
      <c r="CN437" s="12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</row>
    <row r="438" spans="1:104" s="11" customFormat="1" ht="21.75" customHeight="1">
      <c r="A438" s="13">
        <v>430</v>
      </c>
      <c r="B438" s="95">
        <v>5092</v>
      </c>
      <c r="C438" s="95" t="s">
        <v>881</v>
      </c>
      <c r="D438" s="19" t="s">
        <v>794</v>
      </c>
      <c r="E438" s="9">
        <v>45745</v>
      </c>
      <c r="F438" s="10"/>
      <c r="G438" s="12" t="s">
        <v>113</v>
      </c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7"/>
      <c r="S438" s="10"/>
      <c r="T438" s="7"/>
      <c r="U438" s="10"/>
      <c r="V438" s="7"/>
      <c r="W438" s="10"/>
      <c r="X438" s="10"/>
      <c r="Y438" s="10"/>
      <c r="Z438" s="10"/>
      <c r="AA438" s="10"/>
      <c r="AB438" s="10"/>
      <c r="AC438" s="12"/>
      <c r="AD438" s="10"/>
      <c r="AE438" s="10"/>
      <c r="AF438" s="10"/>
      <c r="AG438" s="10"/>
      <c r="AH438" s="12"/>
      <c r="AI438" s="12"/>
      <c r="AJ438" s="12"/>
      <c r="AK438" s="12"/>
      <c r="AL438" s="10"/>
      <c r="AM438" s="12"/>
      <c r="AN438" s="10"/>
      <c r="AO438" s="10"/>
      <c r="AP438" s="10"/>
      <c r="AQ438" s="12"/>
      <c r="AR438" s="12"/>
      <c r="AS438" s="12"/>
      <c r="AT438" s="12"/>
      <c r="AU438" s="10"/>
      <c r="AV438" s="10"/>
      <c r="AW438" s="12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2" t="s">
        <v>113</v>
      </c>
      <c r="CI438" s="12" t="s">
        <v>113</v>
      </c>
      <c r="CJ438" s="12" t="s">
        <v>113</v>
      </c>
      <c r="CK438" s="12" t="s">
        <v>113</v>
      </c>
      <c r="CL438" s="10"/>
      <c r="CM438" s="12" t="s">
        <v>113</v>
      </c>
      <c r="CN438" s="12" t="s">
        <v>113</v>
      </c>
      <c r="CO438" s="10"/>
      <c r="CP438" s="12" t="s">
        <v>113</v>
      </c>
      <c r="CQ438" s="10"/>
      <c r="CR438" s="10"/>
      <c r="CS438" s="10"/>
      <c r="CT438" s="10"/>
      <c r="CU438" s="12" t="s">
        <v>113</v>
      </c>
      <c r="CV438" s="10"/>
      <c r="CW438" s="10"/>
      <c r="CX438" s="10"/>
      <c r="CY438" s="10"/>
      <c r="CZ438" s="10"/>
    </row>
    <row r="439" spans="1:104" s="11" customFormat="1" ht="21.75" customHeight="1">
      <c r="A439" s="13">
        <v>431</v>
      </c>
      <c r="B439" s="38">
        <v>4708</v>
      </c>
      <c r="C439" s="73" t="s">
        <v>882</v>
      </c>
      <c r="D439" s="19" t="s">
        <v>794</v>
      </c>
      <c r="E439" s="9">
        <v>45745</v>
      </c>
      <c r="F439" s="10"/>
      <c r="G439" s="12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7"/>
      <c r="S439" s="10"/>
      <c r="T439" s="7"/>
      <c r="U439" s="10"/>
      <c r="V439" s="7"/>
      <c r="W439" s="10"/>
      <c r="X439" s="10"/>
      <c r="Y439" s="10"/>
      <c r="Z439" s="10"/>
      <c r="AA439" s="10"/>
      <c r="AB439" s="10"/>
      <c r="AC439" s="12"/>
      <c r="AD439" s="10"/>
      <c r="AE439" s="10"/>
      <c r="AF439" s="10"/>
      <c r="AG439" s="10"/>
      <c r="AH439" s="12"/>
      <c r="AI439" s="12"/>
      <c r="AJ439" s="12"/>
      <c r="AK439" s="12"/>
      <c r="AL439" s="10"/>
      <c r="AM439" s="12"/>
      <c r="AN439" s="10"/>
      <c r="AO439" s="10"/>
      <c r="AP439" s="10"/>
      <c r="AQ439" s="12"/>
      <c r="AR439" s="12"/>
      <c r="AS439" s="12"/>
      <c r="AT439" s="12"/>
      <c r="AU439" s="10"/>
      <c r="AV439" s="10"/>
      <c r="AW439" s="12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2" t="s">
        <v>113</v>
      </c>
      <c r="CJ439" s="12" t="s">
        <v>113</v>
      </c>
      <c r="CK439" s="12" t="s">
        <v>113</v>
      </c>
      <c r="CL439" s="10"/>
      <c r="CM439" s="12"/>
      <c r="CN439" s="12"/>
      <c r="CO439" s="10"/>
      <c r="CP439" s="10"/>
      <c r="CQ439" s="10"/>
      <c r="CR439" s="10"/>
      <c r="CS439" s="10"/>
      <c r="CT439" s="10"/>
      <c r="CU439" s="12" t="s">
        <v>113</v>
      </c>
      <c r="CV439" s="10"/>
      <c r="CW439" s="10"/>
      <c r="CX439" s="10"/>
      <c r="CY439" s="10"/>
      <c r="CZ439" s="10"/>
    </row>
    <row r="440" spans="1:104" s="11" customFormat="1" ht="21.75" customHeight="1">
      <c r="A440" s="13">
        <v>432</v>
      </c>
      <c r="B440" s="38">
        <v>39338</v>
      </c>
      <c r="C440" s="73" t="s">
        <v>883</v>
      </c>
      <c r="D440" s="19" t="s">
        <v>794</v>
      </c>
      <c r="E440" s="9">
        <v>45745</v>
      </c>
      <c r="F440" s="10"/>
      <c r="G440" s="12" t="s">
        <v>113</v>
      </c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7"/>
      <c r="S440" s="10"/>
      <c r="T440" s="7"/>
      <c r="U440" s="10"/>
      <c r="V440" s="7"/>
      <c r="W440" s="10"/>
      <c r="X440" s="10"/>
      <c r="Y440" s="10"/>
      <c r="Z440" s="10"/>
      <c r="AA440" s="10"/>
      <c r="AB440" s="10"/>
      <c r="AC440" s="12"/>
      <c r="AD440" s="10"/>
      <c r="AE440" s="10"/>
      <c r="AF440" s="10"/>
      <c r="AG440" s="10"/>
      <c r="AH440" s="12"/>
      <c r="AI440" s="12"/>
      <c r="AJ440" s="12"/>
      <c r="AK440" s="12"/>
      <c r="AL440" s="10"/>
      <c r="AM440" s="12"/>
      <c r="AN440" s="10"/>
      <c r="AO440" s="10"/>
      <c r="AP440" s="10"/>
      <c r="AQ440" s="12"/>
      <c r="AR440" s="12"/>
      <c r="AS440" s="12"/>
      <c r="AT440" s="12"/>
      <c r="AU440" s="10"/>
      <c r="AV440" s="10"/>
      <c r="AW440" s="12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2" t="s">
        <v>113</v>
      </c>
      <c r="CI440" s="12" t="s">
        <v>113</v>
      </c>
      <c r="CJ440" s="12" t="s">
        <v>113</v>
      </c>
      <c r="CK440" s="12" t="s">
        <v>113</v>
      </c>
      <c r="CL440" s="10"/>
      <c r="CM440" s="12" t="s">
        <v>113</v>
      </c>
      <c r="CN440" s="12" t="s">
        <v>113</v>
      </c>
      <c r="CO440" s="10"/>
      <c r="CP440" s="12" t="s">
        <v>113</v>
      </c>
      <c r="CQ440" s="10"/>
      <c r="CR440" s="10"/>
      <c r="CS440" s="10"/>
      <c r="CT440" s="10"/>
      <c r="CU440" s="12" t="s">
        <v>113</v>
      </c>
      <c r="CV440" s="10"/>
      <c r="CW440" s="10"/>
      <c r="CX440" s="10"/>
      <c r="CY440" s="10"/>
      <c r="CZ440" s="10"/>
    </row>
    <row r="441" spans="1:104" s="11" customFormat="1" ht="21.75" customHeight="1">
      <c r="A441" s="13">
        <v>433</v>
      </c>
      <c r="B441" s="33">
        <v>39478</v>
      </c>
      <c r="C441" s="39" t="s">
        <v>884</v>
      </c>
      <c r="D441" s="19" t="s">
        <v>794</v>
      </c>
      <c r="E441" s="9">
        <v>45745</v>
      </c>
      <c r="F441" s="10"/>
      <c r="G441" s="12" t="s">
        <v>113</v>
      </c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7"/>
      <c r="S441" s="10"/>
      <c r="T441" s="7"/>
      <c r="U441" s="10"/>
      <c r="V441" s="7"/>
      <c r="W441" s="10"/>
      <c r="X441" s="10"/>
      <c r="Y441" s="10"/>
      <c r="Z441" s="10"/>
      <c r="AA441" s="10"/>
      <c r="AB441" s="10"/>
      <c r="AC441" s="12"/>
      <c r="AD441" s="10"/>
      <c r="AE441" s="10"/>
      <c r="AF441" s="10"/>
      <c r="AG441" s="10"/>
      <c r="AH441" s="12"/>
      <c r="AI441" s="12"/>
      <c r="AJ441" s="12"/>
      <c r="AK441" s="12"/>
      <c r="AL441" s="10"/>
      <c r="AM441" s="12"/>
      <c r="AN441" s="10"/>
      <c r="AO441" s="10"/>
      <c r="AP441" s="10"/>
      <c r="AQ441" s="12"/>
      <c r="AR441" s="12"/>
      <c r="AS441" s="12"/>
      <c r="AT441" s="12"/>
      <c r="AU441" s="10"/>
      <c r="AV441" s="10"/>
      <c r="AW441" s="12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2" t="s">
        <v>113</v>
      </c>
      <c r="CI441" s="12" t="s">
        <v>113</v>
      </c>
      <c r="CJ441" s="12" t="s">
        <v>113</v>
      </c>
      <c r="CK441" s="12" t="s">
        <v>113</v>
      </c>
      <c r="CL441" s="10"/>
      <c r="CM441" s="12" t="s">
        <v>113</v>
      </c>
      <c r="CN441" s="12" t="s">
        <v>113</v>
      </c>
      <c r="CO441" s="10"/>
      <c r="CP441" s="12" t="s">
        <v>113</v>
      </c>
      <c r="CQ441" s="10"/>
      <c r="CR441" s="10"/>
      <c r="CS441" s="10"/>
      <c r="CT441" s="10"/>
      <c r="CU441" s="12" t="s">
        <v>113</v>
      </c>
      <c r="CV441" s="10"/>
      <c r="CW441" s="10"/>
      <c r="CX441" s="10"/>
      <c r="CY441" s="10"/>
      <c r="CZ441" s="10"/>
    </row>
    <row r="442" spans="1:104" s="11" customFormat="1" ht="21.75" customHeight="1">
      <c r="A442" s="13">
        <v>434</v>
      </c>
      <c r="B442" s="38">
        <v>39275</v>
      </c>
      <c r="C442" s="73" t="s">
        <v>885</v>
      </c>
      <c r="D442" s="19" t="s">
        <v>794</v>
      </c>
      <c r="E442" s="9">
        <v>45745</v>
      </c>
      <c r="F442" s="10"/>
      <c r="G442" s="12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7"/>
      <c r="S442" s="10"/>
      <c r="T442" s="7"/>
      <c r="U442" s="10"/>
      <c r="V442" s="7"/>
      <c r="W442" s="10"/>
      <c r="X442" s="10"/>
      <c r="Y442" s="10"/>
      <c r="Z442" s="10"/>
      <c r="AA442" s="10"/>
      <c r="AB442" s="10"/>
      <c r="AC442" s="12"/>
      <c r="AD442" s="10"/>
      <c r="AE442" s="10"/>
      <c r="AF442" s="10"/>
      <c r="AG442" s="10"/>
      <c r="AH442" s="12"/>
      <c r="AI442" s="12"/>
      <c r="AJ442" s="12"/>
      <c r="AK442" s="12"/>
      <c r="AL442" s="10"/>
      <c r="AM442" s="12"/>
      <c r="AN442" s="10"/>
      <c r="AO442" s="10"/>
      <c r="AP442" s="10"/>
      <c r="AQ442" s="12"/>
      <c r="AR442" s="12"/>
      <c r="AS442" s="12"/>
      <c r="AT442" s="12"/>
      <c r="AU442" s="10"/>
      <c r="AV442" s="10"/>
      <c r="AW442" s="12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2" t="s">
        <v>113</v>
      </c>
      <c r="CJ442" s="12" t="s">
        <v>113</v>
      </c>
      <c r="CK442" s="10"/>
      <c r="CL442" s="10"/>
      <c r="CM442" s="12"/>
      <c r="CN442" s="12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</row>
    <row r="443" spans="1:104" s="11" customFormat="1" ht="21.75" customHeight="1">
      <c r="A443" s="13">
        <v>435</v>
      </c>
      <c r="B443" s="33">
        <v>39562</v>
      </c>
      <c r="C443" s="96" t="s">
        <v>886</v>
      </c>
      <c r="D443" s="19" t="s">
        <v>262</v>
      </c>
      <c r="E443" s="9">
        <v>45761</v>
      </c>
      <c r="F443" s="10"/>
      <c r="G443" s="12" t="s">
        <v>113</v>
      </c>
      <c r="I443" s="10"/>
      <c r="J443" s="10"/>
      <c r="K443" s="10"/>
      <c r="L443" s="10"/>
      <c r="M443" s="10"/>
      <c r="N443" s="10"/>
      <c r="O443" s="10"/>
      <c r="P443" s="10"/>
      <c r="Q443" s="10"/>
      <c r="R443" s="7"/>
      <c r="S443" s="10"/>
      <c r="T443" s="7"/>
      <c r="U443" s="10"/>
      <c r="V443" s="7"/>
      <c r="W443" s="10"/>
      <c r="X443" s="10"/>
      <c r="Y443" s="10"/>
      <c r="Z443" s="10"/>
      <c r="AA443" s="10"/>
      <c r="AB443" s="10"/>
      <c r="AC443" s="12"/>
      <c r="AD443" s="10"/>
      <c r="AE443" s="10"/>
      <c r="AF443" s="10"/>
      <c r="AG443" s="10"/>
      <c r="AH443" s="12"/>
      <c r="AI443" s="12" t="s">
        <v>113</v>
      </c>
      <c r="AJ443" s="12" t="s">
        <v>113</v>
      </c>
      <c r="AK443" s="12" t="s">
        <v>113</v>
      </c>
      <c r="AL443" s="12"/>
      <c r="AM443" s="12" t="s">
        <v>113</v>
      </c>
      <c r="AN443" s="10"/>
      <c r="AO443" s="10"/>
      <c r="AP443" s="10"/>
      <c r="AQ443" s="12"/>
      <c r="AR443" s="12"/>
      <c r="AS443" s="12"/>
      <c r="AT443" s="12"/>
      <c r="AU443" s="10"/>
      <c r="AV443" s="10"/>
      <c r="AW443" s="12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2" t="s">
        <v>113</v>
      </c>
      <c r="CL443" s="10"/>
      <c r="CM443" s="12"/>
      <c r="CN443" s="12" t="s">
        <v>113</v>
      </c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</row>
    <row r="444" spans="1:104" s="11" customFormat="1" ht="21.75" customHeight="1">
      <c r="A444" s="13">
        <v>436</v>
      </c>
      <c r="B444" s="38">
        <v>5185</v>
      </c>
      <c r="C444" s="73" t="s">
        <v>887</v>
      </c>
      <c r="D444" s="28" t="s">
        <v>336</v>
      </c>
      <c r="E444" s="9">
        <v>45761</v>
      </c>
      <c r="F444" s="10"/>
      <c r="G444" s="12" t="s">
        <v>113</v>
      </c>
      <c r="H444" s="10"/>
      <c r="I444" s="10"/>
      <c r="J444" s="10"/>
      <c r="K444" s="10"/>
      <c r="L444" s="10"/>
      <c r="M444" s="10"/>
      <c r="N444" s="10"/>
      <c r="O444" s="10"/>
      <c r="P444" s="12" t="s">
        <v>113</v>
      </c>
      <c r="Q444" s="10"/>
      <c r="R444" s="7"/>
      <c r="S444" s="10"/>
      <c r="T444" s="7"/>
      <c r="U444" s="10"/>
      <c r="V444" s="7"/>
      <c r="W444" s="10"/>
      <c r="X444" s="10"/>
      <c r="Y444" s="10"/>
      <c r="Z444" s="10"/>
      <c r="AA444" s="10"/>
      <c r="AB444" s="10"/>
      <c r="AC444" s="12"/>
      <c r="AD444" s="10"/>
      <c r="AE444" s="10"/>
      <c r="AF444" s="10"/>
      <c r="AG444" s="10"/>
      <c r="AH444" s="12"/>
      <c r="AI444" s="12"/>
      <c r="AJ444" s="12"/>
      <c r="AK444" s="12"/>
      <c r="AL444" s="10"/>
      <c r="AM444" s="12"/>
      <c r="AN444" s="10"/>
      <c r="AO444" s="10"/>
      <c r="AP444" s="10"/>
      <c r="AQ444" s="12"/>
      <c r="AR444" s="12"/>
      <c r="AS444" s="12"/>
      <c r="AT444" s="12"/>
      <c r="AU444" s="10"/>
      <c r="AV444" s="10"/>
      <c r="AW444" s="12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2"/>
      <c r="CN444" s="12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</row>
    <row r="445" spans="1:104" s="11" customFormat="1" ht="21.75" customHeight="1">
      <c r="A445" s="13">
        <v>437</v>
      </c>
      <c r="B445" s="33">
        <v>39547</v>
      </c>
      <c r="C445" s="96" t="s">
        <v>888</v>
      </c>
      <c r="D445" s="19" t="s">
        <v>232</v>
      </c>
      <c r="E445" s="9">
        <v>45761</v>
      </c>
      <c r="F445" s="10"/>
      <c r="G445" s="12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7"/>
      <c r="S445" s="10"/>
      <c r="T445" s="7"/>
      <c r="U445" s="10"/>
      <c r="V445" s="7"/>
      <c r="W445" s="10"/>
      <c r="X445" s="10"/>
      <c r="Y445" s="10"/>
      <c r="Z445" s="10"/>
      <c r="AA445" s="10"/>
      <c r="AB445" s="10"/>
      <c r="AC445" s="12"/>
      <c r="AD445" s="10"/>
      <c r="AE445" s="10"/>
      <c r="AF445" s="10"/>
      <c r="AG445" s="10"/>
      <c r="AH445" s="12"/>
      <c r="AI445" s="12"/>
      <c r="AJ445" s="12"/>
      <c r="AK445" s="12"/>
      <c r="AL445" s="10"/>
      <c r="AM445" s="12"/>
      <c r="AN445" s="10"/>
      <c r="AO445" s="10"/>
      <c r="AP445" s="10"/>
      <c r="AQ445" s="12"/>
      <c r="AR445" s="12"/>
      <c r="AS445" s="12"/>
      <c r="AT445" s="12"/>
      <c r="AU445" s="10"/>
      <c r="AV445" s="10"/>
      <c r="AW445" s="12"/>
      <c r="AX445" s="10"/>
      <c r="AY445" s="10"/>
      <c r="AZ445" s="10"/>
      <c r="BA445" s="10"/>
      <c r="BB445" s="10"/>
      <c r="BC445" s="10"/>
      <c r="BD445" s="10"/>
      <c r="BE445" s="10"/>
      <c r="BF445" s="12" t="s">
        <v>113</v>
      </c>
      <c r="BG445" s="12" t="s">
        <v>113</v>
      </c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2"/>
      <c r="CN445" s="12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</row>
    <row r="446" spans="1:104" s="11" customFormat="1" ht="21.75" customHeight="1">
      <c r="A446" s="13">
        <v>438</v>
      </c>
      <c r="B446" s="33">
        <v>39549</v>
      </c>
      <c r="C446" s="96" t="s">
        <v>889</v>
      </c>
      <c r="D446" s="19" t="s">
        <v>232</v>
      </c>
      <c r="E446" s="9">
        <v>45762</v>
      </c>
      <c r="F446" s="10"/>
      <c r="G446" s="12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7"/>
      <c r="S446" s="10"/>
      <c r="T446" s="7"/>
      <c r="U446" s="10"/>
      <c r="V446" s="7"/>
      <c r="W446" s="10"/>
      <c r="X446" s="10"/>
      <c r="Y446" s="10"/>
      <c r="Z446" s="10"/>
      <c r="AA446" s="10"/>
      <c r="AB446" s="10"/>
      <c r="AC446" s="12"/>
      <c r="AD446" s="10"/>
      <c r="AE446" s="10"/>
      <c r="AF446" s="10"/>
      <c r="AG446" s="10"/>
      <c r="AH446" s="12" t="s">
        <v>113</v>
      </c>
      <c r="AI446" s="12"/>
      <c r="AJ446" s="12"/>
      <c r="AK446" s="12"/>
      <c r="AL446" s="10"/>
      <c r="AM446" s="12"/>
      <c r="AN446" s="10"/>
      <c r="AO446" s="10"/>
      <c r="AP446" s="10"/>
      <c r="AQ446" s="12"/>
      <c r="AR446" s="12"/>
      <c r="AS446" s="12"/>
      <c r="AT446" s="12"/>
      <c r="AU446" s="10"/>
      <c r="AV446" s="10"/>
      <c r="AW446" s="12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2" t="s">
        <v>113</v>
      </c>
      <c r="BI446" s="10"/>
      <c r="BJ446" s="10"/>
      <c r="BK446" s="10"/>
      <c r="BL446" s="10"/>
      <c r="BM446" s="10"/>
      <c r="BN446" s="10"/>
      <c r="BO446" s="12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2"/>
      <c r="CN446" s="12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</row>
    <row r="447" spans="1:104" s="11" customFormat="1" ht="21.75" customHeight="1">
      <c r="A447" s="13">
        <v>439</v>
      </c>
      <c r="B447" s="33">
        <v>5222</v>
      </c>
      <c r="C447" s="39" t="s">
        <v>890</v>
      </c>
      <c r="D447" s="19" t="s">
        <v>299</v>
      </c>
      <c r="E447" s="9">
        <v>45776</v>
      </c>
      <c r="F447" s="10"/>
      <c r="G447" s="12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7"/>
      <c r="S447" s="10"/>
      <c r="T447" s="7"/>
      <c r="U447" s="10"/>
      <c r="V447" s="7"/>
      <c r="W447" s="10"/>
      <c r="X447" s="10"/>
      <c r="Y447" s="10"/>
      <c r="Z447" s="10"/>
      <c r="AA447" s="10"/>
      <c r="AB447" s="10"/>
      <c r="AC447" s="12"/>
      <c r="AD447" s="10"/>
      <c r="AE447" s="10"/>
      <c r="AF447" s="10"/>
      <c r="AG447" s="10"/>
      <c r="AH447" s="12"/>
      <c r="AI447" s="12"/>
      <c r="AJ447" s="12"/>
      <c r="AK447" s="12"/>
      <c r="AL447" s="10"/>
      <c r="AM447" s="12"/>
      <c r="AN447" s="10"/>
      <c r="AO447" s="10"/>
      <c r="AP447" s="10"/>
      <c r="AQ447" s="12"/>
      <c r="AR447" s="12"/>
      <c r="AS447" s="12"/>
      <c r="AT447" s="12"/>
      <c r="AU447" s="10"/>
      <c r="AV447" s="10"/>
      <c r="AW447" s="12"/>
      <c r="AX447" s="10"/>
      <c r="AY447" s="12" t="s">
        <v>113</v>
      </c>
      <c r="AZ447" s="10"/>
      <c r="BA447" s="10"/>
      <c r="BB447" s="12" t="s">
        <v>113</v>
      </c>
      <c r="BC447" s="10"/>
      <c r="BD447" s="10"/>
      <c r="BE447" s="10"/>
      <c r="BF447" s="10"/>
      <c r="BG447" s="10"/>
      <c r="BH447" s="12"/>
      <c r="BI447" s="10"/>
      <c r="BJ447" s="10"/>
      <c r="BK447" s="10"/>
      <c r="BL447" s="10"/>
      <c r="BM447" s="10"/>
      <c r="BN447" s="10"/>
      <c r="BO447" s="12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2"/>
      <c r="CN447" s="12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</row>
    <row r="448" spans="1:104" s="11" customFormat="1" ht="21.75" customHeight="1">
      <c r="A448" s="13">
        <v>440</v>
      </c>
      <c r="B448" s="33">
        <v>5282</v>
      </c>
      <c r="C448" s="96" t="s">
        <v>891</v>
      </c>
      <c r="D448" s="19" t="s">
        <v>299</v>
      </c>
      <c r="E448" s="9">
        <v>45776</v>
      </c>
      <c r="F448" s="10"/>
      <c r="G448" s="12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7"/>
      <c r="S448" s="10"/>
      <c r="T448" s="7"/>
      <c r="U448" s="10"/>
      <c r="V448" s="7"/>
      <c r="W448" s="10"/>
      <c r="X448" s="10"/>
      <c r="Y448" s="10"/>
      <c r="Z448" s="10"/>
      <c r="AA448" s="10"/>
      <c r="AB448" s="10"/>
      <c r="AC448" s="12"/>
      <c r="AD448" s="10"/>
      <c r="AE448" s="10"/>
      <c r="AF448" s="10"/>
      <c r="AG448" s="10"/>
      <c r="AH448" s="12"/>
      <c r="AI448" s="12"/>
      <c r="AJ448" s="12"/>
      <c r="AK448" s="12"/>
      <c r="AL448" s="10"/>
      <c r="AM448" s="12"/>
      <c r="AN448" s="10"/>
      <c r="AO448" s="10"/>
      <c r="AP448" s="10"/>
      <c r="AQ448" s="12"/>
      <c r="AR448" s="12"/>
      <c r="AS448" s="12"/>
      <c r="AT448" s="12"/>
      <c r="AU448" s="10"/>
      <c r="AV448" s="10"/>
      <c r="AW448" s="12"/>
      <c r="AX448" s="10"/>
      <c r="AY448" s="12" t="s">
        <v>113</v>
      </c>
      <c r="AZ448" s="10"/>
      <c r="BA448" s="10"/>
      <c r="BB448" s="12" t="s">
        <v>113</v>
      </c>
      <c r="BC448" s="10"/>
      <c r="BD448" s="10"/>
      <c r="BE448" s="10"/>
      <c r="BF448" s="10"/>
      <c r="BG448" s="10"/>
      <c r="BH448" s="12"/>
      <c r="BI448" s="10"/>
      <c r="BJ448" s="10"/>
      <c r="BK448" s="10"/>
      <c r="BL448" s="10"/>
      <c r="BM448" s="10"/>
      <c r="BN448" s="10"/>
      <c r="BO448" s="12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2"/>
      <c r="CN448" s="12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</row>
    <row r="449" spans="1:104" s="11" customFormat="1" ht="21.75" customHeight="1">
      <c r="A449" s="13">
        <v>441</v>
      </c>
      <c r="B449" s="33">
        <v>5281</v>
      </c>
      <c r="C449" s="39" t="s">
        <v>892</v>
      </c>
      <c r="D449" s="19" t="s">
        <v>299</v>
      </c>
      <c r="E449" s="9">
        <v>45776</v>
      </c>
      <c r="F449" s="10"/>
      <c r="G449" s="12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7"/>
      <c r="S449" s="10"/>
      <c r="T449" s="7"/>
      <c r="U449" s="10"/>
      <c r="V449" s="7"/>
      <c r="W449" s="10"/>
      <c r="X449" s="10"/>
      <c r="Y449" s="10"/>
      <c r="Z449" s="10"/>
      <c r="AA449" s="10"/>
      <c r="AB449" s="10"/>
      <c r="AC449" s="12"/>
      <c r="AD449" s="10"/>
      <c r="AE449" s="10"/>
      <c r="AF449" s="10"/>
      <c r="AG449" s="10"/>
      <c r="AH449" s="12"/>
      <c r="AI449" s="12"/>
      <c r="AJ449" s="12"/>
      <c r="AK449" s="12"/>
      <c r="AL449" s="10"/>
      <c r="AM449" s="12"/>
      <c r="AN449" s="10"/>
      <c r="AO449" s="10"/>
      <c r="AP449" s="10"/>
      <c r="AQ449" s="12"/>
      <c r="AR449" s="12"/>
      <c r="AS449" s="12"/>
      <c r="AT449" s="12"/>
      <c r="AU449" s="10"/>
      <c r="AV449" s="10"/>
      <c r="AW449" s="12"/>
      <c r="AX449" s="10"/>
      <c r="AY449" s="12" t="s">
        <v>113</v>
      </c>
      <c r="AZ449" s="10"/>
      <c r="BA449" s="10"/>
      <c r="BB449" s="12" t="s">
        <v>113</v>
      </c>
      <c r="BC449" s="10"/>
      <c r="BD449" s="10"/>
      <c r="BE449" s="10"/>
      <c r="BF449" s="10"/>
      <c r="BG449" s="10"/>
      <c r="BH449" s="12"/>
      <c r="BI449" s="10"/>
      <c r="BJ449" s="10"/>
      <c r="BK449" s="10"/>
      <c r="BL449" s="10"/>
      <c r="BM449" s="10"/>
      <c r="BN449" s="10"/>
      <c r="BO449" s="12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2"/>
      <c r="CN449" s="12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</row>
    <row r="450" spans="1:104" s="11" customFormat="1" ht="21.75" customHeight="1">
      <c r="A450" s="13">
        <v>442</v>
      </c>
      <c r="B450" s="33">
        <v>4958</v>
      </c>
      <c r="C450" s="96" t="s">
        <v>893</v>
      </c>
      <c r="D450" s="19" t="s">
        <v>393</v>
      </c>
      <c r="E450" s="9">
        <v>45780</v>
      </c>
      <c r="F450" s="10"/>
      <c r="G450" s="12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7"/>
      <c r="S450" s="10"/>
      <c r="T450" s="7"/>
      <c r="U450" s="10"/>
      <c r="V450" s="7"/>
      <c r="W450" s="10"/>
      <c r="X450" s="10"/>
      <c r="Y450" s="10"/>
      <c r="Z450" s="10"/>
      <c r="AA450" s="10"/>
      <c r="AB450" s="10"/>
      <c r="AC450" s="12"/>
      <c r="AD450" s="10"/>
      <c r="AE450" s="10"/>
      <c r="AF450" s="10"/>
      <c r="AG450" s="10"/>
      <c r="AH450" s="12"/>
      <c r="AI450" s="12"/>
      <c r="AJ450" s="12"/>
      <c r="AK450" s="12"/>
      <c r="AL450" s="10"/>
      <c r="AM450" s="12"/>
      <c r="AN450" s="10"/>
      <c r="AO450" s="12" t="s">
        <v>113</v>
      </c>
      <c r="AP450" s="10"/>
      <c r="AQ450" s="12"/>
      <c r="AR450" s="12"/>
      <c r="AS450" s="12"/>
      <c r="AT450" s="12"/>
      <c r="AU450" s="10"/>
      <c r="AV450" s="10"/>
      <c r="AW450" s="12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2"/>
      <c r="BI450" s="10"/>
      <c r="BJ450" s="10"/>
      <c r="BK450" s="10"/>
      <c r="BL450" s="10"/>
      <c r="BM450" s="10"/>
      <c r="BN450" s="10"/>
      <c r="BO450" s="12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2"/>
      <c r="CN450" s="12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</row>
    <row r="451" spans="1:104" s="11" customFormat="1" ht="21.75" customHeight="1">
      <c r="A451" s="13">
        <v>443</v>
      </c>
      <c r="B451" s="33">
        <v>39646</v>
      </c>
      <c r="C451" s="96" t="s">
        <v>894</v>
      </c>
      <c r="D451" s="19" t="s">
        <v>299</v>
      </c>
      <c r="E451" s="9">
        <v>45796</v>
      </c>
      <c r="F451" s="10"/>
      <c r="G451" s="12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7"/>
      <c r="S451" s="10"/>
      <c r="T451" s="7"/>
      <c r="U451" s="10"/>
      <c r="V451" s="7"/>
      <c r="W451" s="10"/>
      <c r="X451" s="10"/>
      <c r="Y451" s="10"/>
      <c r="Z451" s="10"/>
      <c r="AA451" s="10"/>
      <c r="AB451" s="10"/>
      <c r="AC451" s="12"/>
      <c r="AD451" s="10"/>
      <c r="AE451" s="10"/>
      <c r="AF451" s="10"/>
      <c r="AG451" s="10"/>
      <c r="AH451" s="12"/>
      <c r="AI451" s="12"/>
      <c r="AJ451" s="12"/>
      <c r="AK451" s="12"/>
      <c r="AL451" s="10"/>
      <c r="AM451" s="12"/>
      <c r="AN451" s="10"/>
      <c r="AO451" s="10"/>
      <c r="AP451" s="10"/>
      <c r="AQ451" s="12"/>
      <c r="AR451" s="12"/>
      <c r="AS451" s="12"/>
      <c r="AT451" s="12"/>
      <c r="AU451" s="10"/>
      <c r="AV451" s="10"/>
      <c r="AW451" s="12"/>
      <c r="AX451" s="12" t="s">
        <v>113</v>
      </c>
      <c r="AY451" s="10"/>
      <c r="AZ451" s="10"/>
      <c r="BA451" s="10"/>
      <c r="BB451" s="12" t="s">
        <v>113</v>
      </c>
      <c r="BC451" s="10"/>
      <c r="BD451" s="10"/>
      <c r="BE451" s="10"/>
      <c r="BF451" s="10"/>
      <c r="BG451" s="10"/>
      <c r="BH451" s="12"/>
      <c r="BI451" s="10"/>
      <c r="BJ451" s="10"/>
      <c r="BK451" s="10"/>
      <c r="BL451" s="10"/>
      <c r="BM451" s="10"/>
      <c r="BN451" s="10"/>
      <c r="BO451" s="12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2"/>
      <c r="CN451" s="12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</row>
    <row r="452" spans="1:104" s="11" customFormat="1" ht="21.75" customHeight="1">
      <c r="A452" s="13">
        <v>444</v>
      </c>
      <c r="B452" s="33">
        <v>39665</v>
      </c>
      <c r="C452" s="96" t="s">
        <v>895</v>
      </c>
      <c r="D452" s="19" t="s">
        <v>576</v>
      </c>
      <c r="E452" s="9">
        <v>45796</v>
      </c>
      <c r="F452" s="10"/>
      <c r="G452" s="12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7"/>
      <c r="S452" s="10"/>
      <c r="T452" s="7"/>
      <c r="U452" s="10"/>
      <c r="V452" s="7"/>
      <c r="W452" s="10"/>
      <c r="X452" s="10"/>
      <c r="Y452" s="10"/>
      <c r="Z452" s="10"/>
      <c r="AA452" s="10"/>
      <c r="AB452" s="10"/>
      <c r="AC452" s="12"/>
      <c r="AD452" s="10"/>
      <c r="AE452" s="10"/>
      <c r="AF452" s="10"/>
      <c r="AG452" s="10"/>
      <c r="AH452" s="12"/>
      <c r="AI452" s="12" t="s">
        <v>113</v>
      </c>
      <c r="AJ452" s="12"/>
      <c r="AK452" s="12"/>
      <c r="AL452" s="10"/>
      <c r="AM452" s="12"/>
      <c r="AN452" s="10"/>
      <c r="AO452" s="10"/>
      <c r="AP452" s="10"/>
      <c r="AQ452" s="12"/>
      <c r="AR452" s="12"/>
      <c r="AS452" s="12"/>
      <c r="AT452" s="12"/>
      <c r="AU452" s="10"/>
      <c r="AV452" s="10"/>
      <c r="AW452" s="12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2"/>
      <c r="BI452" s="10"/>
      <c r="BJ452" s="10"/>
      <c r="BK452" s="10"/>
      <c r="BL452" s="10"/>
      <c r="BM452" s="10"/>
      <c r="BN452" s="10"/>
      <c r="BO452" s="12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2"/>
      <c r="CN452" s="12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</row>
    <row r="453" spans="1:104" s="11" customFormat="1" ht="21.75" customHeight="1">
      <c r="A453" s="13">
        <v>445</v>
      </c>
      <c r="B453" s="33">
        <v>39722</v>
      </c>
      <c r="C453" s="96" t="s">
        <v>896</v>
      </c>
      <c r="D453" s="19" t="s">
        <v>576</v>
      </c>
      <c r="E453" s="9">
        <v>45862</v>
      </c>
      <c r="F453" s="10"/>
      <c r="G453" s="12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7"/>
      <c r="S453" s="10"/>
      <c r="T453" s="7"/>
      <c r="U453" s="10"/>
      <c r="V453" s="7"/>
      <c r="W453" s="10"/>
      <c r="X453" s="10"/>
      <c r="Y453" s="10"/>
      <c r="Z453" s="10"/>
      <c r="AA453" s="10"/>
      <c r="AB453" s="10"/>
      <c r="AC453" s="12"/>
      <c r="AD453" s="10"/>
      <c r="AE453" s="10"/>
      <c r="AF453" s="10"/>
      <c r="AG453" s="10"/>
      <c r="AH453" s="12"/>
      <c r="AI453" s="12"/>
      <c r="AJ453" s="12"/>
      <c r="AK453" s="12"/>
      <c r="AL453" s="10"/>
      <c r="AM453" s="12"/>
      <c r="AN453" s="10"/>
      <c r="AO453" s="12" t="s">
        <v>113</v>
      </c>
      <c r="AP453" s="10"/>
      <c r="AQ453" s="12"/>
      <c r="AR453" s="12"/>
      <c r="AS453" s="12"/>
      <c r="AT453" s="12"/>
      <c r="AU453" s="12" t="s">
        <v>113</v>
      </c>
      <c r="AV453" s="12" t="s">
        <v>113</v>
      </c>
      <c r="AW453" s="12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2"/>
      <c r="BI453" s="10"/>
      <c r="BJ453" s="10"/>
      <c r="BK453" s="10"/>
      <c r="BL453" s="10"/>
      <c r="BM453" s="10"/>
      <c r="BN453" s="10"/>
      <c r="BO453" s="12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2" t="s">
        <v>113</v>
      </c>
      <c r="CL453" s="10"/>
      <c r="CM453" s="12"/>
      <c r="CN453" s="12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</row>
    <row r="454" spans="1:104" s="11" customFormat="1" ht="21.75" customHeight="1">
      <c r="A454" s="13">
        <v>446</v>
      </c>
      <c r="B454" s="33">
        <v>39731</v>
      </c>
      <c r="C454" s="96" t="s">
        <v>897</v>
      </c>
      <c r="D454" s="19" t="s">
        <v>420</v>
      </c>
      <c r="E454" s="9">
        <v>45830</v>
      </c>
      <c r="F454" s="10"/>
      <c r="G454" s="12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7"/>
      <c r="S454" s="10"/>
      <c r="T454" s="7"/>
      <c r="U454" s="10"/>
      <c r="V454" s="7"/>
      <c r="W454" s="10"/>
      <c r="X454" s="12" t="s">
        <v>113</v>
      </c>
      <c r="Y454" s="10"/>
      <c r="Z454" s="10"/>
      <c r="AA454" s="10"/>
      <c r="AB454" s="10"/>
      <c r="AC454" s="12"/>
      <c r="AD454" s="10"/>
      <c r="AE454" s="10"/>
      <c r="AF454" s="10"/>
      <c r="AG454" s="10"/>
      <c r="AH454" s="12"/>
      <c r="AI454" s="12"/>
      <c r="AJ454" s="12"/>
      <c r="AK454" s="12"/>
      <c r="AL454" s="10"/>
      <c r="AM454" s="12"/>
      <c r="AN454" s="10"/>
      <c r="AO454" s="10"/>
      <c r="AP454" s="10"/>
      <c r="AQ454" s="12"/>
      <c r="AR454" s="12"/>
      <c r="AS454" s="12"/>
      <c r="AT454" s="12"/>
      <c r="AU454" s="10"/>
      <c r="AV454" s="10"/>
      <c r="AW454" s="12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2"/>
      <c r="BI454" s="10"/>
      <c r="BJ454" s="10"/>
      <c r="BK454" s="10"/>
      <c r="BL454" s="10"/>
      <c r="BM454" s="10"/>
      <c r="BN454" s="10"/>
      <c r="BO454" s="12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2"/>
      <c r="CN454" s="12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</row>
    <row r="455" spans="1:104" s="11" customFormat="1" ht="21.75" customHeight="1">
      <c r="A455" s="13">
        <v>447</v>
      </c>
      <c r="B455" s="33">
        <v>39731</v>
      </c>
      <c r="C455" s="38" t="s">
        <v>898</v>
      </c>
      <c r="D455" s="19" t="s">
        <v>336</v>
      </c>
      <c r="E455" s="9">
        <v>45830</v>
      </c>
      <c r="F455" s="10"/>
      <c r="G455" s="12" t="s">
        <v>113</v>
      </c>
      <c r="H455" s="10"/>
      <c r="I455" s="10"/>
      <c r="J455" s="10"/>
      <c r="K455" s="10"/>
      <c r="L455" s="10"/>
      <c r="M455" s="10"/>
      <c r="N455" s="10"/>
      <c r="O455" s="10"/>
      <c r="P455" s="12" t="s">
        <v>113</v>
      </c>
      <c r="Q455" s="12" t="s">
        <v>113</v>
      </c>
      <c r="R455" s="7"/>
      <c r="S455" s="10"/>
      <c r="T455" s="7"/>
      <c r="U455" s="10"/>
      <c r="V455" s="7"/>
      <c r="W455" s="10"/>
      <c r="X455" s="10"/>
      <c r="Y455" s="10"/>
      <c r="Z455" s="10"/>
      <c r="AA455" s="10"/>
      <c r="AB455" s="10"/>
      <c r="AC455" s="12"/>
      <c r="AD455" s="10"/>
      <c r="AE455" s="10"/>
      <c r="AF455" s="10"/>
      <c r="AG455" s="10"/>
      <c r="AH455" s="12"/>
      <c r="AI455" s="12"/>
      <c r="AJ455" s="12"/>
      <c r="AK455" s="12"/>
      <c r="AL455" s="10"/>
      <c r="AM455" s="12"/>
      <c r="AN455" s="10"/>
      <c r="AO455" s="10"/>
      <c r="AP455" s="10"/>
      <c r="AQ455" s="12"/>
      <c r="AR455" s="12"/>
      <c r="AS455" s="12"/>
      <c r="AT455" s="12"/>
      <c r="AU455" s="10"/>
      <c r="AV455" s="10"/>
      <c r="AW455" s="12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2"/>
      <c r="BI455" s="10"/>
      <c r="BJ455" s="10"/>
      <c r="BK455" s="10"/>
      <c r="BL455" s="10"/>
      <c r="BM455" s="10"/>
      <c r="BN455" s="10"/>
      <c r="BO455" s="12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2"/>
      <c r="CN455" s="12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</row>
    <row r="456" spans="1:104" s="11" customFormat="1" ht="21.75" customHeight="1">
      <c r="A456" s="13">
        <v>448</v>
      </c>
      <c r="B456" s="33">
        <v>39666</v>
      </c>
      <c r="C456" s="96" t="s">
        <v>899</v>
      </c>
      <c r="D456" s="19" t="s">
        <v>420</v>
      </c>
      <c r="E456" s="9">
        <v>45830</v>
      </c>
      <c r="F456" s="10"/>
      <c r="G456" s="12" t="s">
        <v>113</v>
      </c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7"/>
      <c r="S456" s="10"/>
      <c r="T456" s="7"/>
      <c r="U456" s="10"/>
      <c r="V456" s="7"/>
      <c r="W456" s="12" t="s">
        <v>113</v>
      </c>
      <c r="X456" s="12" t="s">
        <v>113</v>
      </c>
      <c r="Y456" s="10"/>
      <c r="Z456" s="10"/>
      <c r="AA456" s="10"/>
      <c r="AB456" s="10"/>
      <c r="AC456" s="12"/>
      <c r="AD456" s="10"/>
      <c r="AE456" s="12" t="s">
        <v>113</v>
      </c>
      <c r="AF456" s="12" t="s">
        <v>113</v>
      </c>
      <c r="AG456" s="10"/>
      <c r="AH456" s="12"/>
      <c r="AI456" s="12"/>
      <c r="AJ456" s="12"/>
      <c r="AK456" s="12"/>
      <c r="AL456" s="10"/>
      <c r="AM456" s="12"/>
      <c r="AN456" s="10"/>
      <c r="AO456" s="10"/>
      <c r="AP456" s="10"/>
      <c r="AQ456" s="12"/>
      <c r="AR456" s="12"/>
      <c r="AS456" s="12"/>
      <c r="AT456" s="12"/>
      <c r="AU456" s="10"/>
      <c r="AV456" s="10"/>
      <c r="AW456" s="12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2"/>
      <c r="BI456" s="10"/>
      <c r="BJ456" s="10"/>
      <c r="BK456" s="10"/>
      <c r="BL456" s="10"/>
      <c r="BM456" s="10"/>
      <c r="BN456" s="10"/>
      <c r="BO456" s="12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2"/>
      <c r="CN456" s="12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</row>
    <row r="457" spans="1:104" s="11" customFormat="1" ht="21.75" customHeight="1">
      <c r="A457" s="13">
        <v>449</v>
      </c>
      <c r="B457" s="33">
        <v>39670</v>
      </c>
      <c r="C457" s="96" t="s">
        <v>900</v>
      </c>
      <c r="D457" s="19" t="s">
        <v>420</v>
      </c>
      <c r="E457" s="9">
        <v>45830</v>
      </c>
      <c r="F457" s="10"/>
      <c r="G457" s="12" t="s">
        <v>113</v>
      </c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7"/>
      <c r="S457" s="10"/>
      <c r="T457" s="7"/>
      <c r="U457" s="10"/>
      <c r="V457" s="7"/>
      <c r="W457" s="12" t="s">
        <v>113</v>
      </c>
      <c r="X457" s="12" t="s">
        <v>113</v>
      </c>
      <c r="Y457" s="10"/>
      <c r="Z457" s="10"/>
      <c r="AA457" s="10"/>
      <c r="AB457" s="10"/>
      <c r="AC457" s="12"/>
      <c r="AD457" s="10"/>
      <c r="AE457" s="12" t="s">
        <v>113</v>
      </c>
      <c r="AF457" s="10"/>
      <c r="AG457" s="10"/>
      <c r="AH457" s="12"/>
      <c r="AI457" s="12"/>
      <c r="AJ457" s="12"/>
      <c r="AK457" s="12"/>
      <c r="AL457" s="10"/>
      <c r="AM457" s="12"/>
      <c r="AN457" s="10"/>
      <c r="AO457" s="10"/>
      <c r="AP457" s="10"/>
      <c r="AQ457" s="12"/>
      <c r="AR457" s="12"/>
      <c r="AS457" s="12"/>
      <c r="AT457" s="12"/>
      <c r="AU457" s="10"/>
      <c r="AV457" s="10"/>
      <c r="AW457" s="12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2"/>
      <c r="BI457" s="10"/>
      <c r="BJ457" s="10"/>
      <c r="BK457" s="10"/>
      <c r="BL457" s="10"/>
      <c r="BM457" s="10"/>
      <c r="BN457" s="10"/>
      <c r="BO457" s="12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2"/>
      <c r="CN457" s="12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</row>
    <row r="458" spans="1:104" s="11" customFormat="1" ht="21.75" customHeight="1">
      <c r="A458" s="13">
        <v>450</v>
      </c>
      <c r="B458" s="33">
        <v>39679</v>
      </c>
      <c r="C458" s="96" t="s">
        <v>901</v>
      </c>
      <c r="D458" s="19" t="s">
        <v>420</v>
      </c>
      <c r="E458" s="9">
        <v>45830</v>
      </c>
      <c r="F458" s="10"/>
      <c r="G458" s="12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7"/>
      <c r="S458" s="10"/>
      <c r="T458" s="7"/>
      <c r="U458" s="10"/>
      <c r="V458" s="7"/>
      <c r="W458" s="12" t="s">
        <v>113</v>
      </c>
      <c r="X458" s="12" t="s">
        <v>113</v>
      </c>
      <c r="Y458" s="10"/>
      <c r="Z458" s="10"/>
      <c r="AA458" s="10"/>
      <c r="AB458" s="10"/>
      <c r="AC458" s="12"/>
      <c r="AD458" s="10"/>
      <c r="AE458" s="10"/>
      <c r="AF458" s="10"/>
      <c r="AG458" s="10"/>
      <c r="AH458" s="12"/>
      <c r="AI458" s="12"/>
      <c r="AJ458" s="12"/>
      <c r="AK458" s="12"/>
      <c r="AL458" s="10"/>
      <c r="AM458" s="12"/>
      <c r="AN458" s="10"/>
      <c r="AO458" s="10"/>
      <c r="AP458" s="10"/>
      <c r="AQ458" s="12"/>
      <c r="AR458" s="12"/>
      <c r="AS458" s="12"/>
      <c r="AT458" s="12"/>
      <c r="AU458" s="10"/>
      <c r="AV458" s="10"/>
      <c r="AW458" s="12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2"/>
      <c r="BI458" s="10"/>
      <c r="BJ458" s="10"/>
      <c r="BK458" s="10"/>
      <c r="BL458" s="10"/>
      <c r="BM458" s="10"/>
      <c r="BN458" s="10"/>
      <c r="BO458" s="12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2"/>
      <c r="CN458" s="12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</row>
    <row r="459" spans="1:104" s="11" customFormat="1" ht="21.75" customHeight="1">
      <c r="A459" s="13">
        <v>451</v>
      </c>
      <c r="B459" s="33">
        <v>39805</v>
      </c>
      <c r="C459" s="96" t="s">
        <v>902</v>
      </c>
      <c r="D459" s="19" t="s">
        <v>154</v>
      </c>
      <c r="E459" s="9">
        <v>45830</v>
      </c>
      <c r="F459" s="10"/>
      <c r="G459" s="12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7"/>
      <c r="S459" s="10"/>
      <c r="T459" s="7"/>
      <c r="U459" s="10"/>
      <c r="V459" s="7"/>
      <c r="W459" s="10"/>
      <c r="X459" s="10"/>
      <c r="Y459" s="10"/>
      <c r="Z459" s="10"/>
      <c r="AA459" s="10"/>
      <c r="AB459" s="10"/>
      <c r="AC459" s="12"/>
      <c r="AD459" s="10"/>
      <c r="AE459" s="10"/>
      <c r="AF459" s="10"/>
      <c r="AG459" s="10"/>
      <c r="AH459" s="12"/>
      <c r="AI459" s="12"/>
      <c r="AJ459" s="12"/>
      <c r="AK459" s="12"/>
      <c r="AL459" s="10"/>
      <c r="AM459" s="12"/>
      <c r="AN459" s="10"/>
      <c r="AO459" s="10"/>
      <c r="AP459" s="10"/>
      <c r="AQ459" s="12"/>
      <c r="AR459" s="12"/>
      <c r="AS459" s="12"/>
      <c r="AT459" s="12"/>
      <c r="AU459" s="10"/>
      <c r="AV459" s="10"/>
      <c r="AW459" s="12"/>
      <c r="AX459" s="10"/>
      <c r="AY459" s="10"/>
      <c r="AZ459" s="10"/>
      <c r="BA459" s="10"/>
      <c r="BB459" s="12" t="s">
        <v>113</v>
      </c>
      <c r="BC459" s="10"/>
      <c r="BD459" s="10"/>
      <c r="BE459" s="10"/>
      <c r="BF459" s="10"/>
      <c r="BG459" s="10"/>
      <c r="BH459" s="12"/>
      <c r="BI459" s="10"/>
      <c r="BJ459" s="10"/>
      <c r="BK459" s="10"/>
      <c r="BL459" s="10"/>
      <c r="BM459" s="10"/>
      <c r="BN459" s="10"/>
      <c r="BO459" s="12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2" t="s">
        <v>113</v>
      </c>
      <c r="CK459" s="10"/>
      <c r="CL459" s="10"/>
      <c r="CM459" s="12"/>
      <c r="CN459" s="12"/>
      <c r="CO459" s="10"/>
      <c r="CP459" s="10"/>
      <c r="CQ459" s="10"/>
      <c r="CR459" s="10"/>
      <c r="CS459" s="10"/>
      <c r="CT459" s="10"/>
      <c r="CU459" s="12" t="s">
        <v>113</v>
      </c>
      <c r="CV459" s="10"/>
      <c r="CW459" s="10"/>
      <c r="CX459" s="10"/>
      <c r="CY459" s="10"/>
      <c r="CZ459" s="10"/>
    </row>
    <row r="460" spans="1:104" s="11" customFormat="1" ht="21.75" customHeight="1">
      <c r="A460" s="13">
        <v>452</v>
      </c>
      <c r="B460" s="33">
        <v>39772</v>
      </c>
      <c r="C460" s="96" t="s">
        <v>903</v>
      </c>
      <c r="D460" s="19" t="s">
        <v>154</v>
      </c>
      <c r="E460" s="9">
        <v>45830</v>
      </c>
      <c r="F460" s="10"/>
      <c r="G460" s="12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7"/>
      <c r="S460" s="10"/>
      <c r="T460" s="7"/>
      <c r="U460" s="10"/>
      <c r="V460" s="7"/>
      <c r="W460" s="10"/>
      <c r="X460" s="10"/>
      <c r="Y460" s="10"/>
      <c r="Z460" s="10"/>
      <c r="AA460" s="10"/>
      <c r="AB460" s="10"/>
      <c r="AC460" s="12"/>
      <c r="AD460" s="10"/>
      <c r="AE460" s="10"/>
      <c r="AF460" s="10"/>
      <c r="AG460" s="10"/>
      <c r="AH460" s="12"/>
      <c r="AI460" s="12"/>
      <c r="AJ460" s="12"/>
      <c r="AK460" s="12"/>
      <c r="AL460" s="10"/>
      <c r="AM460" s="12"/>
      <c r="AN460" s="10"/>
      <c r="AO460" s="10"/>
      <c r="AP460" s="10"/>
      <c r="AQ460" s="12"/>
      <c r="AR460" s="12"/>
      <c r="AS460" s="12"/>
      <c r="AT460" s="12"/>
      <c r="AU460" s="10"/>
      <c r="AV460" s="10"/>
      <c r="AW460" s="12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2"/>
      <c r="BI460" s="10"/>
      <c r="BJ460" s="10"/>
      <c r="BK460" s="10"/>
      <c r="BL460" s="10"/>
      <c r="BM460" s="10"/>
      <c r="BN460" s="10"/>
      <c r="BO460" s="12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2" t="s">
        <v>113</v>
      </c>
      <c r="CK460" s="10"/>
      <c r="CL460" s="10"/>
      <c r="CM460" s="12"/>
      <c r="CN460" s="12"/>
      <c r="CO460" s="10"/>
      <c r="CP460" s="10"/>
      <c r="CQ460" s="10"/>
      <c r="CR460" s="10"/>
      <c r="CS460" s="10"/>
      <c r="CT460" s="10"/>
      <c r="CU460" s="12" t="s">
        <v>113</v>
      </c>
      <c r="CV460" s="10"/>
      <c r="CW460" s="10"/>
      <c r="CX460" s="10"/>
      <c r="CY460" s="10"/>
      <c r="CZ460" s="10"/>
    </row>
    <row r="461" spans="1:104" s="11" customFormat="1" ht="21.75" customHeight="1">
      <c r="A461" s="13">
        <v>453</v>
      </c>
      <c r="B461" s="33">
        <v>39847</v>
      </c>
      <c r="C461" s="96" t="s">
        <v>904</v>
      </c>
      <c r="D461" s="19" t="s">
        <v>154</v>
      </c>
      <c r="E461" s="9">
        <v>45830</v>
      </c>
      <c r="F461" s="10"/>
      <c r="G461" s="12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7"/>
      <c r="S461" s="10"/>
      <c r="T461" s="7"/>
      <c r="U461" s="10"/>
      <c r="V461" s="7"/>
      <c r="W461" s="10"/>
      <c r="X461" s="10"/>
      <c r="Y461" s="10"/>
      <c r="Z461" s="10"/>
      <c r="AA461" s="10"/>
      <c r="AB461" s="10"/>
      <c r="AC461" s="12"/>
      <c r="AD461" s="10"/>
      <c r="AE461" s="10"/>
      <c r="AF461" s="10"/>
      <c r="AG461" s="10"/>
      <c r="AH461" s="12"/>
      <c r="AI461" s="12"/>
      <c r="AJ461" s="12"/>
      <c r="AK461" s="12"/>
      <c r="AL461" s="10"/>
      <c r="AM461" s="12"/>
      <c r="AN461" s="10"/>
      <c r="AO461" s="10"/>
      <c r="AP461" s="10"/>
      <c r="AQ461" s="12"/>
      <c r="AR461" s="12"/>
      <c r="AS461" s="12"/>
      <c r="AT461" s="12"/>
      <c r="AU461" s="10"/>
      <c r="AV461" s="10"/>
      <c r="AW461" s="12"/>
      <c r="AX461" s="10"/>
      <c r="AY461" s="10"/>
      <c r="AZ461" s="10"/>
      <c r="BA461" s="10"/>
      <c r="BB461" s="12" t="s">
        <v>113</v>
      </c>
      <c r="BC461" s="10"/>
      <c r="BD461" s="10"/>
      <c r="BE461" s="10"/>
      <c r="BF461" s="10"/>
      <c r="BG461" s="10"/>
      <c r="BH461" s="12"/>
      <c r="BI461" s="10"/>
      <c r="BJ461" s="10"/>
      <c r="BK461" s="10"/>
      <c r="BL461" s="10"/>
      <c r="BM461" s="10"/>
      <c r="BN461" s="10"/>
      <c r="BO461" s="12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2" t="s">
        <v>113</v>
      </c>
      <c r="CK461" s="12" t="s">
        <v>113</v>
      </c>
      <c r="CL461" s="10"/>
      <c r="CM461" s="12"/>
      <c r="CN461" s="12"/>
      <c r="CO461" s="10"/>
      <c r="CP461" s="10"/>
      <c r="CQ461" s="10"/>
      <c r="CR461" s="10"/>
      <c r="CS461" s="10"/>
      <c r="CT461" s="10"/>
      <c r="CU461" s="12" t="s">
        <v>113</v>
      </c>
      <c r="CV461" s="10"/>
      <c r="CW461" s="10"/>
      <c r="CX461" s="10"/>
      <c r="CY461" s="10"/>
      <c r="CZ461" s="10"/>
    </row>
    <row r="462" spans="1:104" s="11" customFormat="1" ht="21.75" customHeight="1">
      <c r="A462" s="13">
        <v>454</v>
      </c>
      <c r="B462" s="33">
        <v>39831</v>
      </c>
      <c r="C462" s="96" t="s">
        <v>905</v>
      </c>
      <c r="D462" s="19" t="s">
        <v>154</v>
      </c>
      <c r="E462" s="9">
        <v>45830</v>
      </c>
      <c r="F462" s="10"/>
      <c r="G462" s="12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7"/>
      <c r="S462" s="10"/>
      <c r="T462" s="7"/>
      <c r="U462" s="10"/>
      <c r="V462" s="7"/>
      <c r="W462" s="10"/>
      <c r="X462" s="10"/>
      <c r="Y462" s="10"/>
      <c r="Z462" s="10"/>
      <c r="AA462" s="10"/>
      <c r="AB462" s="10"/>
      <c r="AC462" s="12"/>
      <c r="AD462" s="10"/>
      <c r="AE462" s="10"/>
      <c r="AF462" s="10"/>
      <c r="AG462" s="10"/>
      <c r="AH462" s="12"/>
      <c r="AI462" s="12"/>
      <c r="AJ462" s="12"/>
      <c r="AK462" s="12"/>
      <c r="AL462" s="10"/>
      <c r="AM462" s="12"/>
      <c r="AN462" s="10"/>
      <c r="AO462" s="10"/>
      <c r="AP462" s="10"/>
      <c r="AQ462" s="12"/>
      <c r="AR462" s="12"/>
      <c r="AS462" s="12"/>
      <c r="AT462" s="12"/>
      <c r="AU462" s="10"/>
      <c r="AV462" s="10"/>
      <c r="AW462" s="12"/>
      <c r="AX462" s="10"/>
      <c r="AY462" s="10"/>
      <c r="AZ462" s="10"/>
      <c r="BA462" s="10"/>
      <c r="BB462" s="12" t="s">
        <v>113</v>
      </c>
      <c r="BC462" s="10"/>
      <c r="BD462" s="10"/>
      <c r="BE462" s="10"/>
      <c r="BF462" s="10"/>
      <c r="BG462" s="10"/>
      <c r="BH462" s="12"/>
      <c r="BI462" s="10"/>
      <c r="BJ462" s="10"/>
      <c r="BK462" s="10"/>
      <c r="BL462" s="10"/>
      <c r="BM462" s="10"/>
      <c r="BN462" s="10"/>
      <c r="BO462" s="12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2" t="s">
        <v>113</v>
      </c>
      <c r="CK462" s="12" t="s">
        <v>113</v>
      </c>
      <c r="CL462" s="10"/>
      <c r="CM462" s="12"/>
      <c r="CN462" s="12"/>
      <c r="CO462" s="10"/>
      <c r="CP462" s="10"/>
      <c r="CQ462" s="10"/>
      <c r="CR462" s="10"/>
      <c r="CS462" s="10"/>
      <c r="CT462" s="10"/>
      <c r="CU462" s="12" t="s">
        <v>113</v>
      </c>
      <c r="CV462" s="10"/>
      <c r="CW462" s="10"/>
      <c r="CX462" s="10"/>
      <c r="CY462" s="10"/>
      <c r="CZ462" s="10"/>
    </row>
    <row r="463" spans="1:104" s="11" customFormat="1" ht="21.75" customHeight="1">
      <c r="A463" s="13">
        <v>455</v>
      </c>
      <c r="B463" s="33">
        <v>39753</v>
      </c>
      <c r="C463" s="96" t="s">
        <v>906</v>
      </c>
      <c r="D463" s="19" t="s">
        <v>154</v>
      </c>
      <c r="E463" s="9">
        <v>45830</v>
      </c>
      <c r="F463" s="10"/>
      <c r="G463" s="12" t="s">
        <v>113</v>
      </c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7"/>
      <c r="S463" s="10"/>
      <c r="T463" s="7"/>
      <c r="U463" s="10"/>
      <c r="V463" s="7"/>
      <c r="W463" s="10"/>
      <c r="X463" s="10"/>
      <c r="Y463" s="10"/>
      <c r="Z463" s="10"/>
      <c r="AA463" s="10"/>
      <c r="AB463" s="10"/>
      <c r="AC463" s="12"/>
      <c r="AD463" s="10"/>
      <c r="AE463" s="10"/>
      <c r="AF463" s="10"/>
      <c r="AG463" s="10"/>
      <c r="AH463" s="12"/>
      <c r="AI463" s="12"/>
      <c r="AJ463" s="12"/>
      <c r="AK463" s="12"/>
      <c r="AL463" s="10"/>
      <c r="AM463" s="12"/>
      <c r="AN463" s="10"/>
      <c r="AO463" s="10"/>
      <c r="AP463" s="10"/>
      <c r="AQ463" s="12"/>
      <c r="AR463" s="12"/>
      <c r="AS463" s="12"/>
      <c r="AT463" s="12"/>
      <c r="AU463" s="10"/>
      <c r="AV463" s="10"/>
      <c r="AW463" s="12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2"/>
      <c r="BI463" s="10"/>
      <c r="BJ463" s="10"/>
      <c r="BK463" s="10"/>
      <c r="BL463" s="10"/>
      <c r="BM463" s="10"/>
      <c r="BN463" s="10"/>
      <c r="BO463" s="12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2" t="s">
        <v>113</v>
      </c>
      <c r="CK463" s="12" t="s">
        <v>113</v>
      </c>
      <c r="CL463" s="10"/>
      <c r="CM463" s="12"/>
      <c r="CN463" s="12"/>
      <c r="CO463" s="10"/>
      <c r="CP463" s="10"/>
      <c r="CQ463" s="10"/>
      <c r="CR463" s="12" t="s">
        <v>113</v>
      </c>
      <c r="CS463" s="12" t="s">
        <v>113</v>
      </c>
      <c r="CT463" s="12" t="s">
        <v>113</v>
      </c>
      <c r="CU463" s="10"/>
      <c r="CV463" s="10"/>
      <c r="CW463" s="10"/>
      <c r="CX463" s="10"/>
      <c r="CY463" s="10"/>
      <c r="CZ463" s="10"/>
    </row>
    <row r="464" spans="1:104" s="11" customFormat="1" ht="21.75" customHeight="1">
      <c r="A464" s="13">
        <v>456</v>
      </c>
      <c r="B464" s="33">
        <v>39635</v>
      </c>
      <c r="C464" s="33" t="s">
        <v>907</v>
      </c>
      <c r="D464" s="19" t="s">
        <v>262</v>
      </c>
      <c r="E464" s="9">
        <v>45833</v>
      </c>
      <c r="F464" s="10"/>
      <c r="G464" s="12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7"/>
      <c r="S464" s="10"/>
      <c r="T464" s="7"/>
      <c r="U464" s="10"/>
      <c r="V464" s="7"/>
      <c r="W464" s="10"/>
      <c r="X464" s="10"/>
      <c r="Y464" s="10"/>
      <c r="Z464" s="10"/>
      <c r="AA464" s="10"/>
      <c r="AB464" s="10"/>
      <c r="AC464" s="12"/>
      <c r="AD464" s="10"/>
      <c r="AE464" s="10"/>
      <c r="AF464" s="10"/>
      <c r="AG464" s="10"/>
      <c r="AH464" s="12"/>
      <c r="AI464" s="12" t="s">
        <v>113</v>
      </c>
      <c r="AJ464" s="12" t="s">
        <v>113</v>
      </c>
      <c r="AK464" s="12"/>
      <c r="AL464" s="10"/>
      <c r="AM464" s="12"/>
      <c r="AN464" s="10"/>
      <c r="AO464" s="10"/>
      <c r="AP464" s="10"/>
      <c r="AQ464" s="12"/>
      <c r="AR464" s="12"/>
      <c r="AS464" s="12"/>
      <c r="AT464" s="12"/>
      <c r="AU464" s="10"/>
      <c r="AV464" s="10"/>
      <c r="AW464" s="12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2"/>
      <c r="BI464" s="10"/>
      <c r="BJ464" s="10"/>
      <c r="BK464" s="10"/>
      <c r="BL464" s="10"/>
      <c r="BM464" s="10"/>
      <c r="BN464" s="10"/>
      <c r="BO464" s="12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2" t="s">
        <v>113</v>
      </c>
      <c r="CN464" s="12" t="s">
        <v>113</v>
      </c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</row>
    <row r="465" spans="1:104" s="11" customFormat="1" ht="21.75" customHeight="1">
      <c r="A465" s="13">
        <v>457</v>
      </c>
      <c r="B465" s="33">
        <v>39732</v>
      </c>
      <c r="C465" s="33" t="s">
        <v>908</v>
      </c>
      <c r="D465" s="19" t="s">
        <v>262</v>
      </c>
      <c r="E465" s="9">
        <v>45833</v>
      </c>
      <c r="F465" s="10"/>
      <c r="G465" s="12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7"/>
      <c r="S465" s="10"/>
      <c r="T465" s="7"/>
      <c r="U465" s="10"/>
      <c r="V465" s="7"/>
      <c r="W465" s="10"/>
      <c r="X465" s="10"/>
      <c r="Y465" s="10"/>
      <c r="Z465" s="10"/>
      <c r="AA465" s="10"/>
      <c r="AB465" s="10"/>
      <c r="AC465" s="12"/>
      <c r="AD465" s="10"/>
      <c r="AE465" s="10"/>
      <c r="AF465" s="10"/>
      <c r="AG465" s="10"/>
      <c r="AH465" s="12"/>
      <c r="AI465" s="12"/>
      <c r="AJ465" s="12"/>
      <c r="AK465" s="12"/>
      <c r="AL465" s="10"/>
      <c r="AM465" s="12"/>
      <c r="AN465" s="10"/>
      <c r="AO465" s="10"/>
      <c r="AP465" s="10"/>
      <c r="AQ465" s="12"/>
      <c r="AR465" s="12"/>
      <c r="AS465" s="12"/>
      <c r="AT465" s="12"/>
      <c r="AU465" s="10"/>
      <c r="AV465" s="10"/>
      <c r="AW465" s="12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2"/>
      <c r="BI465" s="10"/>
      <c r="BJ465" s="10"/>
      <c r="BK465" s="10"/>
      <c r="BL465" s="10"/>
      <c r="BM465" s="10"/>
      <c r="BN465" s="10"/>
      <c r="BO465" s="12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2" t="s">
        <v>113</v>
      </c>
      <c r="CN465" s="12" t="s">
        <v>113</v>
      </c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</row>
    <row r="466" spans="1:104" s="11" customFormat="1" ht="21.75" customHeight="1">
      <c r="A466" s="13">
        <v>458</v>
      </c>
      <c r="B466" s="33">
        <v>39733</v>
      </c>
      <c r="C466" s="33" t="s">
        <v>909</v>
      </c>
      <c r="D466" s="19" t="s">
        <v>262</v>
      </c>
      <c r="E466" s="9">
        <v>45833</v>
      </c>
      <c r="F466" s="10"/>
      <c r="G466" s="12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7"/>
      <c r="S466" s="10"/>
      <c r="T466" s="7"/>
      <c r="U466" s="10"/>
      <c r="V466" s="7"/>
      <c r="W466" s="10"/>
      <c r="X466" s="10"/>
      <c r="Y466" s="10"/>
      <c r="Z466" s="10"/>
      <c r="AA466" s="10"/>
      <c r="AB466" s="10"/>
      <c r="AC466" s="12"/>
      <c r="AD466" s="10"/>
      <c r="AE466" s="10"/>
      <c r="AF466" s="10"/>
      <c r="AG466" s="10"/>
      <c r="AH466" s="12"/>
      <c r="AI466" s="12"/>
      <c r="AJ466" s="12"/>
      <c r="AK466" s="12"/>
      <c r="AL466" s="10"/>
      <c r="AM466" s="12"/>
      <c r="AN466" s="10"/>
      <c r="AO466" s="10"/>
      <c r="AP466" s="10"/>
      <c r="AQ466" s="12"/>
      <c r="AR466" s="12"/>
      <c r="AS466" s="12"/>
      <c r="AT466" s="12"/>
      <c r="AU466" s="10"/>
      <c r="AV466" s="10"/>
      <c r="AW466" s="12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2"/>
      <c r="BI466" s="10"/>
      <c r="BJ466" s="10"/>
      <c r="BK466" s="10"/>
      <c r="BL466" s="10"/>
      <c r="BM466" s="10"/>
      <c r="BN466" s="10"/>
      <c r="BO466" s="12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2" t="s">
        <v>113</v>
      </c>
      <c r="CN466" s="12" t="s">
        <v>113</v>
      </c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</row>
    <row r="467" spans="1:104" s="11" customFormat="1" ht="21.75" customHeight="1">
      <c r="A467" s="13">
        <v>459</v>
      </c>
      <c r="B467" s="33">
        <v>39822</v>
      </c>
      <c r="C467" s="96" t="s">
        <v>575</v>
      </c>
      <c r="D467" s="19" t="s">
        <v>262</v>
      </c>
      <c r="E467" s="9">
        <v>45833</v>
      </c>
      <c r="F467" s="10"/>
      <c r="G467" s="12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7"/>
      <c r="S467" s="10"/>
      <c r="T467" s="7"/>
      <c r="U467" s="10"/>
      <c r="V467" s="7"/>
      <c r="W467" s="10"/>
      <c r="X467" s="10"/>
      <c r="Y467" s="10"/>
      <c r="Z467" s="10"/>
      <c r="AA467" s="10"/>
      <c r="AB467" s="10"/>
      <c r="AC467" s="12"/>
      <c r="AD467" s="10"/>
      <c r="AE467" s="10"/>
      <c r="AF467" s="10"/>
      <c r="AG467" s="10"/>
      <c r="AH467" s="12"/>
      <c r="AI467" s="12"/>
      <c r="AJ467" s="12"/>
      <c r="AK467" s="12"/>
      <c r="AL467" s="10"/>
      <c r="AM467" s="12"/>
      <c r="AN467" s="10"/>
      <c r="AO467" s="10"/>
      <c r="AP467" s="10"/>
      <c r="AQ467" s="12"/>
      <c r="AR467" s="12"/>
      <c r="AS467" s="12"/>
      <c r="AT467" s="12"/>
      <c r="AU467" s="10"/>
      <c r="AV467" s="10"/>
      <c r="AW467" s="12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2"/>
      <c r="BI467" s="10"/>
      <c r="BJ467" s="10"/>
      <c r="BK467" s="10"/>
      <c r="BL467" s="10"/>
      <c r="BM467" s="10"/>
      <c r="BN467" s="10"/>
      <c r="BO467" s="12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2" t="s">
        <v>113</v>
      </c>
      <c r="CN467" s="12" t="s">
        <v>113</v>
      </c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</row>
    <row r="468" spans="1:104" s="11" customFormat="1" ht="21.75" customHeight="1">
      <c r="A468" s="13">
        <v>460</v>
      </c>
      <c r="B468" s="33">
        <v>39870</v>
      </c>
      <c r="C468" s="96" t="s">
        <v>910</v>
      </c>
      <c r="D468" s="19" t="s">
        <v>262</v>
      </c>
      <c r="E468" s="9">
        <v>45833</v>
      </c>
      <c r="F468" s="10"/>
      <c r="G468" s="12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7"/>
      <c r="S468" s="10"/>
      <c r="T468" s="7"/>
      <c r="U468" s="10"/>
      <c r="V468" s="7"/>
      <c r="W468" s="10"/>
      <c r="X468" s="10"/>
      <c r="Y468" s="10"/>
      <c r="Z468" s="10"/>
      <c r="AA468" s="10"/>
      <c r="AB468" s="10"/>
      <c r="AC468" s="12"/>
      <c r="AD468" s="10"/>
      <c r="AE468" s="10"/>
      <c r="AF468" s="10"/>
      <c r="AG468" s="10"/>
      <c r="AH468" s="12"/>
      <c r="AI468" s="12"/>
      <c r="AJ468" s="12"/>
      <c r="AK468" s="12"/>
      <c r="AL468" s="10"/>
      <c r="AM468" s="12"/>
      <c r="AN468" s="10"/>
      <c r="AO468" s="10"/>
      <c r="AP468" s="10"/>
      <c r="AQ468" s="12"/>
      <c r="AR468" s="12"/>
      <c r="AS468" s="12"/>
      <c r="AT468" s="12"/>
      <c r="AU468" s="10"/>
      <c r="AV468" s="10"/>
      <c r="AW468" s="12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2"/>
      <c r="BI468" s="10"/>
      <c r="BJ468" s="10"/>
      <c r="BK468" s="10"/>
      <c r="BL468" s="10"/>
      <c r="BM468" s="10"/>
      <c r="BN468" s="10"/>
      <c r="BO468" s="12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2"/>
      <c r="CN468" s="12" t="s">
        <v>113</v>
      </c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</row>
    <row r="469" spans="1:104" s="11" customFormat="1" ht="21.75" customHeight="1">
      <c r="A469" s="13">
        <v>461</v>
      </c>
      <c r="B469" s="33">
        <v>39826</v>
      </c>
      <c r="C469" s="96" t="s">
        <v>911</v>
      </c>
      <c r="D469" s="19" t="s">
        <v>262</v>
      </c>
      <c r="E469" s="9">
        <v>45833</v>
      </c>
      <c r="F469" s="10"/>
      <c r="G469" s="12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7"/>
      <c r="S469" s="10"/>
      <c r="T469" s="7"/>
      <c r="U469" s="10"/>
      <c r="V469" s="7"/>
      <c r="W469" s="10"/>
      <c r="X469" s="10"/>
      <c r="Y469" s="10"/>
      <c r="Z469" s="10"/>
      <c r="AA469" s="10"/>
      <c r="AB469" s="10"/>
      <c r="AC469" s="12"/>
      <c r="AD469" s="10"/>
      <c r="AE469" s="10"/>
      <c r="AF469" s="10"/>
      <c r="AG469" s="10"/>
      <c r="AH469" s="12"/>
      <c r="AI469" s="12"/>
      <c r="AJ469" s="12"/>
      <c r="AK469" s="12" t="s">
        <v>113</v>
      </c>
      <c r="AL469" s="10"/>
      <c r="AM469" s="12"/>
      <c r="AN469" s="10"/>
      <c r="AO469" s="10"/>
      <c r="AP469" s="10"/>
      <c r="AQ469" s="12"/>
      <c r="AR469" s="12"/>
      <c r="AS469" s="12"/>
      <c r="AT469" s="12"/>
      <c r="AU469" s="10"/>
      <c r="AV469" s="10"/>
      <c r="AW469" s="12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2"/>
      <c r="BI469" s="10"/>
      <c r="BJ469" s="10"/>
      <c r="BK469" s="10"/>
      <c r="BL469" s="10"/>
      <c r="BM469" s="10"/>
      <c r="BN469" s="10"/>
      <c r="BO469" s="12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2"/>
      <c r="CN469" s="12" t="s">
        <v>113</v>
      </c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</row>
    <row r="470" spans="1:104" s="11" customFormat="1" ht="21.75" customHeight="1">
      <c r="A470" s="13">
        <v>462</v>
      </c>
      <c r="B470" s="33">
        <v>39723</v>
      </c>
      <c r="C470" s="96" t="s">
        <v>912</v>
      </c>
      <c r="D470" s="19" t="s">
        <v>262</v>
      </c>
      <c r="E470" s="9">
        <v>45843</v>
      </c>
      <c r="F470" s="10"/>
      <c r="G470" s="12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7"/>
      <c r="S470" s="10"/>
      <c r="T470" s="7"/>
      <c r="U470" s="10"/>
      <c r="V470" s="7"/>
      <c r="W470" s="10"/>
      <c r="X470" s="10"/>
      <c r="Y470" s="10"/>
      <c r="Z470" s="10"/>
      <c r="AA470" s="10"/>
      <c r="AB470" s="10"/>
      <c r="AC470" s="12"/>
      <c r="AD470" s="10"/>
      <c r="AE470" s="10"/>
      <c r="AF470" s="10"/>
      <c r="AG470" s="10"/>
      <c r="AH470" s="12"/>
      <c r="AI470" s="12"/>
      <c r="AJ470" s="12"/>
      <c r="AK470" s="12"/>
      <c r="AL470" s="10"/>
      <c r="AM470" s="12"/>
      <c r="AN470" s="10"/>
      <c r="AO470" s="10"/>
      <c r="AP470" s="10"/>
      <c r="AQ470" s="12"/>
      <c r="AR470" s="12"/>
      <c r="AS470" s="12"/>
      <c r="AT470" s="12"/>
      <c r="AU470" s="10"/>
      <c r="AV470" s="10"/>
      <c r="AW470" s="12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2"/>
      <c r="BI470" s="10"/>
      <c r="BJ470" s="10"/>
      <c r="BK470" s="10"/>
      <c r="BL470" s="10"/>
      <c r="BM470" s="10"/>
      <c r="BN470" s="10"/>
      <c r="BO470" s="12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2"/>
      <c r="CN470" s="12" t="s">
        <v>113</v>
      </c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</row>
    <row r="471" spans="1:104" s="11" customFormat="1" ht="21.75" customHeight="1">
      <c r="A471" s="13">
        <v>463</v>
      </c>
      <c r="B471" s="33">
        <v>39868</v>
      </c>
      <c r="C471" s="96" t="s">
        <v>677</v>
      </c>
      <c r="D471" s="19" t="s">
        <v>262</v>
      </c>
      <c r="E471" s="9">
        <v>45843</v>
      </c>
      <c r="F471" s="10"/>
      <c r="G471" s="12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7"/>
      <c r="S471" s="10"/>
      <c r="T471" s="7"/>
      <c r="U471" s="10"/>
      <c r="V471" s="7"/>
      <c r="W471" s="10"/>
      <c r="X471" s="10"/>
      <c r="Y471" s="10"/>
      <c r="Z471" s="10"/>
      <c r="AA471" s="10"/>
      <c r="AB471" s="10"/>
      <c r="AC471" s="12"/>
      <c r="AD471" s="10"/>
      <c r="AE471" s="10"/>
      <c r="AF471" s="10"/>
      <c r="AG471" s="10"/>
      <c r="AH471" s="12"/>
      <c r="AI471" s="12"/>
      <c r="AJ471" s="12"/>
      <c r="AK471" s="12"/>
      <c r="AL471" s="10"/>
      <c r="AM471" s="12"/>
      <c r="AN471" s="10"/>
      <c r="AO471" s="10"/>
      <c r="AP471" s="10"/>
      <c r="AQ471" s="12"/>
      <c r="AR471" s="12"/>
      <c r="AS471" s="12"/>
      <c r="AT471" s="12"/>
      <c r="AU471" s="10"/>
      <c r="AV471" s="10"/>
      <c r="AW471" s="12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2"/>
      <c r="BI471" s="10"/>
      <c r="BJ471" s="10"/>
      <c r="BK471" s="10"/>
      <c r="BL471" s="10"/>
      <c r="BM471" s="10"/>
      <c r="BN471" s="10"/>
      <c r="BO471" s="12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2"/>
      <c r="CN471" s="12" t="s">
        <v>113</v>
      </c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</row>
    <row r="472" spans="1:104" s="11" customFormat="1" ht="21.75" customHeight="1">
      <c r="A472" s="13">
        <v>464</v>
      </c>
      <c r="B472" s="33">
        <v>39810</v>
      </c>
      <c r="C472" s="96" t="s">
        <v>913</v>
      </c>
      <c r="D472" s="19" t="s">
        <v>262</v>
      </c>
      <c r="E472" s="9">
        <v>45843</v>
      </c>
      <c r="F472" s="10"/>
      <c r="G472" s="12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7"/>
      <c r="S472" s="10"/>
      <c r="T472" s="7"/>
      <c r="U472" s="10"/>
      <c r="V472" s="7"/>
      <c r="W472" s="10"/>
      <c r="X472" s="10"/>
      <c r="Y472" s="10"/>
      <c r="Z472" s="10"/>
      <c r="AA472" s="10"/>
      <c r="AB472" s="10"/>
      <c r="AC472" s="12"/>
      <c r="AD472" s="10"/>
      <c r="AE472" s="10"/>
      <c r="AF472" s="10"/>
      <c r="AG472" s="10"/>
      <c r="AH472" s="12"/>
      <c r="AI472" s="12" t="s">
        <v>113</v>
      </c>
      <c r="AJ472" s="12" t="s">
        <v>113</v>
      </c>
      <c r="AK472" s="12"/>
      <c r="AL472" s="10"/>
      <c r="AM472" s="12" t="s">
        <v>113</v>
      </c>
      <c r="AN472" s="10"/>
      <c r="AO472" s="10"/>
      <c r="AP472" s="10"/>
      <c r="AQ472" s="12"/>
      <c r="AR472" s="12"/>
      <c r="AS472" s="12"/>
      <c r="AT472" s="12"/>
      <c r="AU472" s="10"/>
      <c r="AV472" s="10"/>
      <c r="AW472" s="12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2"/>
      <c r="BI472" s="10"/>
      <c r="BJ472" s="10"/>
      <c r="BK472" s="10"/>
      <c r="BL472" s="10"/>
      <c r="BM472" s="10"/>
      <c r="BN472" s="10"/>
      <c r="BO472" s="12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2"/>
      <c r="CN472" s="12" t="s">
        <v>113</v>
      </c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</row>
    <row r="473" spans="1:104" s="11" customFormat="1" ht="21.75" customHeight="1">
      <c r="A473" s="13">
        <v>465</v>
      </c>
      <c r="B473" s="33">
        <v>39625</v>
      </c>
      <c r="C473" s="96" t="s">
        <v>914</v>
      </c>
      <c r="D473" s="19" t="s">
        <v>262</v>
      </c>
      <c r="E473" s="9">
        <v>45843</v>
      </c>
      <c r="F473" s="10"/>
      <c r="G473" s="12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7"/>
      <c r="S473" s="10"/>
      <c r="T473" s="7"/>
      <c r="U473" s="10"/>
      <c r="V473" s="7"/>
      <c r="W473" s="10"/>
      <c r="X473" s="10"/>
      <c r="Y473" s="10"/>
      <c r="Z473" s="10"/>
      <c r="AA473" s="10"/>
      <c r="AB473" s="10"/>
      <c r="AC473" s="12"/>
      <c r="AD473" s="10"/>
      <c r="AE473" s="10"/>
      <c r="AF473" s="10"/>
      <c r="AG473" s="10"/>
      <c r="AH473" s="12"/>
      <c r="AI473" s="12" t="s">
        <v>113</v>
      </c>
      <c r="AJ473" s="12" t="s">
        <v>113</v>
      </c>
      <c r="AK473" s="12"/>
      <c r="AL473" s="10"/>
      <c r="AM473" s="12"/>
      <c r="AN473" s="10"/>
      <c r="AO473" s="10"/>
      <c r="AP473" s="10"/>
      <c r="AQ473" s="12"/>
      <c r="AR473" s="12"/>
      <c r="AS473" s="12"/>
      <c r="AT473" s="12"/>
      <c r="AU473" s="10"/>
      <c r="AV473" s="10"/>
      <c r="AW473" s="12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2"/>
      <c r="BI473" s="10"/>
      <c r="BJ473" s="10"/>
      <c r="BK473" s="10"/>
      <c r="BL473" s="10"/>
      <c r="BM473" s="10"/>
      <c r="BN473" s="10"/>
      <c r="BO473" s="12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2"/>
      <c r="CN473" s="12" t="s">
        <v>113</v>
      </c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</row>
    <row r="474" spans="1:104" s="11" customFormat="1" ht="21.75" customHeight="1">
      <c r="A474" s="13">
        <v>466</v>
      </c>
      <c r="B474" s="33">
        <v>39825</v>
      </c>
      <c r="C474" s="96" t="s">
        <v>915</v>
      </c>
      <c r="D474" s="19" t="s">
        <v>262</v>
      </c>
      <c r="E474" s="9">
        <v>45844</v>
      </c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7"/>
      <c r="S474" s="10"/>
      <c r="T474" s="7"/>
      <c r="U474" s="10"/>
      <c r="V474" s="7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2"/>
      <c r="AI474" s="12"/>
      <c r="AJ474" s="12"/>
      <c r="AK474" s="12"/>
      <c r="AL474" s="10"/>
      <c r="AM474" s="12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2"/>
      <c r="CN474" s="12" t="s">
        <v>113</v>
      </c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</row>
    <row r="475" spans="1:104" s="11" customFormat="1" ht="21.75" customHeight="1">
      <c r="A475" s="13">
        <v>467</v>
      </c>
      <c r="B475" s="33">
        <v>39725</v>
      </c>
      <c r="C475" s="96" t="s">
        <v>916</v>
      </c>
      <c r="D475" s="19" t="s">
        <v>262</v>
      </c>
      <c r="E475" s="9">
        <v>45844</v>
      </c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7"/>
      <c r="S475" s="10"/>
      <c r="T475" s="7"/>
      <c r="U475" s="10"/>
      <c r="V475" s="7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2"/>
      <c r="AI475" s="12"/>
      <c r="AJ475" s="12" t="s">
        <v>113</v>
      </c>
      <c r="AK475" s="12"/>
      <c r="AL475" s="10"/>
      <c r="AM475" s="12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2"/>
      <c r="CN475" s="12" t="s">
        <v>113</v>
      </c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</row>
    <row r="476" spans="1:104" s="11" customFormat="1" ht="21.75" customHeight="1">
      <c r="A476" s="13">
        <v>468</v>
      </c>
      <c r="B476" s="33">
        <v>39623</v>
      </c>
      <c r="C476" s="96" t="s">
        <v>917</v>
      </c>
      <c r="D476" s="19" t="s">
        <v>262</v>
      </c>
      <c r="E476" s="9">
        <v>45844</v>
      </c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7"/>
      <c r="S476" s="10"/>
      <c r="T476" s="7"/>
      <c r="U476" s="10"/>
      <c r="V476" s="7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2" t="s">
        <v>113</v>
      </c>
      <c r="AI476" s="12"/>
      <c r="AJ476" s="12"/>
      <c r="AK476" s="12"/>
      <c r="AL476" s="10"/>
      <c r="AM476" s="12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2"/>
      <c r="CN476" s="12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</row>
    <row r="477" spans="1:104" s="11" customFormat="1" ht="21" customHeight="1">
      <c r="A477" s="13">
        <v>469</v>
      </c>
      <c r="B477" s="33">
        <v>39445</v>
      </c>
      <c r="C477" s="38" t="s">
        <v>824</v>
      </c>
      <c r="D477" s="19" t="s">
        <v>262</v>
      </c>
      <c r="E477" s="9">
        <v>45844</v>
      </c>
      <c r="F477" s="10"/>
      <c r="G477" s="12" t="s">
        <v>113</v>
      </c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7"/>
      <c r="S477" s="10"/>
      <c r="T477" s="7"/>
      <c r="U477" s="10"/>
      <c r="V477" s="7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2"/>
      <c r="AI477" s="12" t="s">
        <v>113</v>
      </c>
      <c r="AJ477" s="12" t="s">
        <v>113</v>
      </c>
      <c r="AK477" s="12"/>
      <c r="AL477" s="10"/>
      <c r="AM477" s="12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2"/>
      <c r="CN477" s="12" t="s">
        <v>113</v>
      </c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</row>
    <row r="478" spans="1:104" s="11" customFormat="1" ht="21.75" customHeight="1">
      <c r="A478" s="13">
        <v>470</v>
      </c>
      <c r="B478" s="35" t="s">
        <v>918</v>
      </c>
      <c r="C478" s="36" t="s">
        <v>919</v>
      </c>
      <c r="D478" s="18" t="s">
        <v>420</v>
      </c>
      <c r="E478" s="9">
        <v>45853</v>
      </c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7"/>
      <c r="S478" s="10"/>
      <c r="T478" s="7"/>
      <c r="U478" s="10"/>
      <c r="V478" s="7"/>
      <c r="W478" s="10"/>
      <c r="X478" s="10"/>
      <c r="Y478" s="12" t="s">
        <v>113</v>
      </c>
      <c r="Z478" s="10"/>
      <c r="AA478" s="10"/>
      <c r="AB478" s="10"/>
      <c r="AC478" s="10"/>
      <c r="AD478" s="10"/>
      <c r="AE478" s="10"/>
      <c r="AF478" s="10"/>
      <c r="AG478" s="10"/>
      <c r="AH478" s="12"/>
      <c r="AI478" s="12"/>
      <c r="AJ478" s="12"/>
      <c r="AK478" s="12"/>
      <c r="AL478" s="10"/>
      <c r="AM478" s="12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2"/>
      <c r="CN478" s="12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</row>
    <row r="479" spans="1:104" s="11" customFormat="1" ht="21.75" customHeight="1">
      <c r="A479" s="13">
        <v>471</v>
      </c>
      <c r="B479" s="35" t="s">
        <v>920</v>
      </c>
      <c r="C479" s="36" t="s">
        <v>921</v>
      </c>
      <c r="D479" s="18" t="s">
        <v>420</v>
      </c>
      <c r="E479" s="9">
        <v>45853</v>
      </c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7"/>
      <c r="S479" s="10"/>
      <c r="T479" s="7"/>
      <c r="U479" s="10"/>
      <c r="V479" s="7"/>
      <c r="W479" s="10"/>
      <c r="X479" s="10"/>
      <c r="Y479" s="10"/>
      <c r="Z479" s="10"/>
      <c r="AA479" s="10"/>
      <c r="AB479" s="12" t="s">
        <v>113</v>
      </c>
      <c r="AC479" s="10"/>
      <c r="AD479" s="10"/>
      <c r="AE479" s="10"/>
      <c r="AF479" s="10"/>
      <c r="AG479" s="10"/>
      <c r="AH479" s="12"/>
      <c r="AI479" s="12"/>
      <c r="AJ479" s="12"/>
      <c r="AK479" s="12"/>
      <c r="AL479" s="10"/>
      <c r="AM479" s="12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2"/>
      <c r="CN479" s="12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</row>
    <row r="480" spans="1:104" s="11" customFormat="1" ht="21.75" customHeight="1">
      <c r="A480" s="13">
        <v>472</v>
      </c>
      <c r="B480" s="97" t="s">
        <v>922</v>
      </c>
      <c r="C480" s="98" t="s">
        <v>923</v>
      </c>
      <c r="D480" s="18" t="s">
        <v>420</v>
      </c>
      <c r="E480" s="9">
        <v>45853</v>
      </c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7"/>
      <c r="S480" s="10"/>
      <c r="T480" s="7"/>
      <c r="U480" s="10"/>
      <c r="V480" s="7"/>
      <c r="W480" s="10"/>
      <c r="X480" s="10"/>
      <c r="Y480" s="12" t="s">
        <v>113</v>
      </c>
      <c r="Z480" s="10"/>
      <c r="AA480" s="10"/>
      <c r="AB480" s="10"/>
      <c r="AC480" s="10"/>
      <c r="AD480" s="10"/>
      <c r="AE480" s="10"/>
      <c r="AF480" s="10"/>
      <c r="AG480" s="10"/>
      <c r="AH480" s="12"/>
      <c r="AI480" s="12"/>
      <c r="AJ480" s="12"/>
      <c r="AK480" s="12"/>
      <c r="AL480" s="10"/>
      <c r="AM480" s="12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2"/>
      <c r="CN480" s="12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</row>
    <row r="481" spans="1:104" s="11" customFormat="1" ht="21.75" customHeight="1">
      <c r="A481" s="13">
        <v>473</v>
      </c>
      <c r="B481" s="35" t="s">
        <v>924</v>
      </c>
      <c r="C481" s="36" t="s">
        <v>925</v>
      </c>
      <c r="D481" s="18" t="s">
        <v>420</v>
      </c>
      <c r="E481" s="9">
        <v>45853</v>
      </c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7"/>
      <c r="S481" s="10"/>
      <c r="T481" s="7"/>
      <c r="U481" s="10"/>
      <c r="V481" s="7"/>
      <c r="W481" s="10"/>
      <c r="X481" s="10"/>
      <c r="Y481" s="12" t="s">
        <v>113</v>
      </c>
      <c r="Z481" s="10"/>
      <c r="AA481" s="10"/>
      <c r="AB481" s="10"/>
      <c r="AC481" s="10"/>
      <c r="AD481" s="10"/>
      <c r="AE481" s="10"/>
      <c r="AF481" s="10"/>
      <c r="AG481" s="10"/>
      <c r="AH481" s="12"/>
      <c r="AI481" s="12"/>
      <c r="AJ481" s="12"/>
      <c r="AK481" s="12"/>
      <c r="AL481" s="10"/>
      <c r="AM481" s="12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2"/>
      <c r="CN481" s="12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</row>
    <row r="482" spans="1:104" s="11" customFormat="1" ht="21.75" customHeight="1">
      <c r="A482" s="13">
        <v>474</v>
      </c>
      <c r="B482" s="35" t="s">
        <v>926</v>
      </c>
      <c r="C482" s="36" t="s">
        <v>927</v>
      </c>
      <c r="D482" s="18" t="s">
        <v>420</v>
      </c>
      <c r="E482" s="9">
        <v>45853</v>
      </c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7"/>
      <c r="S482" s="10"/>
      <c r="T482" s="7"/>
      <c r="U482" s="10"/>
      <c r="V482" s="7"/>
      <c r="W482" s="10"/>
      <c r="X482" s="10"/>
      <c r="Y482" s="12" t="s">
        <v>113</v>
      </c>
      <c r="Z482" s="10"/>
      <c r="AA482" s="10"/>
      <c r="AB482" s="10"/>
      <c r="AC482" s="10"/>
      <c r="AD482" s="10"/>
      <c r="AE482" s="10"/>
      <c r="AF482" s="10"/>
      <c r="AG482" s="10"/>
      <c r="AH482" s="12"/>
      <c r="AI482" s="12"/>
      <c r="AJ482" s="12"/>
      <c r="AK482" s="12"/>
      <c r="AL482" s="10"/>
      <c r="AM482" s="12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2"/>
      <c r="CN482" s="12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</row>
    <row r="483" spans="1:104" s="11" customFormat="1" ht="21.75" customHeight="1">
      <c r="A483" s="13">
        <v>475</v>
      </c>
      <c r="B483" s="35" t="s">
        <v>928</v>
      </c>
      <c r="C483" s="36" t="s">
        <v>929</v>
      </c>
      <c r="D483" s="18" t="s">
        <v>420</v>
      </c>
      <c r="E483" s="9">
        <v>45853</v>
      </c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7"/>
      <c r="S483" s="10"/>
      <c r="T483" s="7"/>
      <c r="U483" s="10"/>
      <c r="V483" s="7"/>
      <c r="W483" s="12" t="s">
        <v>113</v>
      </c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2"/>
      <c r="AI483" s="12"/>
      <c r="AJ483" s="12"/>
      <c r="AK483" s="12"/>
      <c r="AL483" s="10"/>
      <c r="AM483" s="12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2"/>
      <c r="CN483" s="12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</row>
    <row r="484" spans="1:104" s="11" customFormat="1" ht="21.75" customHeight="1">
      <c r="A484" s="13">
        <v>476</v>
      </c>
      <c r="B484" s="35" t="s">
        <v>930</v>
      </c>
      <c r="C484" s="36" t="s">
        <v>931</v>
      </c>
      <c r="D484" s="18" t="s">
        <v>420</v>
      </c>
      <c r="E484" s="9">
        <v>45853</v>
      </c>
      <c r="F484" s="10"/>
      <c r="G484" s="12" t="s">
        <v>113</v>
      </c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7"/>
      <c r="S484" s="10"/>
      <c r="T484" s="7"/>
      <c r="U484" s="10"/>
      <c r="V484" s="7"/>
      <c r="W484" s="10"/>
      <c r="X484" s="10"/>
      <c r="Y484" s="10"/>
      <c r="Z484" s="10"/>
      <c r="AA484" s="10"/>
      <c r="AB484" s="10"/>
      <c r="AC484" s="10"/>
      <c r="AD484" s="10"/>
      <c r="AE484" s="12" t="s">
        <v>113</v>
      </c>
      <c r="AF484" s="10"/>
      <c r="AG484" s="10"/>
      <c r="AH484" s="12"/>
      <c r="AI484" s="12"/>
      <c r="AJ484" s="12"/>
      <c r="AK484" s="12"/>
      <c r="AL484" s="10"/>
      <c r="AM484" s="12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2"/>
      <c r="CN484" s="12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</row>
    <row r="485" spans="1:104" s="11" customFormat="1" ht="21.75" customHeight="1">
      <c r="A485" s="13">
        <v>477</v>
      </c>
      <c r="B485" s="35" t="s">
        <v>932</v>
      </c>
      <c r="C485" s="36" t="s">
        <v>933</v>
      </c>
      <c r="D485" s="18" t="s">
        <v>420</v>
      </c>
      <c r="E485" s="9">
        <v>45853</v>
      </c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7"/>
      <c r="S485" s="10"/>
      <c r="T485" s="7"/>
      <c r="U485" s="10"/>
      <c r="V485" s="7"/>
      <c r="W485" s="10"/>
      <c r="X485" s="10"/>
      <c r="Y485" s="12" t="s">
        <v>113</v>
      </c>
      <c r="Z485" s="10"/>
      <c r="AA485" s="10"/>
      <c r="AB485" s="10"/>
      <c r="AC485" s="10"/>
      <c r="AD485" s="10"/>
      <c r="AE485" s="10"/>
      <c r="AF485" s="10"/>
      <c r="AG485" s="10"/>
      <c r="AH485" s="12"/>
      <c r="AI485" s="12"/>
      <c r="AJ485" s="12"/>
      <c r="AK485" s="12"/>
      <c r="AL485" s="10"/>
      <c r="AM485" s="12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2"/>
      <c r="CN485" s="12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</row>
    <row r="486" spans="1:104" s="11" customFormat="1" ht="21.75" customHeight="1">
      <c r="A486" s="13">
        <v>478</v>
      </c>
      <c r="B486" s="35" t="s">
        <v>934</v>
      </c>
      <c r="C486" s="36" t="s">
        <v>935</v>
      </c>
      <c r="D486" s="18" t="s">
        <v>420</v>
      </c>
      <c r="E486" s="9">
        <v>45853</v>
      </c>
      <c r="F486" s="10"/>
      <c r="G486" s="12" t="s">
        <v>113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7"/>
      <c r="S486" s="10"/>
      <c r="T486" s="7"/>
      <c r="U486" s="10"/>
      <c r="V486" s="7"/>
      <c r="W486" s="12" t="s">
        <v>113</v>
      </c>
      <c r="X486" s="12" t="s">
        <v>113</v>
      </c>
      <c r="Y486" s="12"/>
      <c r="Z486" s="12" t="s">
        <v>113</v>
      </c>
      <c r="AA486" s="10"/>
      <c r="AB486" s="10"/>
      <c r="AC486" s="10"/>
      <c r="AD486" s="10"/>
      <c r="AE486" s="10"/>
      <c r="AF486" s="10"/>
      <c r="AG486" s="10"/>
      <c r="AH486" s="12"/>
      <c r="AI486" s="12"/>
      <c r="AJ486" s="12"/>
      <c r="AK486" s="12"/>
      <c r="AL486" s="10"/>
      <c r="AM486" s="12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2"/>
      <c r="CN486" s="12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</row>
    <row r="487" spans="1:104" s="11" customFormat="1" ht="21.75" customHeight="1">
      <c r="A487" s="13">
        <v>479</v>
      </c>
      <c r="B487" s="35" t="s">
        <v>936</v>
      </c>
      <c r="C487" s="36" t="s">
        <v>937</v>
      </c>
      <c r="D487" s="18" t="s">
        <v>420</v>
      </c>
      <c r="E487" s="9">
        <v>45853</v>
      </c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7"/>
      <c r="S487" s="10"/>
      <c r="T487" s="7"/>
      <c r="U487" s="10"/>
      <c r="V487" s="7"/>
      <c r="W487" s="10"/>
      <c r="X487" s="10"/>
      <c r="Y487" s="10"/>
      <c r="Z487" s="10"/>
      <c r="AA487" s="10"/>
      <c r="AB487" s="12" t="s">
        <v>113</v>
      </c>
      <c r="AC487" s="10"/>
      <c r="AD487" s="10"/>
      <c r="AE487" s="12" t="s">
        <v>113</v>
      </c>
      <c r="AF487" s="10"/>
      <c r="AG487" s="10"/>
      <c r="AH487" s="12"/>
      <c r="AI487" s="12"/>
      <c r="AJ487" s="12"/>
      <c r="AK487" s="12"/>
      <c r="AL487" s="10"/>
      <c r="AM487" s="12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2"/>
      <c r="CN487" s="12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</row>
    <row r="488" spans="1:104" s="11" customFormat="1" ht="21.75" customHeight="1">
      <c r="A488" s="13">
        <v>480</v>
      </c>
      <c r="B488" s="35" t="s">
        <v>938</v>
      </c>
      <c r="C488" s="36" t="s">
        <v>939</v>
      </c>
      <c r="D488" s="18" t="s">
        <v>420</v>
      </c>
      <c r="E488" s="9">
        <v>45853</v>
      </c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7"/>
      <c r="S488" s="10"/>
      <c r="T488" s="7"/>
      <c r="U488" s="10"/>
      <c r="V488" s="7"/>
      <c r="W488" s="10"/>
      <c r="X488" s="12" t="s">
        <v>113</v>
      </c>
      <c r="Y488" s="12" t="s">
        <v>113</v>
      </c>
      <c r="Z488" s="12" t="s">
        <v>113</v>
      </c>
      <c r="AA488" s="10"/>
      <c r="AB488" s="10"/>
      <c r="AC488" s="10"/>
      <c r="AD488" s="10"/>
      <c r="AE488" s="10"/>
      <c r="AF488" s="10"/>
      <c r="AG488" s="10"/>
      <c r="AH488" s="12"/>
      <c r="AI488" s="12"/>
      <c r="AJ488" s="12"/>
      <c r="AK488" s="12"/>
      <c r="AL488" s="10"/>
      <c r="AM488" s="12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2"/>
      <c r="CN488" s="12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</row>
    <row r="489" spans="1:104" s="11" customFormat="1" ht="21.75" customHeight="1">
      <c r="A489" s="13"/>
      <c r="B489" s="33">
        <v>39737</v>
      </c>
      <c r="C489" s="96" t="s">
        <v>940</v>
      </c>
      <c r="D489" s="34" t="s">
        <v>576</v>
      </c>
      <c r="E489" s="9">
        <v>45862</v>
      </c>
      <c r="F489" s="10"/>
      <c r="G489" s="12" t="s">
        <v>113</v>
      </c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7"/>
      <c r="S489" s="10"/>
      <c r="T489" s="7"/>
      <c r="U489" s="10"/>
      <c r="V489" s="7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2"/>
      <c r="AI489" s="12"/>
      <c r="AJ489" s="12" t="s">
        <v>113</v>
      </c>
      <c r="AK489" s="12"/>
      <c r="AL489" s="10"/>
      <c r="AM489" s="12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2"/>
      <c r="CN489" s="12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</row>
    <row r="490" spans="1:104" s="11" customFormat="1" ht="21.75" customHeight="1">
      <c r="A490" s="13"/>
      <c r="B490" s="35" t="s">
        <v>941</v>
      </c>
      <c r="C490" s="36" t="s">
        <v>942</v>
      </c>
      <c r="D490" s="37" t="s">
        <v>420</v>
      </c>
      <c r="E490" s="9">
        <v>45864</v>
      </c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7"/>
      <c r="S490" s="10"/>
      <c r="T490" s="7"/>
      <c r="U490" s="10"/>
      <c r="V490" s="7"/>
      <c r="W490" s="10"/>
      <c r="X490" s="12" t="s">
        <v>113</v>
      </c>
      <c r="Y490" s="12" t="s">
        <v>113</v>
      </c>
      <c r="Z490" s="10"/>
      <c r="AA490" s="10"/>
      <c r="AB490" s="10"/>
      <c r="AC490" s="10"/>
      <c r="AD490" s="10"/>
      <c r="AE490" s="10"/>
      <c r="AF490" s="10"/>
      <c r="AG490" s="10"/>
      <c r="AH490" s="12"/>
      <c r="AI490" s="12"/>
      <c r="AJ490" s="12"/>
      <c r="AK490" s="12"/>
      <c r="AL490" s="10"/>
      <c r="AM490" s="12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2"/>
      <c r="CN490" s="12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</row>
    <row r="491" spans="1:104" s="11" customFormat="1" ht="21.75" customHeight="1">
      <c r="A491" s="13"/>
      <c r="B491" s="35" t="s">
        <v>943</v>
      </c>
      <c r="C491" s="36" t="s">
        <v>944</v>
      </c>
      <c r="D491" s="37" t="s">
        <v>420</v>
      </c>
      <c r="E491" s="9">
        <v>45864</v>
      </c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7"/>
      <c r="S491" s="10"/>
      <c r="T491" s="7"/>
      <c r="U491" s="10"/>
      <c r="V491" s="7"/>
      <c r="W491" s="10"/>
      <c r="X491" s="10"/>
      <c r="Y491" s="12" t="s">
        <v>113</v>
      </c>
      <c r="Z491" s="10"/>
      <c r="AA491" s="10"/>
      <c r="AB491" s="10"/>
      <c r="AC491" s="10"/>
      <c r="AD491" s="10"/>
      <c r="AE491" s="10"/>
      <c r="AF491" s="10"/>
      <c r="AG491" s="10"/>
      <c r="AH491" s="12"/>
      <c r="AI491" s="12"/>
      <c r="AJ491" s="12"/>
      <c r="AK491" s="12"/>
      <c r="AL491" s="10"/>
      <c r="AM491" s="12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2"/>
      <c r="CN491" s="12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</row>
    <row r="492" spans="1:104" s="11" customFormat="1" ht="21.75" customHeight="1">
      <c r="A492" s="13"/>
      <c r="B492" s="35" t="s">
        <v>945</v>
      </c>
      <c r="C492" s="36" t="s">
        <v>946</v>
      </c>
      <c r="D492" s="37" t="s">
        <v>420</v>
      </c>
      <c r="E492" s="9">
        <v>45864</v>
      </c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7"/>
      <c r="S492" s="10"/>
      <c r="T492" s="7"/>
      <c r="U492" s="10"/>
      <c r="V492" s="7"/>
      <c r="W492" s="10"/>
      <c r="X492" s="10"/>
      <c r="Y492" s="12" t="s">
        <v>113</v>
      </c>
      <c r="Z492" s="10"/>
      <c r="AA492" s="10"/>
      <c r="AB492" s="10"/>
      <c r="AC492" s="10"/>
      <c r="AD492" s="10"/>
      <c r="AE492" s="10"/>
      <c r="AF492" s="10"/>
      <c r="AG492" s="10"/>
      <c r="AH492" s="12"/>
      <c r="AI492" s="12"/>
      <c r="AJ492" s="12"/>
      <c r="AK492" s="12"/>
      <c r="AL492" s="10"/>
      <c r="AM492" s="12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2"/>
      <c r="CN492" s="12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</row>
    <row r="493" spans="1:104" s="11" customFormat="1" ht="21.75" customHeight="1">
      <c r="A493" s="13"/>
      <c r="B493" s="35" t="s">
        <v>947</v>
      </c>
      <c r="C493" s="36" t="s">
        <v>948</v>
      </c>
      <c r="D493" s="37" t="s">
        <v>420</v>
      </c>
      <c r="E493" s="9">
        <v>45864</v>
      </c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7"/>
      <c r="S493" s="10"/>
      <c r="T493" s="7"/>
      <c r="U493" s="10"/>
      <c r="V493" s="7"/>
      <c r="W493" s="10"/>
      <c r="X493" s="10"/>
      <c r="Y493" s="10"/>
      <c r="Z493" s="10"/>
      <c r="AA493" s="10"/>
      <c r="AB493" s="12" t="s">
        <v>113</v>
      </c>
      <c r="AC493" s="10"/>
      <c r="AD493" s="10"/>
      <c r="AE493" s="10"/>
      <c r="AF493" s="10"/>
      <c r="AG493" s="10"/>
      <c r="AH493" s="12"/>
      <c r="AI493" s="12"/>
      <c r="AJ493" s="12"/>
      <c r="AK493" s="12"/>
      <c r="AL493" s="10"/>
      <c r="AM493" s="12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2"/>
      <c r="CN493" s="12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</row>
    <row r="494" spans="1:104" s="11" customFormat="1" ht="21.75" customHeight="1">
      <c r="A494" s="13"/>
      <c r="B494" s="35" t="s">
        <v>949</v>
      </c>
      <c r="C494" s="38" t="s">
        <v>950</v>
      </c>
      <c r="D494" s="37" t="s">
        <v>420</v>
      </c>
      <c r="E494" s="9">
        <v>45864</v>
      </c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7"/>
      <c r="S494" s="10"/>
      <c r="T494" s="7"/>
      <c r="U494" s="10"/>
      <c r="V494" s="7"/>
      <c r="W494" s="10"/>
      <c r="X494" s="10"/>
      <c r="Y494" s="10"/>
      <c r="Z494" s="10"/>
      <c r="AA494" s="10"/>
      <c r="AB494" s="12" t="s">
        <v>113</v>
      </c>
      <c r="AC494" s="10"/>
      <c r="AD494" s="10"/>
      <c r="AE494" s="10"/>
      <c r="AF494" s="10"/>
      <c r="AG494" s="10"/>
      <c r="AH494" s="12"/>
      <c r="AI494" s="12"/>
      <c r="AJ494" s="12"/>
      <c r="AK494" s="12"/>
      <c r="AL494" s="10"/>
      <c r="AM494" s="12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2"/>
      <c r="CN494" s="12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</row>
    <row r="495" spans="1:104" s="11" customFormat="1" ht="21.75" customHeight="1">
      <c r="A495" s="13"/>
      <c r="B495" s="35" t="s">
        <v>951</v>
      </c>
      <c r="C495" s="36" t="s">
        <v>952</v>
      </c>
      <c r="D495" s="37" t="s">
        <v>420</v>
      </c>
      <c r="E495" s="9">
        <v>45864</v>
      </c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7"/>
      <c r="S495" s="10"/>
      <c r="T495" s="7"/>
      <c r="U495" s="10"/>
      <c r="V495" s="7"/>
      <c r="W495" s="10"/>
      <c r="X495" s="12" t="s">
        <v>113</v>
      </c>
      <c r="Y495" s="12" t="s">
        <v>113</v>
      </c>
      <c r="Z495" s="10"/>
      <c r="AA495" s="10"/>
      <c r="AB495" s="10"/>
      <c r="AC495" s="10"/>
      <c r="AD495" s="10"/>
      <c r="AE495" s="10"/>
      <c r="AF495" s="10"/>
      <c r="AG495" s="10"/>
      <c r="AH495" s="12"/>
      <c r="AI495" s="12"/>
      <c r="AJ495" s="12"/>
      <c r="AK495" s="12"/>
      <c r="AL495" s="10"/>
      <c r="AM495" s="12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2"/>
      <c r="CN495" s="12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</row>
    <row r="496" spans="1:104" s="11" customFormat="1" ht="21.75" customHeight="1">
      <c r="A496" s="13"/>
      <c r="B496" s="35" t="s">
        <v>953</v>
      </c>
      <c r="C496" s="36" t="s">
        <v>954</v>
      </c>
      <c r="D496" s="37" t="s">
        <v>420</v>
      </c>
      <c r="E496" s="9">
        <v>45864</v>
      </c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7"/>
      <c r="S496" s="10"/>
      <c r="T496" s="7"/>
      <c r="U496" s="10"/>
      <c r="V496" s="7"/>
      <c r="W496" s="12" t="s">
        <v>113</v>
      </c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2"/>
      <c r="AI496" s="12"/>
      <c r="AJ496" s="12"/>
      <c r="AK496" s="12"/>
      <c r="AL496" s="10"/>
      <c r="AM496" s="12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2"/>
      <c r="CN496" s="12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</row>
    <row r="497" spans="1:104" s="11" customFormat="1" ht="21.75" customHeight="1">
      <c r="A497" s="13"/>
      <c r="B497" s="35" t="s">
        <v>955</v>
      </c>
      <c r="C497" s="38" t="s">
        <v>956</v>
      </c>
      <c r="D497" s="37" t="s">
        <v>420</v>
      </c>
      <c r="E497" s="9">
        <v>45864</v>
      </c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7"/>
      <c r="S497" s="10"/>
      <c r="T497" s="7"/>
      <c r="U497" s="10"/>
      <c r="V497" s="7"/>
      <c r="W497" s="10"/>
      <c r="X497" s="12" t="s">
        <v>113</v>
      </c>
      <c r="Y497" s="10"/>
      <c r="Z497" s="10"/>
      <c r="AA497" s="12" t="s">
        <v>113</v>
      </c>
      <c r="AB497" s="12" t="s">
        <v>113</v>
      </c>
      <c r="AC497" s="10"/>
      <c r="AD497" s="10"/>
      <c r="AE497" s="10"/>
      <c r="AF497" s="10"/>
      <c r="AG497" s="10"/>
      <c r="AH497" s="12"/>
      <c r="AI497" s="12"/>
      <c r="AJ497" s="12"/>
      <c r="AK497" s="12"/>
      <c r="AL497" s="10"/>
      <c r="AM497" s="12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2"/>
      <c r="CN497" s="12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</row>
    <row r="498" spans="1:104" s="11" customFormat="1" ht="21.75" customHeight="1">
      <c r="A498" s="13"/>
      <c r="B498" s="35" t="s">
        <v>957</v>
      </c>
      <c r="C498" s="36" t="s">
        <v>958</v>
      </c>
      <c r="D498" s="37" t="s">
        <v>420</v>
      </c>
      <c r="E498" s="9">
        <v>45864</v>
      </c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7"/>
      <c r="S498" s="10"/>
      <c r="T498" s="7"/>
      <c r="U498" s="10"/>
      <c r="V498" s="7"/>
      <c r="W498" s="10"/>
      <c r="X498" s="10"/>
      <c r="Y498" s="10"/>
      <c r="Z498" s="10"/>
      <c r="AA498" s="10"/>
      <c r="AB498" s="10"/>
      <c r="AC498" s="10"/>
      <c r="AD498" s="10"/>
      <c r="AE498" s="12" t="s">
        <v>113</v>
      </c>
      <c r="AF498" s="12" t="s">
        <v>113</v>
      </c>
      <c r="AG498" s="10"/>
      <c r="AH498" s="12"/>
      <c r="AI498" s="12"/>
      <c r="AJ498" s="12"/>
      <c r="AK498" s="12"/>
      <c r="AL498" s="10"/>
      <c r="AM498" s="12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2"/>
      <c r="CN498" s="12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</row>
    <row r="499" spans="1:104" s="11" customFormat="1" ht="21.75" customHeight="1">
      <c r="A499" s="13"/>
      <c r="B499" s="35">
        <v>5287</v>
      </c>
      <c r="C499" s="86" t="s">
        <v>959</v>
      </c>
      <c r="D499" s="37" t="s">
        <v>225</v>
      </c>
      <c r="E499" s="9">
        <v>45868</v>
      </c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7"/>
      <c r="S499" s="10"/>
      <c r="T499" s="7"/>
      <c r="U499" s="10"/>
      <c r="V499" s="7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2" t="s">
        <v>113</v>
      </c>
      <c r="AI499" s="12"/>
      <c r="AJ499" s="12"/>
      <c r="AK499" s="12"/>
      <c r="AL499" s="10"/>
      <c r="AM499" s="12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2" t="s">
        <v>113</v>
      </c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2"/>
      <c r="CN499" s="12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</row>
    <row r="500" spans="1:104" s="11" customFormat="1" ht="21.75" customHeight="1">
      <c r="A500" s="13"/>
      <c r="B500" s="35">
        <v>39463</v>
      </c>
      <c r="C500" s="86" t="s">
        <v>960</v>
      </c>
      <c r="D500" s="37" t="s">
        <v>232</v>
      </c>
      <c r="E500" s="9">
        <v>45868</v>
      </c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7"/>
      <c r="S500" s="10"/>
      <c r="T500" s="7"/>
      <c r="U500" s="10"/>
      <c r="V500" s="7"/>
      <c r="W500" s="10"/>
      <c r="X500" s="10"/>
      <c r="Y500" s="10"/>
      <c r="Z500" s="10"/>
      <c r="AA500" s="10"/>
      <c r="AB500" s="10"/>
      <c r="AC500" s="12" t="s">
        <v>113</v>
      </c>
      <c r="AD500" s="10"/>
      <c r="AE500" s="10"/>
      <c r="AF500" s="10"/>
      <c r="AG500" s="10"/>
      <c r="AH500" s="12"/>
      <c r="AI500" s="12"/>
      <c r="AJ500" s="12"/>
      <c r="AK500" s="12"/>
      <c r="AL500" s="10"/>
      <c r="AM500" s="12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2" t="s">
        <v>113</v>
      </c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2"/>
      <c r="CN500" s="12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</row>
    <row r="501" spans="1:104" s="11" customFormat="1" ht="21.75" customHeight="1">
      <c r="A501" s="13"/>
      <c r="B501" s="33">
        <v>39427</v>
      </c>
      <c r="C501" s="38" t="s">
        <v>961</v>
      </c>
      <c r="D501" s="37" t="s">
        <v>232</v>
      </c>
      <c r="E501" s="9">
        <v>45871</v>
      </c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7"/>
      <c r="S501" s="10"/>
      <c r="T501" s="7"/>
      <c r="U501" s="10"/>
      <c r="V501" s="7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2"/>
      <c r="AI501" s="12"/>
      <c r="AJ501" s="12"/>
      <c r="AK501" s="12"/>
      <c r="AL501" s="10"/>
      <c r="AM501" s="12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2" t="s">
        <v>113</v>
      </c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2"/>
      <c r="CN501" s="12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</row>
    <row r="502" spans="1:104" s="11" customFormat="1" ht="21.75" customHeight="1">
      <c r="A502" s="13"/>
      <c r="B502" s="33">
        <v>39626</v>
      </c>
      <c r="C502" s="96" t="s">
        <v>962</v>
      </c>
      <c r="D502" s="37" t="s">
        <v>232</v>
      </c>
      <c r="E502" s="9">
        <v>45871</v>
      </c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7"/>
      <c r="S502" s="10"/>
      <c r="T502" s="7"/>
      <c r="U502" s="10"/>
      <c r="V502" s="7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2"/>
      <c r="AI502" s="12"/>
      <c r="AJ502" s="12"/>
      <c r="AK502" s="12"/>
      <c r="AL502" s="10"/>
      <c r="AM502" s="12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2" t="s">
        <v>113</v>
      </c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2"/>
      <c r="CN502" s="12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</row>
    <row r="503" spans="1:104" s="11" customFormat="1" ht="21.75" customHeight="1">
      <c r="A503" s="13"/>
      <c r="B503" s="33">
        <v>39548</v>
      </c>
      <c r="C503" s="96" t="s">
        <v>963</v>
      </c>
      <c r="D503" s="37" t="s">
        <v>232</v>
      </c>
      <c r="E503" s="9">
        <v>45871</v>
      </c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7"/>
      <c r="S503" s="10"/>
      <c r="T503" s="7"/>
      <c r="U503" s="10"/>
      <c r="V503" s="7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2" t="s">
        <v>113</v>
      </c>
      <c r="AI503" s="12"/>
      <c r="AJ503" s="12"/>
      <c r="AK503" s="12"/>
      <c r="AL503" s="10"/>
      <c r="AM503" s="12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2" t="s">
        <v>113</v>
      </c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2"/>
      <c r="CN503" s="12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</row>
    <row r="504" spans="1:104" s="11" customFormat="1" ht="21.75" customHeight="1">
      <c r="A504" s="13"/>
      <c r="B504" s="33">
        <v>39648</v>
      </c>
      <c r="C504" s="96" t="s">
        <v>964</v>
      </c>
      <c r="D504" s="37" t="s">
        <v>232</v>
      </c>
      <c r="E504" s="9">
        <v>45871</v>
      </c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7"/>
      <c r="S504" s="10"/>
      <c r="T504" s="7"/>
      <c r="U504" s="10"/>
      <c r="V504" s="7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2"/>
      <c r="AI504" s="12"/>
      <c r="AJ504" s="12"/>
      <c r="AK504" s="12"/>
      <c r="AL504" s="10"/>
      <c r="AM504" s="12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2" t="s">
        <v>113</v>
      </c>
      <c r="BH504" s="10"/>
      <c r="BI504" s="10"/>
      <c r="BJ504" s="10"/>
      <c r="BK504" s="10"/>
      <c r="BL504" s="10"/>
      <c r="BM504" s="10"/>
      <c r="BN504" s="10"/>
      <c r="BO504" s="10"/>
      <c r="BP504" s="10"/>
      <c r="BQ504" s="12" t="s">
        <v>113</v>
      </c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2"/>
      <c r="CN504" s="12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</row>
    <row r="505" spans="1:104" s="11" customFormat="1" ht="21.75" customHeight="1">
      <c r="A505" s="13"/>
      <c r="B505" s="33">
        <v>39565</v>
      </c>
      <c r="C505" s="96" t="s">
        <v>965</v>
      </c>
      <c r="D505" s="37" t="s">
        <v>232</v>
      </c>
      <c r="E505" s="9">
        <v>45871</v>
      </c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7"/>
      <c r="S505" s="10"/>
      <c r="T505" s="7"/>
      <c r="U505" s="10"/>
      <c r="V505" s="7"/>
      <c r="W505" s="10"/>
      <c r="X505" s="10"/>
      <c r="Y505" s="10"/>
      <c r="Z505" s="10"/>
      <c r="AA505" s="10"/>
      <c r="AB505" s="10"/>
      <c r="AC505" s="12" t="s">
        <v>113</v>
      </c>
      <c r="AD505" s="10"/>
      <c r="AE505" s="10"/>
      <c r="AF505" s="10"/>
      <c r="AG505" s="10"/>
      <c r="AH505" s="12"/>
      <c r="AI505" s="12"/>
      <c r="AJ505" s="12"/>
      <c r="AK505" s="12"/>
      <c r="AL505" s="10"/>
      <c r="AM505" s="12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2" t="s">
        <v>113</v>
      </c>
      <c r="BH505" s="10"/>
      <c r="BI505" s="10"/>
      <c r="BJ505" s="10"/>
      <c r="BK505" s="10"/>
      <c r="BL505" s="10"/>
      <c r="BM505" s="10"/>
      <c r="BN505" s="10"/>
      <c r="BO505" s="10"/>
      <c r="BP505" s="10"/>
      <c r="BQ505" s="12" t="s">
        <v>113</v>
      </c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2"/>
      <c r="CN505" s="12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</row>
    <row r="506" spans="1:104" s="11" customFormat="1" ht="21.75" customHeight="1">
      <c r="A506" s="13"/>
      <c r="B506" s="33">
        <v>39649</v>
      </c>
      <c r="C506" s="96" t="s">
        <v>966</v>
      </c>
      <c r="D506" s="37" t="s">
        <v>232</v>
      </c>
      <c r="E506" s="9">
        <v>45871</v>
      </c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7"/>
      <c r="S506" s="10"/>
      <c r="T506" s="7"/>
      <c r="U506" s="10"/>
      <c r="V506" s="7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2"/>
      <c r="AI506" s="12"/>
      <c r="AJ506" s="12"/>
      <c r="AK506" s="12"/>
      <c r="AL506" s="10"/>
      <c r="AM506" s="12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2" t="s">
        <v>113</v>
      </c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2"/>
      <c r="CN506" s="12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</row>
    <row r="507" spans="1:104" s="11" customFormat="1" ht="21.75" customHeight="1">
      <c r="A507" s="13"/>
      <c r="B507" s="33">
        <v>39547</v>
      </c>
      <c r="C507" s="96" t="s">
        <v>888</v>
      </c>
      <c r="D507" s="37" t="s">
        <v>232</v>
      </c>
      <c r="E507" s="9">
        <v>45871</v>
      </c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7"/>
      <c r="S507" s="10"/>
      <c r="T507" s="7"/>
      <c r="U507" s="10"/>
      <c r="V507" s="7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2"/>
      <c r="AI507" s="12"/>
      <c r="AJ507" s="12"/>
      <c r="AK507" s="12"/>
      <c r="AL507" s="10"/>
      <c r="AM507" s="12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2" t="s">
        <v>113</v>
      </c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2"/>
      <c r="CN507" s="12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</row>
    <row r="508" spans="1:104" s="11" customFormat="1" ht="21.75" customHeight="1">
      <c r="A508" s="13"/>
      <c r="B508" s="33">
        <v>39632</v>
      </c>
      <c r="C508" s="96" t="s">
        <v>967</v>
      </c>
      <c r="D508" s="38" t="s">
        <v>120</v>
      </c>
      <c r="E508" s="9">
        <v>45871</v>
      </c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7"/>
      <c r="S508" s="10"/>
      <c r="T508" s="7"/>
      <c r="U508" s="10"/>
      <c r="V508" s="7"/>
      <c r="W508" s="10"/>
      <c r="X508" s="10"/>
      <c r="Y508" s="10"/>
      <c r="Z508" s="10"/>
      <c r="AA508" s="10"/>
      <c r="AB508" s="10"/>
      <c r="AC508" s="12" t="s">
        <v>113</v>
      </c>
      <c r="AD508" s="10"/>
      <c r="AE508" s="10"/>
      <c r="AF508" s="10"/>
      <c r="AG508" s="10"/>
      <c r="AH508" s="12"/>
      <c r="AI508" s="12"/>
      <c r="AJ508" s="12"/>
      <c r="AK508" s="12"/>
      <c r="AL508" s="10"/>
      <c r="AM508" s="12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2" t="s">
        <v>113</v>
      </c>
      <c r="BS508" s="12" t="s">
        <v>113</v>
      </c>
      <c r="BT508" s="12" t="s">
        <v>113</v>
      </c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2"/>
      <c r="CN508" s="12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</row>
    <row r="509" spans="1:104" s="11" customFormat="1" ht="21.75" customHeight="1">
      <c r="A509" s="13"/>
      <c r="B509" s="33">
        <v>5274</v>
      </c>
      <c r="C509" s="96" t="s">
        <v>968</v>
      </c>
      <c r="D509" s="38" t="s">
        <v>120</v>
      </c>
      <c r="E509" s="9">
        <v>45871</v>
      </c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7"/>
      <c r="S509" s="10"/>
      <c r="T509" s="7"/>
      <c r="U509" s="10"/>
      <c r="V509" s="7"/>
      <c r="W509" s="10"/>
      <c r="X509" s="10"/>
      <c r="Y509" s="10"/>
      <c r="Z509" s="10"/>
      <c r="AA509" s="10"/>
      <c r="AB509" s="10"/>
      <c r="AC509" s="12" t="s">
        <v>113</v>
      </c>
      <c r="AD509" s="10"/>
      <c r="AE509" s="10"/>
      <c r="AF509" s="10"/>
      <c r="AG509" s="10"/>
      <c r="AH509" s="12"/>
      <c r="AI509" s="12"/>
      <c r="AJ509" s="12"/>
      <c r="AK509" s="12"/>
      <c r="AL509" s="10"/>
      <c r="AM509" s="12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2" t="s">
        <v>113</v>
      </c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2" t="s">
        <v>113</v>
      </c>
      <c r="BS509" s="10"/>
      <c r="BT509" s="12" t="s">
        <v>113</v>
      </c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2"/>
      <c r="CN509" s="12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</row>
    <row r="510" spans="1:104" s="11" customFormat="1" ht="21.75" customHeight="1">
      <c r="A510" s="13"/>
      <c r="B510" s="33">
        <v>39917</v>
      </c>
      <c r="C510" s="96" t="s">
        <v>969</v>
      </c>
      <c r="D510" s="38" t="s">
        <v>420</v>
      </c>
      <c r="E510" s="9">
        <v>45871</v>
      </c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7"/>
      <c r="S510" s="10"/>
      <c r="T510" s="7"/>
      <c r="U510" s="10"/>
      <c r="V510" s="7"/>
      <c r="W510" s="10"/>
      <c r="X510" s="12" t="s">
        <v>113</v>
      </c>
      <c r="Y510" s="12" t="s">
        <v>113</v>
      </c>
      <c r="Z510" s="10"/>
      <c r="AA510" s="10"/>
      <c r="AB510" s="10"/>
      <c r="AC510" s="10"/>
      <c r="AD510" s="10"/>
      <c r="AE510" s="10"/>
      <c r="AF510" s="10"/>
      <c r="AG510" s="10"/>
      <c r="AH510" s="12"/>
      <c r="AI510" s="12"/>
      <c r="AJ510" s="12"/>
      <c r="AK510" s="12"/>
      <c r="AL510" s="10"/>
      <c r="AM510" s="12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2"/>
      <c r="CN510" s="12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</row>
    <row r="511" spans="1:104" s="11" customFormat="1" ht="21.75" customHeight="1">
      <c r="A511" s="13"/>
      <c r="B511" s="33">
        <v>39971</v>
      </c>
      <c r="C511" s="96" t="s">
        <v>970</v>
      </c>
      <c r="D511" s="38" t="s">
        <v>420</v>
      </c>
      <c r="E511" s="9">
        <v>45871</v>
      </c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7"/>
      <c r="S511" s="10"/>
      <c r="T511" s="7"/>
      <c r="U511" s="10"/>
      <c r="V511" s="7"/>
      <c r="W511" s="10"/>
      <c r="X511" s="10"/>
      <c r="Y511" s="12" t="s">
        <v>113</v>
      </c>
      <c r="Z511" s="10"/>
      <c r="AA511" s="10"/>
      <c r="AB511" s="10"/>
      <c r="AC511" s="10"/>
      <c r="AD511" s="10"/>
      <c r="AE511" s="10"/>
      <c r="AF511" s="10"/>
      <c r="AG511" s="10"/>
      <c r="AH511" s="12"/>
      <c r="AI511" s="12"/>
      <c r="AJ511" s="12"/>
      <c r="AK511" s="12"/>
      <c r="AL511" s="10"/>
      <c r="AM511" s="12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2"/>
      <c r="CN511" s="12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</row>
    <row r="512" spans="1:104" s="11" customFormat="1" ht="21.75" customHeight="1">
      <c r="A512" s="13"/>
      <c r="B512" s="33">
        <v>39961</v>
      </c>
      <c r="C512" s="96" t="s">
        <v>971</v>
      </c>
      <c r="D512" s="38" t="s">
        <v>420</v>
      </c>
      <c r="E512" s="9">
        <v>45871</v>
      </c>
      <c r="F512" s="10"/>
      <c r="G512" s="12" t="s">
        <v>113</v>
      </c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7"/>
      <c r="S512" s="10"/>
      <c r="T512" s="7"/>
      <c r="U512" s="10"/>
      <c r="V512" s="7"/>
      <c r="W512" s="12" t="s">
        <v>113</v>
      </c>
      <c r="X512" s="12" t="s">
        <v>113</v>
      </c>
      <c r="Y512" s="10"/>
      <c r="Z512" s="10"/>
      <c r="AA512" s="10"/>
      <c r="AB512" s="10"/>
      <c r="AC512" s="10"/>
      <c r="AD512" s="10"/>
      <c r="AE512" s="10"/>
      <c r="AF512" s="10"/>
      <c r="AG512" s="12" t="s">
        <v>113</v>
      </c>
      <c r="AH512" s="12"/>
      <c r="AI512" s="12"/>
      <c r="AJ512" s="12"/>
      <c r="AK512" s="12"/>
      <c r="AL512" s="10"/>
      <c r="AM512" s="12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2"/>
      <c r="CN512" s="12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</row>
    <row r="513" spans="1:104" s="11" customFormat="1" ht="21.75" customHeight="1">
      <c r="A513" s="13"/>
      <c r="B513" s="33">
        <v>39968</v>
      </c>
      <c r="C513" s="96" t="s">
        <v>972</v>
      </c>
      <c r="D513" s="38" t="s">
        <v>420</v>
      </c>
      <c r="E513" s="9">
        <v>45871</v>
      </c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7"/>
      <c r="S513" s="10"/>
      <c r="T513" s="7"/>
      <c r="U513" s="10"/>
      <c r="V513" s="7"/>
      <c r="W513" s="10"/>
      <c r="X513" s="10"/>
      <c r="Y513" s="12" t="s">
        <v>113</v>
      </c>
      <c r="Z513" s="10"/>
      <c r="AA513" s="10"/>
      <c r="AB513" s="10"/>
      <c r="AC513" s="10"/>
      <c r="AD513" s="10"/>
      <c r="AE513" s="10"/>
      <c r="AF513" s="10"/>
      <c r="AG513" s="10"/>
      <c r="AH513" s="12"/>
      <c r="AI513" s="12"/>
      <c r="AJ513" s="12"/>
      <c r="AK513" s="12"/>
      <c r="AL513" s="12" t="s">
        <v>113</v>
      </c>
      <c r="AM513" s="12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2"/>
      <c r="CN513" s="12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</row>
    <row r="514" spans="1:104" s="11" customFormat="1" ht="21.75" customHeight="1">
      <c r="A514" s="13">
        <v>510</v>
      </c>
      <c r="B514" s="33">
        <v>39949</v>
      </c>
      <c r="C514" s="96" t="s">
        <v>973</v>
      </c>
      <c r="D514" s="37" t="s">
        <v>262</v>
      </c>
      <c r="E514" s="9">
        <v>45871</v>
      </c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7"/>
      <c r="S514" s="10"/>
      <c r="T514" s="7"/>
      <c r="U514" s="10"/>
      <c r="V514" s="7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2"/>
      <c r="AI514" s="7"/>
      <c r="AJ514" s="7"/>
      <c r="AK514" s="7"/>
      <c r="AL514" s="10"/>
      <c r="AM514" s="12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2"/>
      <c r="AY514" s="10"/>
      <c r="AZ514" s="10"/>
      <c r="BA514" s="10"/>
      <c r="BB514" s="12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7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7"/>
      <c r="CL514" s="10"/>
      <c r="CM514" s="7"/>
      <c r="CN514" s="12" t="s">
        <v>113</v>
      </c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>
        <f>IF(COUNTIF(F514:CY514,"ü")&lt;=0,0,1)</f>
        <v>1</v>
      </c>
    </row>
    <row r="515" spans="1:104" s="11" customFormat="1" ht="21.75" customHeight="1">
      <c r="A515" s="13"/>
      <c r="B515" s="33">
        <v>39951</v>
      </c>
      <c r="C515" s="96" t="s">
        <v>974</v>
      </c>
      <c r="D515" s="37" t="s">
        <v>262</v>
      </c>
      <c r="E515" s="9">
        <v>45871</v>
      </c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7"/>
      <c r="S515" s="10"/>
      <c r="T515" s="7"/>
      <c r="U515" s="10"/>
      <c r="V515" s="7"/>
      <c r="W515" s="10"/>
      <c r="X515" s="10"/>
      <c r="Y515" s="12"/>
      <c r="Z515" s="10"/>
      <c r="AA515" s="10"/>
      <c r="AB515" s="10"/>
      <c r="AC515" s="10"/>
      <c r="AD515" s="10"/>
      <c r="AE515" s="10"/>
      <c r="AF515" s="10"/>
      <c r="AG515" s="10"/>
      <c r="AH515" s="12"/>
      <c r="AI515" s="12"/>
      <c r="AJ515" s="12"/>
      <c r="AK515" s="12"/>
      <c r="AL515" s="12"/>
      <c r="AM515" s="12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2"/>
      <c r="CN515" s="12" t="s">
        <v>113</v>
      </c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</row>
    <row r="516" spans="1:104" s="11" customFormat="1" ht="21.75" customHeight="1">
      <c r="A516" s="13"/>
      <c r="B516" s="33">
        <v>39660</v>
      </c>
      <c r="C516" s="96" t="s">
        <v>975</v>
      </c>
      <c r="D516" s="38" t="s">
        <v>120</v>
      </c>
      <c r="E516" s="9">
        <v>45871</v>
      </c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7"/>
      <c r="S516" s="10"/>
      <c r="T516" s="7"/>
      <c r="U516" s="10"/>
      <c r="V516" s="7"/>
      <c r="W516" s="10"/>
      <c r="X516" s="10"/>
      <c r="Y516" s="12"/>
      <c r="Z516" s="10"/>
      <c r="AA516" s="10"/>
      <c r="AB516" s="10"/>
      <c r="AC516" s="10"/>
      <c r="AD516" s="10"/>
      <c r="AE516" s="10"/>
      <c r="AF516" s="10"/>
      <c r="AG516" s="10"/>
      <c r="AH516" s="12"/>
      <c r="AI516" s="12"/>
      <c r="AJ516" s="12"/>
      <c r="AK516" s="12"/>
      <c r="AL516" s="12"/>
      <c r="AM516" s="12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2" t="s">
        <v>113</v>
      </c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2" t="s">
        <v>113</v>
      </c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2"/>
      <c r="CN516" s="12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</row>
    <row r="517" spans="1:104" s="11" customFormat="1" ht="21.75" customHeight="1">
      <c r="A517" s="13"/>
      <c r="B517" s="33">
        <v>39675</v>
      </c>
      <c r="C517" s="96" t="s">
        <v>976</v>
      </c>
      <c r="D517" s="38" t="s">
        <v>120</v>
      </c>
      <c r="E517" s="9">
        <v>45871</v>
      </c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7"/>
      <c r="S517" s="10"/>
      <c r="T517" s="7"/>
      <c r="U517" s="10"/>
      <c r="V517" s="7"/>
      <c r="W517" s="10"/>
      <c r="X517" s="10"/>
      <c r="Y517" s="12"/>
      <c r="Z517" s="10"/>
      <c r="AA517" s="10"/>
      <c r="AB517" s="10"/>
      <c r="AC517" s="10"/>
      <c r="AD517" s="10"/>
      <c r="AE517" s="10"/>
      <c r="AF517" s="10"/>
      <c r="AG517" s="10"/>
      <c r="AH517" s="12"/>
      <c r="AI517" s="12"/>
      <c r="AJ517" s="12"/>
      <c r="AK517" s="12"/>
      <c r="AL517" s="12"/>
      <c r="AM517" s="12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2" t="s">
        <v>113</v>
      </c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2" t="s">
        <v>113</v>
      </c>
      <c r="BT517" s="12" t="s">
        <v>113</v>
      </c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2"/>
      <c r="CN517" s="12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</row>
    <row r="518" spans="1:104" s="11" customFormat="1" ht="21.75" customHeight="1">
      <c r="A518" s="13"/>
      <c r="B518" s="35" t="s">
        <v>977</v>
      </c>
      <c r="C518" s="36" t="s">
        <v>978</v>
      </c>
      <c r="D518" s="85" t="s">
        <v>299</v>
      </c>
      <c r="E518" s="9">
        <v>45887</v>
      </c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7"/>
      <c r="S518" s="10"/>
      <c r="T518" s="7"/>
      <c r="U518" s="10"/>
      <c r="V518" s="7"/>
      <c r="W518" s="10"/>
      <c r="X518" s="10"/>
      <c r="Y518" s="12"/>
      <c r="Z518" s="10"/>
      <c r="AA518" s="10"/>
      <c r="AB518" s="10"/>
      <c r="AC518" s="10"/>
      <c r="AD518" s="10"/>
      <c r="AE518" s="10"/>
      <c r="AF518" s="10"/>
      <c r="AG518" s="10"/>
      <c r="AH518" s="12"/>
      <c r="AI518" s="12"/>
      <c r="AJ518" s="12"/>
      <c r="AK518" s="12"/>
      <c r="AL518" s="12"/>
      <c r="AM518" s="12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2" t="s">
        <v>113</v>
      </c>
      <c r="AZ518" s="10"/>
      <c r="BA518" s="10"/>
      <c r="BB518" s="12" t="s">
        <v>113</v>
      </c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2"/>
      <c r="CN518" s="12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</row>
    <row r="519" spans="1:104" s="11" customFormat="1" ht="21.75" customHeight="1">
      <c r="A519" s="13"/>
      <c r="B519" s="35" t="s">
        <v>979</v>
      </c>
      <c r="C519" s="36" t="s">
        <v>980</v>
      </c>
      <c r="D519" s="85" t="s">
        <v>232</v>
      </c>
      <c r="E519" s="9">
        <v>45887</v>
      </c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7"/>
      <c r="S519" s="10"/>
      <c r="T519" s="7"/>
      <c r="U519" s="10"/>
      <c r="V519" s="7"/>
      <c r="W519" s="10"/>
      <c r="X519" s="10"/>
      <c r="Y519" s="12"/>
      <c r="Z519" s="10"/>
      <c r="AA519" s="10"/>
      <c r="AB519" s="10"/>
      <c r="AC519" s="10"/>
      <c r="AD519" s="10"/>
      <c r="AE519" s="10"/>
      <c r="AF519" s="10"/>
      <c r="AG519" s="10"/>
      <c r="AH519" s="12"/>
      <c r="AI519" s="12"/>
      <c r="AJ519" s="12"/>
      <c r="AK519" s="12"/>
      <c r="AL519" s="12"/>
      <c r="AM519" s="12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2" t="s">
        <v>113</v>
      </c>
      <c r="BH519" s="10"/>
      <c r="BI519" s="10"/>
      <c r="BJ519" s="10"/>
      <c r="BK519" s="10"/>
      <c r="BL519" s="10"/>
      <c r="BM519" s="10"/>
      <c r="BN519" s="10"/>
      <c r="BO519" s="10"/>
      <c r="BP519" s="10"/>
      <c r="BQ519" s="12" t="s">
        <v>113</v>
      </c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2"/>
      <c r="CN519" s="12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</row>
    <row r="520" spans="1:104" s="11" customFormat="1" ht="21.75" customHeight="1">
      <c r="A520" s="13"/>
      <c r="B520" s="35" t="s">
        <v>981</v>
      </c>
      <c r="C520" s="36" t="s">
        <v>982</v>
      </c>
      <c r="D520" s="85" t="s">
        <v>225</v>
      </c>
      <c r="E520" s="9">
        <v>45887</v>
      </c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7"/>
      <c r="S520" s="10"/>
      <c r="T520" s="7"/>
      <c r="U520" s="10"/>
      <c r="V520" s="7"/>
      <c r="W520" s="10"/>
      <c r="X520" s="10"/>
      <c r="Y520" s="12"/>
      <c r="Z520" s="10"/>
      <c r="AA520" s="10"/>
      <c r="AB520" s="10"/>
      <c r="AC520" s="10"/>
      <c r="AD520" s="10"/>
      <c r="AE520" s="10"/>
      <c r="AF520" s="10"/>
      <c r="AG520" s="10"/>
      <c r="AH520" s="12"/>
      <c r="AI520" s="12"/>
      <c r="AJ520" s="12"/>
      <c r="AK520" s="12"/>
      <c r="AL520" s="12"/>
      <c r="AM520" s="12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2" t="s">
        <v>113</v>
      </c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2"/>
      <c r="CN520" s="12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</row>
    <row r="521" spans="1:104" s="11" customFormat="1" ht="21.75" customHeight="1">
      <c r="A521" s="13" t="s">
        <v>983</v>
      </c>
      <c r="B521" s="35" t="s">
        <v>984</v>
      </c>
      <c r="C521" s="36" t="s">
        <v>985</v>
      </c>
      <c r="D521" s="85" t="s">
        <v>393</v>
      </c>
      <c r="E521" s="9">
        <v>45887</v>
      </c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7"/>
      <c r="S521" s="10"/>
      <c r="T521" s="7"/>
      <c r="U521" s="10"/>
      <c r="V521" s="7"/>
      <c r="W521" s="10"/>
      <c r="X521" s="10"/>
      <c r="Y521" s="12"/>
      <c r="Z521" s="10"/>
      <c r="AA521" s="10"/>
      <c r="AB521" s="10"/>
      <c r="AC521" s="10"/>
      <c r="AD521" s="10"/>
      <c r="AE521" s="10"/>
      <c r="AF521" s="10"/>
      <c r="AG521" s="10"/>
      <c r="AH521" s="12"/>
      <c r="AI521" s="12"/>
      <c r="AJ521" s="12"/>
      <c r="AK521" s="12"/>
      <c r="AL521" s="12"/>
      <c r="AM521" s="12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2" t="s">
        <v>113</v>
      </c>
      <c r="CK521" s="10"/>
      <c r="CL521" s="10"/>
      <c r="CM521" s="12"/>
      <c r="CN521" s="12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</row>
    <row r="522" spans="1:104" s="11" customFormat="1" ht="21.75" customHeight="1">
      <c r="A522" s="13"/>
      <c r="B522" s="38">
        <v>5193</v>
      </c>
      <c r="C522" s="73" t="s">
        <v>986</v>
      </c>
      <c r="D522" s="38" t="s">
        <v>393</v>
      </c>
      <c r="E522" s="9">
        <v>45892</v>
      </c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7"/>
      <c r="S522" s="10"/>
      <c r="T522" s="7"/>
      <c r="U522" s="10"/>
      <c r="V522" s="7"/>
      <c r="W522" s="10"/>
      <c r="X522" s="10"/>
      <c r="Y522" s="12"/>
      <c r="Z522" s="10"/>
      <c r="AA522" s="10"/>
      <c r="AB522" s="10"/>
      <c r="AC522" s="12" t="s">
        <v>113</v>
      </c>
      <c r="AD522" s="10"/>
      <c r="AE522" s="10"/>
      <c r="AF522" s="10"/>
      <c r="AG522" s="10"/>
      <c r="AH522" s="12"/>
      <c r="AI522" s="12"/>
      <c r="AJ522" s="12"/>
      <c r="AK522" s="12"/>
      <c r="AL522" s="12"/>
      <c r="AM522" s="12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2"/>
      <c r="CN522" s="12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</row>
    <row r="523" spans="1:104" s="11" customFormat="1" ht="21.75" customHeight="1">
      <c r="A523" s="13"/>
      <c r="B523" s="33">
        <v>5181</v>
      </c>
      <c r="C523" s="96" t="s">
        <v>987</v>
      </c>
      <c r="D523" s="38" t="s">
        <v>393</v>
      </c>
      <c r="E523" s="9">
        <v>45896</v>
      </c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7"/>
      <c r="S523" s="10"/>
      <c r="T523" s="7"/>
      <c r="U523" s="10"/>
      <c r="V523" s="7"/>
      <c r="W523" s="10"/>
      <c r="X523" s="10"/>
      <c r="Y523" s="12"/>
      <c r="Z523" s="10"/>
      <c r="AA523" s="10"/>
      <c r="AB523" s="10"/>
      <c r="AC523" s="12" t="s">
        <v>113</v>
      </c>
      <c r="AD523" s="10"/>
      <c r="AE523" s="10"/>
      <c r="AF523" s="10"/>
      <c r="AG523" s="10"/>
      <c r="AH523" s="12"/>
      <c r="AI523" s="12"/>
      <c r="AJ523" s="12"/>
      <c r="AK523" s="12"/>
      <c r="AL523" s="12"/>
      <c r="AM523" s="12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2"/>
      <c r="CN523" s="12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</row>
    <row r="524" spans="1:104" s="11" customFormat="1" ht="21.75" customHeight="1">
      <c r="A524" s="13"/>
      <c r="B524" s="35" t="s">
        <v>988</v>
      </c>
      <c r="C524" s="36" t="s">
        <v>989</v>
      </c>
      <c r="D524" s="85" t="s">
        <v>420</v>
      </c>
      <c r="E524" s="9">
        <v>45899</v>
      </c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7"/>
      <c r="S524" s="10"/>
      <c r="T524" s="7"/>
      <c r="U524" s="10"/>
      <c r="V524" s="7"/>
      <c r="W524" s="10"/>
      <c r="X524" s="10"/>
      <c r="Y524" s="12" t="s">
        <v>113</v>
      </c>
      <c r="Z524" s="10"/>
      <c r="AA524" s="10"/>
      <c r="AB524" s="10"/>
      <c r="AC524" s="10"/>
      <c r="AD524" s="10"/>
      <c r="AE524" s="10"/>
      <c r="AF524" s="10"/>
      <c r="AG524" s="10"/>
      <c r="AH524" s="12"/>
      <c r="AI524" s="12"/>
      <c r="AJ524" s="12"/>
      <c r="AK524" s="12"/>
      <c r="AL524" s="12" t="s">
        <v>113</v>
      </c>
      <c r="AM524" s="12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2"/>
      <c r="CN524" s="12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</row>
    <row r="525" spans="1:104" s="11" customFormat="1" ht="21.75" customHeight="1">
      <c r="A525" s="13"/>
      <c r="B525" s="35" t="s">
        <v>990</v>
      </c>
      <c r="C525" s="36" t="s">
        <v>991</v>
      </c>
      <c r="D525" s="85" t="s">
        <v>120</v>
      </c>
      <c r="E525" s="9">
        <v>45899</v>
      </c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7"/>
      <c r="S525" s="10"/>
      <c r="T525" s="7"/>
      <c r="U525" s="10"/>
      <c r="V525" s="7"/>
      <c r="W525" s="10"/>
      <c r="X525" s="10"/>
      <c r="Y525" s="12"/>
      <c r="Z525" s="10"/>
      <c r="AA525" s="10"/>
      <c r="AB525" s="10"/>
      <c r="AC525" s="10"/>
      <c r="AD525" s="10"/>
      <c r="AE525" s="10"/>
      <c r="AF525" s="10"/>
      <c r="AG525" s="10"/>
      <c r="AH525" s="12"/>
      <c r="AI525" s="12"/>
      <c r="AJ525" s="12"/>
      <c r="AK525" s="12"/>
      <c r="AL525" s="12"/>
      <c r="AM525" s="12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2" t="s">
        <v>113</v>
      </c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2"/>
      <c r="CN525" s="12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</row>
    <row r="526" spans="1:104" s="11" customFormat="1" ht="21.75" customHeight="1">
      <c r="A526" s="13"/>
      <c r="B526" s="35" t="s">
        <v>992</v>
      </c>
      <c r="C526" s="36" t="s">
        <v>993</v>
      </c>
      <c r="D526" s="85" t="s">
        <v>120</v>
      </c>
      <c r="E526" s="9">
        <v>45899</v>
      </c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7"/>
      <c r="S526" s="10"/>
      <c r="T526" s="7"/>
      <c r="U526" s="10"/>
      <c r="V526" s="7"/>
      <c r="W526" s="10"/>
      <c r="X526" s="10"/>
      <c r="Y526" s="12"/>
      <c r="Z526" s="10"/>
      <c r="AA526" s="10"/>
      <c r="AB526" s="10"/>
      <c r="AC526" s="12" t="s">
        <v>113</v>
      </c>
      <c r="AD526" s="10"/>
      <c r="AE526" s="10"/>
      <c r="AF526" s="10"/>
      <c r="AG526" s="10"/>
      <c r="AH526" s="12"/>
      <c r="AI526" s="12"/>
      <c r="AJ526" s="12"/>
      <c r="AK526" s="12"/>
      <c r="AL526" s="12"/>
      <c r="AM526" s="12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2" t="s">
        <v>113</v>
      </c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2"/>
      <c r="CN526" s="12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</row>
    <row r="527" spans="1:104" s="11" customFormat="1" ht="21.75" customHeight="1">
      <c r="A527" s="13"/>
      <c r="B527" s="101" t="s">
        <v>994</v>
      </c>
      <c r="C527" s="102" t="s">
        <v>995</v>
      </c>
      <c r="D527" s="85" t="s">
        <v>120</v>
      </c>
      <c r="E527" s="9">
        <v>45899</v>
      </c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7"/>
      <c r="S527" s="10"/>
      <c r="T527" s="7"/>
      <c r="U527" s="10"/>
      <c r="V527" s="7"/>
      <c r="W527" s="10"/>
      <c r="X527" s="10"/>
      <c r="Y527" s="12"/>
      <c r="Z527" s="10"/>
      <c r="AA527" s="10"/>
      <c r="AB527" s="10"/>
      <c r="AC527" s="10"/>
      <c r="AD527" s="10"/>
      <c r="AE527" s="10"/>
      <c r="AF527" s="10"/>
      <c r="AG527" s="10"/>
      <c r="AH527" s="12"/>
      <c r="AI527" s="12"/>
      <c r="AJ527" s="12"/>
      <c r="AK527" s="12"/>
      <c r="AL527" s="12"/>
      <c r="AM527" s="12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2" t="s">
        <v>113</v>
      </c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2"/>
      <c r="CN527" s="12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</row>
    <row r="528" spans="1:104" s="11" customFormat="1" ht="21.75" customHeight="1">
      <c r="A528" s="13"/>
      <c r="B528" s="35" t="s">
        <v>996</v>
      </c>
      <c r="C528" s="36" t="s">
        <v>997</v>
      </c>
      <c r="D528" s="38" t="s">
        <v>576</v>
      </c>
      <c r="E528" s="9">
        <v>45899</v>
      </c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7"/>
      <c r="S528" s="10"/>
      <c r="T528" s="7"/>
      <c r="U528" s="10"/>
      <c r="V528" s="7"/>
      <c r="W528" s="10"/>
      <c r="X528" s="10"/>
      <c r="Y528" s="12"/>
      <c r="Z528" s="10"/>
      <c r="AA528" s="10"/>
      <c r="AB528" s="10"/>
      <c r="AC528" s="10"/>
      <c r="AD528" s="10"/>
      <c r="AE528" s="10"/>
      <c r="AF528" s="10"/>
      <c r="AG528" s="10"/>
      <c r="AH528" s="12"/>
      <c r="AI528" s="12"/>
      <c r="AJ528" s="12"/>
      <c r="AK528" s="12"/>
      <c r="AL528" s="12"/>
      <c r="AM528" s="12"/>
      <c r="AN528" s="10"/>
      <c r="AO528" s="10"/>
      <c r="AP528" s="12" t="s">
        <v>113</v>
      </c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2"/>
      <c r="CN528" s="12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</row>
    <row r="529" spans="1:104" s="11" customFormat="1" ht="21.75" customHeight="1">
      <c r="A529" s="13"/>
      <c r="B529" s="35" t="s">
        <v>998</v>
      </c>
      <c r="C529" s="38" t="s">
        <v>999</v>
      </c>
      <c r="D529" s="85" t="s">
        <v>232</v>
      </c>
      <c r="E529" s="9">
        <v>45899</v>
      </c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7"/>
      <c r="S529" s="10"/>
      <c r="T529" s="7"/>
      <c r="U529" s="10"/>
      <c r="V529" s="7"/>
      <c r="W529" s="10"/>
      <c r="X529" s="10"/>
      <c r="Y529" s="12"/>
      <c r="Z529" s="10"/>
      <c r="AA529" s="10"/>
      <c r="AB529" s="10"/>
      <c r="AC529" s="10"/>
      <c r="AD529" s="10"/>
      <c r="AE529" s="10"/>
      <c r="AF529" s="10"/>
      <c r="AG529" s="10"/>
      <c r="AH529" s="12"/>
      <c r="AI529" s="12"/>
      <c r="AJ529" s="12"/>
      <c r="AK529" s="12"/>
      <c r="AL529" s="12"/>
      <c r="AM529" s="12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2" t="s">
        <v>113</v>
      </c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2"/>
      <c r="CN529" s="12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</row>
    <row r="530" spans="1:104" s="11" customFormat="1" ht="21.75" customHeight="1">
      <c r="A530" s="13"/>
      <c r="B530" s="35" t="s">
        <v>1000</v>
      </c>
      <c r="C530" s="38" t="s">
        <v>1001</v>
      </c>
      <c r="D530" s="85" t="s">
        <v>120</v>
      </c>
      <c r="E530" s="9">
        <v>45899</v>
      </c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7"/>
      <c r="S530" s="10"/>
      <c r="T530" s="7"/>
      <c r="U530" s="10"/>
      <c r="V530" s="7"/>
      <c r="W530" s="10"/>
      <c r="X530" s="10"/>
      <c r="Y530" s="12"/>
      <c r="Z530" s="10"/>
      <c r="AA530" s="10"/>
      <c r="AB530" s="10"/>
      <c r="AC530" s="10"/>
      <c r="AD530" s="10"/>
      <c r="AE530" s="10"/>
      <c r="AF530" s="10"/>
      <c r="AG530" s="10"/>
      <c r="AH530" s="12"/>
      <c r="AI530" s="12"/>
      <c r="AJ530" s="12"/>
      <c r="AK530" s="12"/>
      <c r="AL530" s="12"/>
      <c r="AM530" s="12"/>
      <c r="AN530" s="10"/>
      <c r="AO530" s="10"/>
      <c r="AP530" s="10"/>
      <c r="AQ530" s="10"/>
      <c r="AR530" s="10"/>
      <c r="AS530" s="10"/>
      <c r="AT530" s="12" t="s">
        <v>113</v>
      </c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2" t="s">
        <v>113</v>
      </c>
      <c r="BZ530" s="10"/>
      <c r="CA530" s="12" t="s">
        <v>113</v>
      </c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2"/>
      <c r="CN530" s="12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</row>
    <row r="531" spans="1:104" s="11" customFormat="1" ht="21.75" customHeight="1">
      <c r="A531" s="13"/>
      <c r="B531" s="33">
        <v>40016</v>
      </c>
      <c r="C531" s="96" t="s">
        <v>1002</v>
      </c>
      <c r="D531" s="38" t="s">
        <v>225</v>
      </c>
      <c r="E531" s="9">
        <v>45910</v>
      </c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7"/>
      <c r="S531" s="10"/>
      <c r="T531" s="7"/>
      <c r="U531" s="10"/>
      <c r="V531" s="7"/>
      <c r="W531" s="10"/>
      <c r="X531" s="10"/>
      <c r="Y531" s="12"/>
      <c r="Z531" s="10"/>
      <c r="AA531" s="10"/>
      <c r="AB531" s="10"/>
      <c r="AC531" s="10"/>
      <c r="AD531" s="10"/>
      <c r="AE531" s="10"/>
      <c r="AF531" s="10"/>
      <c r="AG531" s="10"/>
      <c r="AH531" s="12"/>
      <c r="AI531" s="12"/>
      <c r="AJ531" s="12"/>
      <c r="AK531" s="12"/>
      <c r="AL531" s="12"/>
      <c r="AM531" s="12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2" t="s">
        <v>113</v>
      </c>
      <c r="BH531" s="10"/>
      <c r="BI531" s="10"/>
      <c r="BJ531" s="10"/>
      <c r="BK531" s="10"/>
      <c r="BL531" s="10"/>
      <c r="BM531" s="12" t="s">
        <v>113</v>
      </c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2"/>
      <c r="CN531" s="12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</row>
    <row r="532" spans="1:104" s="11" customFormat="1" ht="21.75" customHeight="1">
      <c r="A532" s="13"/>
      <c r="B532" s="33">
        <v>39939</v>
      </c>
      <c r="C532" s="96" t="s">
        <v>1003</v>
      </c>
      <c r="D532" s="38" t="s">
        <v>576</v>
      </c>
      <c r="E532" s="9">
        <v>45910</v>
      </c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7"/>
      <c r="S532" s="10"/>
      <c r="T532" s="7"/>
      <c r="U532" s="10"/>
      <c r="V532" s="7"/>
      <c r="W532" s="10"/>
      <c r="X532" s="10"/>
      <c r="Y532" s="12"/>
      <c r="Z532" s="10"/>
      <c r="AA532" s="10"/>
      <c r="AB532" s="10"/>
      <c r="AC532" s="10"/>
      <c r="AD532" s="10"/>
      <c r="AE532" s="10"/>
      <c r="AF532" s="10"/>
      <c r="AG532" s="10"/>
      <c r="AH532" s="12"/>
      <c r="AI532" s="12"/>
      <c r="AJ532" s="12" t="s">
        <v>113</v>
      </c>
      <c r="AK532" s="12"/>
      <c r="AL532" s="12"/>
      <c r="AM532" s="12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2"/>
      <c r="CN532" s="12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</row>
    <row r="533" spans="1:104" s="11" customFormat="1" ht="21.75" customHeight="1">
      <c r="A533" s="13"/>
      <c r="B533" s="33">
        <v>40015</v>
      </c>
      <c r="C533" s="96" t="s">
        <v>851</v>
      </c>
      <c r="D533" s="38" t="s">
        <v>393</v>
      </c>
      <c r="E533" s="9">
        <v>46055</v>
      </c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7"/>
      <c r="S533" s="10"/>
      <c r="T533" s="7"/>
      <c r="U533" s="10"/>
      <c r="V533" s="7"/>
      <c r="W533" s="10"/>
      <c r="X533" s="10"/>
      <c r="Y533" s="12"/>
      <c r="Z533" s="10"/>
      <c r="AA533" s="10"/>
      <c r="AB533" s="10"/>
      <c r="AC533" s="10"/>
      <c r="AD533" s="10"/>
      <c r="AE533" s="10"/>
      <c r="AF533" s="10"/>
      <c r="AG533" s="10"/>
      <c r="AH533" s="12"/>
      <c r="AI533" s="12"/>
      <c r="AJ533" s="12"/>
      <c r="AK533" s="12"/>
      <c r="AL533" s="12"/>
      <c r="AM533" s="12"/>
      <c r="AN533" s="10"/>
      <c r="AO533" s="10"/>
      <c r="AP533" s="10"/>
      <c r="AQ533" s="10"/>
      <c r="AR533" s="10"/>
      <c r="AS533" s="10"/>
      <c r="AT533" s="10"/>
      <c r="AU533" s="10"/>
      <c r="AV533" s="10"/>
      <c r="AW533" s="12" t="s">
        <v>113</v>
      </c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2"/>
      <c r="CN533" s="12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</row>
    <row r="534" spans="1:104" s="11" customFormat="1" ht="21.75" customHeight="1">
      <c r="A534" s="13"/>
      <c r="B534" s="33" t="s">
        <v>1004</v>
      </c>
      <c r="C534" s="96" t="s">
        <v>1005</v>
      </c>
      <c r="D534" s="38" t="s">
        <v>393</v>
      </c>
      <c r="E534" s="9">
        <v>46055</v>
      </c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7"/>
      <c r="S534" s="10"/>
      <c r="T534" s="7"/>
      <c r="U534" s="10"/>
      <c r="V534" s="7"/>
      <c r="W534" s="10"/>
      <c r="X534" s="10"/>
      <c r="Y534" s="12"/>
      <c r="Z534" s="10"/>
      <c r="AA534" s="10"/>
      <c r="AB534" s="10"/>
      <c r="AC534" s="10"/>
      <c r="AD534" s="10"/>
      <c r="AE534" s="10"/>
      <c r="AF534" s="10"/>
      <c r="AG534" s="10"/>
      <c r="AH534" s="12"/>
      <c r="AI534" s="12"/>
      <c r="AJ534" s="12"/>
      <c r="AK534" s="12"/>
      <c r="AL534" s="12"/>
      <c r="AM534" s="12"/>
      <c r="AN534" s="10"/>
      <c r="AO534" s="10"/>
      <c r="AP534" s="10"/>
      <c r="AQ534" s="10"/>
      <c r="AR534" s="10"/>
      <c r="AS534" s="10"/>
      <c r="AT534" s="10"/>
      <c r="AU534" s="10"/>
      <c r="AV534" s="10"/>
      <c r="AW534" s="12" t="s">
        <v>113</v>
      </c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2"/>
      <c r="CN534" s="12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</row>
    <row r="535" spans="1:104" s="11" customFormat="1" ht="21.75" customHeight="1">
      <c r="A535" s="13"/>
      <c r="B535" s="33" t="s">
        <v>1006</v>
      </c>
      <c r="C535" s="96" t="s">
        <v>1007</v>
      </c>
      <c r="D535" s="38" t="s">
        <v>393</v>
      </c>
      <c r="E535" s="9">
        <v>46055</v>
      </c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7"/>
      <c r="S535" s="10"/>
      <c r="T535" s="7"/>
      <c r="U535" s="10"/>
      <c r="V535" s="7"/>
      <c r="W535" s="10"/>
      <c r="X535" s="10"/>
      <c r="Y535" s="12"/>
      <c r="Z535" s="10"/>
      <c r="AA535" s="10"/>
      <c r="AB535" s="10"/>
      <c r="AC535" s="10"/>
      <c r="AD535" s="10"/>
      <c r="AE535" s="10"/>
      <c r="AF535" s="10"/>
      <c r="AG535" s="10"/>
      <c r="AH535" s="12"/>
      <c r="AI535" s="12"/>
      <c r="AJ535" s="12"/>
      <c r="AK535" s="12"/>
      <c r="AL535" s="12"/>
      <c r="AM535" s="12"/>
      <c r="AN535" s="10"/>
      <c r="AO535" s="10"/>
      <c r="AP535" s="10"/>
      <c r="AQ535" s="10"/>
      <c r="AR535" s="10"/>
      <c r="AS535" s="10"/>
      <c r="AT535" s="12" t="s">
        <v>113</v>
      </c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2"/>
      <c r="CN535" s="12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</row>
    <row r="536" spans="1:104" s="11" customFormat="1" ht="21.75" customHeight="1">
      <c r="A536" s="13"/>
      <c r="B536" s="33" t="s">
        <v>1008</v>
      </c>
      <c r="C536" s="96" t="s">
        <v>1009</v>
      </c>
      <c r="D536" s="38" t="s">
        <v>393</v>
      </c>
      <c r="E536" s="9">
        <v>46055</v>
      </c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7"/>
      <c r="S536" s="10"/>
      <c r="T536" s="7"/>
      <c r="U536" s="10"/>
      <c r="V536" s="7"/>
      <c r="W536" s="10"/>
      <c r="X536" s="10"/>
      <c r="Y536" s="12"/>
      <c r="Z536" s="10"/>
      <c r="AA536" s="10"/>
      <c r="AB536" s="10"/>
      <c r="AC536" s="10"/>
      <c r="AD536" s="10"/>
      <c r="AE536" s="10"/>
      <c r="AF536" s="10"/>
      <c r="AG536" s="10"/>
      <c r="AH536" s="12"/>
      <c r="AI536" s="12"/>
      <c r="AJ536" s="12"/>
      <c r="AK536" s="12"/>
      <c r="AL536" s="12"/>
      <c r="AM536" s="12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2"/>
      <c r="CN536" s="12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</row>
    <row r="537" spans="1:104" s="11" customFormat="1" ht="21.75" customHeight="1">
      <c r="A537" s="13"/>
      <c r="B537" s="33" t="s">
        <v>1010</v>
      </c>
      <c r="C537" s="96" t="s">
        <v>1011</v>
      </c>
      <c r="D537" s="38"/>
      <c r="E537" s="9">
        <v>46063</v>
      </c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7"/>
      <c r="S537" s="10"/>
      <c r="T537" s="7"/>
      <c r="U537" s="12" t="s">
        <v>113</v>
      </c>
      <c r="V537" s="7"/>
      <c r="W537" s="10"/>
      <c r="X537" s="10"/>
      <c r="Y537" s="12"/>
      <c r="Z537" s="10"/>
      <c r="AA537" s="10"/>
      <c r="AB537" s="10"/>
      <c r="AC537" s="10"/>
      <c r="AD537" s="10"/>
      <c r="AE537" s="10"/>
      <c r="AF537" s="10"/>
      <c r="AG537" s="10"/>
      <c r="AH537" s="12"/>
      <c r="AI537" s="12"/>
      <c r="AJ537" s="12"/>
      <c r="AK537" s="12"/>
      <c r="AL537" s="12"/>
      <c r="AM537" s="12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2"/>
      <c r="CN537" s="12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</row>
    <row r="538" spans="1:104" s="11" customFormat="1" ht="21.75" customHeight="1">
      <c r="A538" s="13"/>
      <c r="B538" s="33"/>
      <c r="C538" s="96"/>
      <c r="D538" s="38"/>
      <c r="E538" s="9">
        <v>45871</v>
      </c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7"/>
      <c r="S538" s="10"/>
      <c r="T538" s="7"/>
      <c r="U538" s="10"/>
      <c r="V538" s="7"/>
      <c r="W538" s="10"/>
      <c r="X538" s="10"/>
      <c r="Y538" s="12"/>
      <c r="Z538" s="10"/>
      <c r="AA538" s="10"/>
      <c r="AB538" s="10"/>
      <c r="AC538" s="10"/>
      <c r="AD538" s="10"/>
      <c r="AE538" s="10"/>
      <c r="AF538" s="10"/>
      <c r="AG538" s="10"/>
      <c r="AH538" s="12"/>
      <c r="AI538" s="12"/>
      <c r="AJ538" s="12"/>
      <c r="AK538" s="12"/>
      <c r="AL538" s="12"/>
      <c r="AM538" s="12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2"/>
      <c r="CN538" s="12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</row>
    <row r="539" spans="1:104" s="11" customFormat="1" ht="21.75" customHeight="1">
      <c r="A539" s="13"/>
      <c r="B539" s="33"/>
      <c r="C539" s="96"/>
      <c r="D539" s="38"/>
      <c r="E539" s="9">
        <v>45871</v>
      </c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7"/>
      <c r="S539" s="10"/>
      <c r="T539" s="7"/>
      <c r="U539" s="10"/>
      <c r="V539" s="7"/>
      <c r="W539" s="10"/>
      <c r="X539" s="10"/>
      <c r="Y539" s="12"/>
      <c r="Z539" s="10"/>
      <c r="AA539" s="10"/>
      <c r="AB539" s="10"/>
      <c r="AC539" s="10"/>
      <c r="AD539" s="10"/>
      <c r="AE539" s="10"/>
      <c r="AF539" s="10"/>
      <c r="AG539" s="10"/>
      <c r="AH539" s="12"/>
      <c r="AI539" s="12"/>
      <c r="AJ539" s="12"/>
      <c r="AK539" s="12"/>
      <c r="AL539" s="12"/>
      <c r="AM539" s="12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2"/>
      <c r="CN539" s="12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</row>
    <row r="540" spans="1:104" s="11" customFormat="1" ht="21.75" customHeight="1">
      <c r="A540" s="13"/>
      <c r="B540" s="33"/>
      <c r="C540" s="96"/>
      <c r="D540" s="38"/>
      <c r="E540" s="9">
        <v>45871</v>
      </c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7"/>
      <c r="S540" s="10"/>
      <c r="T540" s="7"/>
      <c r="U540" s="10"/>
      <c r="V540" s="7"/>
      <c r="W540" s="10"/>
      <c r="X540" s="10"/>
      <c r="Y540" s="12"/>
      <c r="Z540" s="10"/>
      <c r="AA540" s="10"/>
      <c r="AB540" s="10"/>
      <c r="AC540" s="10"/>
      <c r="AD540" s="10"/>
      <c r="AE540" s="10"/>
      <c r="AF540" s="10"/>
      <c r="AG540" s="10"/>
      <c r="AH540" s="12"/>
      <c r="AI540" s="12"/>
      <c r="AJ540" s="12"/>
      <c r="AK540" s="12"/>
      <c r="AL540" s="12"/>
      <c r="AM540" s="12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2"/>
      <c r="CN540" s="12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</row>
    <row r="541" spans="1:104" s="11" customFormat="1" ht="21.75" customHeight="1">
      <c r="A541" s="13"/>
      <c r="B541" s="33"/>
      <c r="C541" s="96"/>
      <c r="D541" s="38"/>
      <c r="E541" s="9">
        <v>45871</v>
      </c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7"/>
      <c r="S541" s="10"/>
      <c r="T541" s="7"/>
      <c r="U541" s="10"/>
      <c r="V541" s="7"/>
      <c r="W541" s="10"/>
      <c r="X541" s="10"/>
      <c r="Y541" s="12"/>
      <c r="Z541" s="10"/>
      <c r="AA541" s="10"/>
      <c r="AB541" s="10"/>
      <c r="AC541" s="10"/>
      <c r="AD541" s="10"/>
      <c r="AE541" s="10"/>
      <c r="AF541" s="10"/>
      <c r="AG541" s="10"/>
      <c r="AH541" s="12"/>
      <c r="AI541" s="12"/>
      <c r="AJ541" s="12"/>
      <c r="AK541" s="12"/>
      <c r="AL541" s="12"/>
      <c r="AM541" s="12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2"/>
      <c r="CN541" s="12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</row>
    <row r="542" spans="1:104" s="11" customFormat="1" ht="21.75" customHeight="1">
      <c r="A542" s="13"/>
      <c r="B542" s="33"/>
      <c r="C542" s="96"/>
      <c r="D542" s="38"/>
      <c r="E542" s="9">
        <v>45871</v>
      </c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7"/>
      <c r="S542" s="10"/>
      <c r="T542" s="7"/>
      <c r="U542" s="10"/>
      <c r="V542" s="7"/>
      <c r="W542" s="10"/>
      <c r="X542" s="10"/>
      <c r="Y542" s="12"/>
      <c r="Z542" s="10"/>
      <c r="AA542" s="10"/>
      <c r="AB542" s="10"/>
      <c r="AC542" s="10"/>
      <c r="AD542" s="10"/>
      <c r="AE542" s="10"/>
      <c r="AF542" s="10"/>
      <c r="AG542" s="10"/>
      <c r="AH542" s="12"/>
      <c r="AI542" s="12"/>
      <c r="AJ542" s="12"/>
      <c r="AK542" s="12"/>
      <c r="AL542" s="12"/>
      <c r="AM542" s="12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2"/>
      <c r="CN542" s="12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</row>
    <row r="543" spans="1:104" s="11" customFormat="1" ht="21.75" customHeight="1">
      <c r="A543" s="13"/>
      <c r="B543" s="33"/>
      <c r="C543" s="96"/>
      <c r="D543" s="38"/>
      <c r="E543" s="9">
        <v>45871</v>
      </c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7"/>
      <c r="S543" s="10"/>
      <c r="T543" s="7"/>
      <c r="U543" s="10"/>
      <c r="V543" s="7"/>
      <c r="W543" s="10"/>
      <c r="X543" s="10"/>
      <c r="Y543" s="12"/>
      <c r="Z543" s="10"/>
      <c r="AA543" s="10"/>
      <c r="AB543" s="10"/>
      <c r="AC543" s="10"/>
      <c r="AD543" s="10"/>
      <c r="AE543" s="10"/>
      <c r="AF543" s="10"/>
      <c r="AG543" s="10"/>
      <c r="AH543" s="12"/>
      <c r="AI543" s="12"/>
      <c r="AJ543" s="12"/>
      <c r="AK543" s="12"/>
      <c r="AL543" s="12"/>
      <c r="AM543" s="12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2"/>
      <c r="CN543" s="12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</row>
    <row r="544" spans="1:104" s="11" customFormat="1" ht="21.75" customHeight="1">
      <c r="A544" s="13"/>
      <c r="B544" s="33"/>
      <c r="C544" s="96"/>
      <c r="D544" s="38"/>
      <c r="E544" s="9">
        <v>45871</v>
      </c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7"/>
      <c r="S544" s="10"/>
      <c r="T544" s="7"/>
      <c r="U544" s="10"/>
      <c r="V544" s="7"/>
      <c r="W544" s="10"/>
      <c r="X544" s="10"/>
      <c r="Y544" s="12"/>
      <c r="Z544" s="10"/>
      <c r="AA544" s="10"/>
      <c r="AB544" s="10"/>
      <c r="AC544" s="10"/>
      <c r="AD544" s="10"/>
      <c r="AE544" s="10"/>
      <c r="AF544" s="10"/>
      <c r="AG544" s="10"/>
      <c r="AH544" s="12"/>
      <c r="AI544" s="12"/>
      <c r="AJ544" s="12"/>
      <c r="AK544" s="12"/>
      <c r="AL544" s="12"/>
      <c r="AM544" s="12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2"/>
      <c r="CN544" s="12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</row>
    <row r="545" spans="1:104" s="11" customFormat="1" ht="21.75" customHeight="1">
      <c r="A545" s="13"/>
      <c r="B545" s="33"/>
      <c r="C545" s="96"/>
      <c r="D545" s="38"/>
      <c r="E545" s="9">
        <v>45871</v>
      </c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7"/>
      <c r="S545" s="10"/>
      <c r="T545" s="7"/>
      <c r="U545" s="10"/>
      <c r="V545" s="7"/>
      <c r="W545" s="10"/>
      <c r="X545" s="10"/>
      <c r="Y545" s="12"/>
      <c r="Z545" s="10"/>
      <c r="AA545" s="10"/>
      <c r="AB545" s="10"/>
      <c r="AC545" s="10"/>
      <c r="AD545" s="10"/>
      <c r="AE545" s="10"/>
      <c r="AF545" s="10"/>
      <c r="AG545" s="10"/>
      <c r="AH545" s="12"/>
      <c r="AI545" s="12"/>
      <c r="AJ545" s="12"/>
      <c r="AK545" s="12"/>
      <c r="AL545" s="12"/>
      <c r="AM545" s="12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2"/>
      <c r="CN545" s="12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</row>
    <row r="546" spans="1:104" s="11" customFormat="1" ht="21.75" customHeight="1">
      <c r="A546" s="13"/>
      <c r="B546" s="33"/>
      <c r="C546" s="96"/>
      <c r="D546" s="38"/>
      <c r="E546" s="9">
        <v>45871</v>
      </c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7"/>
      <c r="S546" s="10"/>
      <c r="T546" s="7"/>
      <c r="U546" s="10"/>
      <c r="V546" s="7"/>
      <c r="W546" s="10"/>
      <c r="X546" s="10"/>
      <c r="Y546" s="12"/>
      <c r="Z546" s="10"/>
      <c r="AA546" s="10"/>
      <c r="AB546" s="10"/>
      <c r="AC546" s="10"/>
      <c r="AD546" s="10"/>
      <c r="AE546" s="10"/>
      <c r="AF546" s="10"/>
      <c r="AG546" s="10"/>
      <c r="AH546" s="12"/>
      <c r="AI546" s="12"/>
      <c r="AJ546" s="12"/>
      <c r="AK546" s="12"/>
      <c r="AL546" s="12"/>
      <c r="AM546" s="12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2"/>
      <c r="CN546" s="12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</row>
    <row r="547" spans="1:104" s="11" customFormat="1" ht="21.75" customHeight="1">
      <c r="A547" s="13"/>
      <c r="B547" s="33"/>
      <c r="C547" s="96"/>
      <c r="D547" s="38"/>
      <c r="E547" s="9">
        <v>45871</v>
      </c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7"/>
      <c r="S547" s="10"/>
      <c r="T547" s="7"/>
      <c r="U547" s="10"/>
      <c r="V547" s="7"/>
      <c r="W547" s="10"/>
      <c r="X547" s="10"/>
      <c r="Y547" s="12"/>
      <c r="Z547" s="10"/>
      <c r="AA547" s="10"/>
      <c r="AB547" s="10"/>
      <c r="AC547" s="10"/>
      <c r="AD547" s="10"/>
      <c r="AE547" s="10"/>
      <c r="AF547" s="10"/>
      <c r="AG547" s="10"/>
      <c r="AH547" s="12"/>
      <c r="AI547" s="12"/>
      <c r="AJ547" s="12"/>
      <c r="AK547" s="12"/>
      <c r="AL547" s="12"/>
      <c r="AM547" s="12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2"/>
      <c r="CN547" s="12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</row>
    <row r="548" spans="1:104" s="11" customFormat="1" ht="21.75" customHeight="1">
      <c r="A548" s="13"/>
      <c r="B548" s="33"/>
      <c r="C548" s="96"/>
      <c r="D548" s="38"/>
      <c r="E548" s="9">
        <v>45871</v>
      </c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7"/>
      <c r="S548" s="10"/>
      <c r="T548" s="7"/>
      <c r="U548" s="10"/>
      <c r="V548" s="7"/>
      <c r="W548" s="10"/>
      <c r="X548" s="10"/>
      <c r="Y548" s="12"/>
      <c r="Z548" s="10"/>
      <c r="AA548" s="10"/>
      <c r="AB548" s="10"/>
      <c r="AC548" s="10"/>
      <c r="AD548" s="10"/>
      <c r="AE548" s="10"/>
      <c r="AF548" s="10"/>
      <c r="AG548" s="10"/>
      <c r="AH548" s="12"/>
      <c r="AI548" s="12"/>
      <c r="AJ548" s="12"/>
      <c r="AK548" s="12"/>
      <c r="AL548" s="12"/>
      <c r="AM548" s="12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2"/>
      <c r="CN548" s="12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</row>
    <row r="549" spans="1:104" s="11" customFormat="1" ht="21.75" customHeight="1">
      <c r="A549" s="13"/>
      <c r="B549" s="33"/>
      <c r="C549" s="96"/>
      <c r="D549" s="38"/>
      <c r="E549" s="9">
        <v>45871</v>
      </c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7"/>
      <c r="S549" s="10"/>
      <c r="T549" s="7"/>
      <c r="U549" s="10"/>
      <c r="V549" s="7"/>
      <c r="W549" s="10"/>
      <c r="X549" s="10"/>
      <c r="Y549" s="12"/>
      <c r="Z549" s="10"/>
      <c r="AA549" s="10"/>
      <c r="AB549" s="10"/>
      <c r="AC549" s="10"/>
      <c r="AD549" s="10"/>
      <c r="AE549" s="10"/>
      <c r="AF549" s="10"/>
      <c r="AG549" s="10"/>
      <c r="AH549" s="12"/>
      <c r="AI549" s="12"/>
      <c r="AJ549" s="12"/>
      <c r="AK549" s="12"/>
      <c r="AL549" s="12"/>
      <c r="AM549" s="12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2"/>
      <c r="CN549" s="12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</row>
    <row r="550" spans="1:104" s="11" customFormat="1" ht="21.75" customHeight="1">
      <c r="A550" s="13"/>
      <c r="B550" s="33"/>
      <c r="C550" s="96"/>
      <c r="D550" s="38"/>
      <c r="E550" s="9">
        <v>45871</v>
      </c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7"/>
      <c r="S550" s="10"/>
      <c r="T550" s="7"/>
      <c r="U550" s="10"/>
      <c r="V550" s="7"/>
      <c r="W550" s="10"/>
      <c r="X550" s="10"/>
      <c r="Y550" s="12"/>
      <c r="Z550" s="10"/>
      <c r="AA550" s="10"/>
      <c r="AB550" s="10"/>
      <c r="AC550" s="10"/>
      <c r="AD550" s="10"/>
      <c r="AE550" s="10"/>
      <c r="AF550" s="10"/>
      <c r="AG550" s="10"/>
      <c r="AH550" s="12"/>
      <c r="AI550" s="12"/>
      <c r="AJ550" s="12"/>
      <c r="AK550" s="12"/>
      <c r="AL550" s="12"/>
      <c r="AM550" s="12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2"/>
      <c r="CN550" s="12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</row>
    <row r="551" spans="1:104" s="11" customFormat="1" ht="21.75" customHeight="1">
      <c r="A551" s="13"/>
      <c r="B551" s="33"/>
      <c r="C551" s="96"/>
      <c r="D551" s="38"/>
      <c r="E551" s="9">
        <v>45871</v>
      </c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7"/>
      <c r="S551" s="10"/>
      <c r="T551" s="7"/>
      <c r="U551" s="10"/>
      <c r="V551" s="7"/>
      <c r="W551" s="10"/>
      <c r="X551" s="10"/>
      <c r="Y551" s="12"/>
      <c r="Z551" s="10"/>
      <c r="AA551" s="10"/>
      <c r="AB551" s="10"/>
      <c r="AC551" s="10"/>
      <c r="AD551" s="10"/>
      <c r="AE551" s="10"/>
      <c r="AF551" s="10"/>
      <c r="AG551" s="10"/>
      <c r="AH551" s="12"/>
      <c r="AI551" s="12"/>
      <c r="AJ551" s="12"/>
      <c r="AK551" s="12"/>
      <c r="AL551" s="12"/>
      <c r="AM551" s="12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2"/>
      <c r="CN551" s="12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</row>
    <row r="552" spans="1:104" s="11" customFormat="1" ht="21.75" customHeight="1">
      <c r="A552" s="13"/>
      <c r="B552" s="33"/>
      <c r="C552" s="96"/>
      <c r="D552" s="38"/>
      <c r="E552" s="9">
        <v>45871</v>
      </c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7"/>
      <c r="S552" s="10"/>
      <c r="T552" s="7"/>
      <c r="U552" s="10"/>
      <c r="V552" s="7"/>
      <c r="W552" s="10"/>
      <c r="X552" s="10"/>
      <c r="Y552" s="12"/>
      <c r="Z552" s="10"/>
      <c r="AA552" s="10"/>
      <c r="AB552" s="10"/>
      <c r="AC552" s="10"/>
      <c r="AD552" s="10"/>
      <c r="AE552" s="10"/>
      <c r="AF552" s="10"/>
      <c r="AG552" s="10"/>
      <c r="AH552" s="12"/>
      <c r="AI552" s="12"/>
      <c r="AJ552" s="12"/>
      <c r="AK552" s="12"/>
      <c r="AL552" s="12"/>
      <c r="AM552" s="12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2"/>
      <c r="CN552" s="12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</row>
    <row r="553" spans="1:104" s="11" customFormat="1" ht="21.75" customHeight="1">
      <c r="A553" s="13"/>
      <c r="B553" s="33"/>
      <c r="C553" s="96"/>
      <c r="D553" s="38"/>
      <c r="E553" s="9">
        <v>45871</v>
      </c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7"/>
      <c r="S553" s="10"/>
      <c r="T553" s="7"/>
      <c r="U553" s="10"/>
      <c r="V553" s="7"/>
      <c r="W553" s="10"/>
      <c r="X553" s="10"/>
      <c r="Y553" s="12"/>
      <c r="Z553" s="10"/>
      <c r="AA553" s="10"/>
      <c r="AB553" s="10"/>
      <c r="AC553" s="10"/>
      <c r="AD553" s="10"/>
      <c r="AE553" s="10"/>
      <c r="AF553" s="10"/>
      <c r="AG553" s="10"/>
      <c r="AH553" s="12"/>
      <c r="AI553" s="12"/>
      <c r="AJ553" s="12"/>
      <c r="AK553" s="12"/>
      <c r="AL553" s="12"/>
      <c r="AM553" s="12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2"/>
      <c r="CN553" s="12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</row>
    <row r="554" spans="1:104" s="11" customFormat="1" ht="21.75" customHeight="1">
      <c r="A554" s="13"/>
      <c r="B554" s="33"/>
      <c r="C554" s="96"/>
      <c r="D554" s="38"/>
      <c r="E554" s="9">
        <v>45871</v>
      </c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7"/>
      <c r="S554" s="10"/>
      <c r="T554" s="7"/>
      <c r="U554" s="10"/>
      <c r="V554" s="7"/>
      <c r="W554" s="10"/>
      <c r="X554" s="10"/>
      <c r="Y554" s="12"/>
      <c r="Z554" s="10"/>
      <c r="AA554" s="10"/>
      <c r="AB554" s="10"/>
      <c r="AC554" s="10"/>
      <c r="AD554" s="10"/>
      <c r="AE554" s="10"/>
      <c r="AF554" s="10"/>
      <c r="AG554" s="10"/>
      <c r="AH554" s="12"/>
      <c r="AI554" s="12"/>
      <c r="AJ554" s="12"/>
      <c r="AK554" s="12"/>
      <c r="AL554" s="12"/>
      <c r="AM554" s="12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2"/>
      <c r="CN554" s="12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</row>
    <row r="555" spans="1:104" s="11" customFormat="1" ht="21.75" customHeight="1">
      <c r="A555" s="13"/>
      <c r="B555" s="33"/>
      <c r="C555" s="96"/>
      <c r="D555" s="38"/>
      <c r="E555" s="9">
        <v>45871</v>
      </c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7"/>
      <c r="S555" s="10"/>
      <c r="T555" s="7"/>
      <c r="U555" s="10"/>
      <c r="V555" s="7"/>
      <c r="W555" s="10"/>
      <c r="X555" s="10"/>
      <c r="Y555" s="12"/>
      <c r="Z555" s="10"/>
      <c r="AA555" s="10"/>
      <c r="AB555" s="10"/>
      <c r="AC555" s="10"/>
      <c r="AD555" s="10"/>
      <c r="AE555" s="10"/>
      <c r="AF555" s="10"/>
      <c r="AG555" s="10"/>
      <c r="AH555" s="12"/>
      <c r="AI555" s="12"/>
      <c r="AJ555" s="12"/>
      <c r="AK555" s="12"/>
      <c r="AL555" s="12"/>
      <c r="AM555" s="12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2"/>
      <c r="CN555" s="12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</row>
    <row r="556" spans="1:104" s="11" customFormat="1" ht="21.75" customHeight="1">
      <c r="A556" s="13"/>
      <c r="B556" s="33"/>
      <c r="C556" s="96"/>
      <c r="D556" s="38"/>
      <c r="E556" s="9">
        <v>45871</v>
      </c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7"/>
      <c r="S556" s="10"/>
      <c r="T556" s="7"/>
      <c r="U556" s="10"/>
      <c r="V556" s="7"/>
      <c r="W556" s="10"/>
      <c r="X556" s="10"/>
      <c r="Y556" s="12"/>
      <c r="Z556" s="10"/>
      <c r="AA556" s="10"/>
      <c r="AB556" s="10"/>
      <c r="AC556" s="10"/>
      <c r="AD556" s="10"/>
      <c r="AE556" s="10"/>
      <c r="AF556" s="10"/>
      <c r="AG556" s="10"/>
      <c r="AH556" s="12"/>
      <c r="AI556" s="12"/>
      <c r="AJ556" s="12"/>
      <c r="AK556" s="12"/>
      <c r="AL556" s="12"/>
      <c r="AM556" s="12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2"/>
      <c r="CN556" s="12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</row>
    <row r="557" spans="1:104" s="11" customFormat="1" ht="21.75" customHeight="1">
      <c r="A557" s="13"/>
      <c r="B557" s="33"/>
      <c r="C557" s="96"/>
      <c r="D557" s="38"/>
      <c r="E557" s="9">
        <v>45871</v>
      </c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7"/>
      <c r="S557" s="10"/>
      <c r="T557" s="7"/>
      <c r="U557" s="10"/>
      <c r="V557" s="7"/>
      <c r="W557" s="10"/>
      <c r="X557" s="10"/>
      <c r="Y557" s="12"/>
      <c r="Z557" s="10"/>
      <c r="AA557" s="10"/>
      <c r="AB557" s="10"/>
      <c r="AC557" s="10"/>
      <c r="AD557" s="10"/>
      <c r="AE557" s="10"/>
      <c r="AF557" s="10"/>
      <c r="AG557" s="10"/>
      <c r="AH557" s="12"/>
      <c r="AI557" s="12"/>
      <c r="AJ557" s="12"/>
      <c r="AK557" s="12"/>
      <c r="AL557" s="12"/>
      <c r="AM557" s="12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2"/>
      <c r="CN557" s="12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</row>
    <row r="558" spans="1:104" s="11" customFormat="1" ht="21.75" customHeight="1">
      <c r="A558" s="13"/>
      <c r="B558" s="33"/>
      <c r="C558" s="96"/>
      <c r="D558" s="38"/>
      <c r="E558" s="9">
        <v>45871</v>
      </c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7"/>
      <c r="S558" s="10"/>
      <c r="T558" s="7"/>
      <c r="U558" s="10"/>
      <c r="V558" s="7"/>
      <c r="W558" s="10"/>
      <c r="X558" s="10"/>
      <c r="Y558" s="12"/>
      <c r="Z558" s="10"/>
      <c r="AA558" s="10"/>
      <c r="AB558" s="10"/>
      <c r="AC558" s="10"/>
      <c r="AD558" s="10"/>
      <c r="AE558" s="10"/>
      <c r="AF558" s="10"/>
      <c r="AG558" s="10"/>
      <c r="AH558" s="12"/>
      <c r="AI558" s="12"/>
      <c r="AJ558" s="12"/>
      <c r="AK558" s="12"/>
      <c r="AL558" s="12"/>
      <c r="AM558" s="12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2"/>
      <c r="CN558" s="12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</row>
    <row r="559" spans="1:104" s="11" customFormat="1" ht="21.75" customHeight="1">
      <c r="A559" s="13"/>
      <c r="B559" s="33"/>
      <c r="C559" s="96"/>
      <c r="D559" s="38"/>
      <c r="E559" s="9">
        <v>45871</v>
      </c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7"/>
      <c r="S559" s="10"/>
      <c r="T559" s="7"/>
      <c r="U559" s="10"/>
      <c r="V559" s="7"/>
      <c r="W559" s="10"/>
      <c r="X559" s="10"/>
      <c r="Y559" s="12"/>
      <c r="Z559" s="10"/>
      <c r="AA559" s="10"/>
      <c r="AB559" s="10"/>
      <c r="AC559" s="10"/>
      <c r="AD559" s="10"/>
      <c r="AE559" s="10"/>
      <c r="AF559" s="10"/>
      <c r="AG559" s="10"/>
      <c r="AH559" s="12"/>
      <c r="AI559" s="12"/>
      <c r="AJ559" s="12"/>
      <c r="AK559" s="12"/>
      <c r="AL559" s="12"/>
      <c r="AM559" s="12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2"/>
      <c r="CN559" s="12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</row>
    <row r="560" spans="1:104" s="11" customFormat="1" ht="21.75" customHeight="1">
      <c r="A560" s="13"/>
      <c r="B560" s="33"/>
      <c r="C560" s="96"/>
      <c r="D560" s="38"/>
      <c r="E560" s="9">
        <v>45871</v>
      </c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7"/>
      <c r="S560" s="10"/>
      <c r="T560" s="7"/>
      <c r="U560" s="10"/>
      <c r="V560" s="7"/>
      <c r="W560" s="10"/>
      <c r="X560" s="10"/>
      <c r="Y560" s="12"/>
      <c r="Z560" s="10"/>
      <c r="AA560" s="10"/>
      <c r="AB560" s="10"/>
      <c r="AC560" s="10"/>
      <c r="AD560" s="10"/>
      <c r="AE560" s="10"/>
      <c r="AF560" s="10"/>
      <c r="AG560" s="10"/>
      <c r="AH560" s="12"/>
      <c r="AI560" s="12"/>
      <c r="AJ560" s="12"/>
      <c r="AK560" s="12"/>
      <c r="AL560" s="12"/>
      <c r="AM560" s="12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2"/>
      <c r="CN560" s="12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</row>
    <row r="561" spans="1:106" s="11" customFormat="1" ht="21.75" customHeight="1">
      <c r="A561" s="13"/>
      <c r="B561" s="33"/>
      <c r="C561" s="96"/>
      <c r="D561" s="38"/>
      <c r="E561" s="9">
        <v>45871</v>
      </c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7"/>
      <c r="S561" s="10"/>
      <c r="T561" s="7"/>
      <c r="U561" s="10"/>
      <c r="V561" s="7"/>
      <c r="W561" s="10"/>
      <c r="X561" s="10"/>
      <c r="Y561" s="12"/>
      <c r="Z561" s="10"/>
      <c r="AA561" s="10"/>
      <c r="AB561" s="10"/>
      <c r="AC561" s="10"/>
      <c r="AD561" s="10"/>
      <c r="AE561" s="10"/>
      <c r="AF561" s="10"/>
      <c r="AG561" s="10"/>
      <c r="AH561" s="12"/>
      <c r="AI561" s="12"/>
      <c r="AJ561" s="12"/>
      <c r="AK561" s="12"/>
      <c r="AL561" s="12"/>
      <c r="AM561" s="12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2"/>
      <c r="CN561" s="12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</row>
    <row r="563" spans="1:106" ht="32.25" customHeight="1">
      <c r="A563" s="346" t="s">
        <v>1012</v>
      </c>
      <c r="B563" s="346"/>
      <c r="C563" s="346"/>
      <c r="D563" s="346"/>
      <c r="E563" s="346"/>
      <c r="F563" s="346"/>
      <c r="G563" s="346"/>
      <c r="H563" s="346"/>
      <c r="I563" s="346"/>
      <c r="J563" s="346"/>
      <c r="K563" s="346"/>
      <c r="L563" s="346"/>
      <c r="M563" s="346"/>
      <c r="N563" s="346"/>
      <c r="O563" s="346"/>
      <c r="P563" s="346"/>
      <c r="Q563" s="346"/>
      <c r="R563" s="346"/>
      <c r="S563" s="346"/>
      <c r="T563" s="346"/>
      <c r="U563" s="346"/>
      <c r="V563" s="346"/>
      <c r="W563" s="346"/>
      <c r="X563" s="346"/>
      <c r="Y563" s="346"/>
      <c r="Z563" s="346"/>
      <c r="AA563" s="346"/>
      <c r="AB563" s="346"/>
      <c r="AC563" s="346"/>
      <c r="AD563" s="346"/>
      <c r="AE563" s="346"/>
      <c r="AF563" s="346"/>
      <c r="AG563" s="346"/>
      <c r="AH563" s="346"/>
      <c r="AI563" s="346"/>
      <c r="AJ563" s="346"/>
      <c r="AK563" s="346"/>
      <c r="AL563" s="346"/>
      <c r="AM563" s="346"/>
      <c r="AN563" s="346"/>
      <c r="AO563" s="346"/>
      <c r="AP563" s="346"/>
      <c r="AQ563" s="346"/>
      <c r="AR563" s="346"/>
      <c r="AS563" s="346"/>
      <c r="AT563" s="346"/>
      <c r="AU563" s="346"/>
      <c r="AV563" s="346"/>
      <c r="AW563" s="346"/>
      <c r="AX563" s="346"/>
      <c r="AY563" s="346"/>
      <c r="AZ563" s="346"/>
      <c r="BA563" s="346"/>
      <c r="BB563" s="346"/>
      <c r="BC563" s="346"/>
      <c r="BD563" s="346"/>
      <c r="BE563" s="346"/>
      <c r="BF563" s="346"/>
      <c r="BG563" s="346"/>
      <c r="BH563" s="346"/>
      <c r="BI563" s="346"/>
      <c r="BJ563" s="346"/>
      <c r="BK563" s="346"/>
      <c r="BL563" s="346"/>
      <c r="BM563" s="346"/>
      <c r="BN563" s="346"/>
      <c r="BO563" s="346"/>
      <c r="BP563" s="346"/>
      <c r="BQ563" s="346"/>
      <c r="BR563" s="346"/>
      <c r="BS563" s="346"/>
      <c r="BT563" s="346"/>
      <c r="BU563" s="346"/>
      <c r="BV563" s="346"/>
      <c r="BW563" s="346"/>
      <c r="BX563" s="346"/>
      <c r="BY563" s="346"/>
      <c r="BZ563" s="346"/>
      <c r="CA563" s="346"/>
      <c r="CB563" s="346"/>
      <c r="CC563" s="346"/>
      <c r="CD563" s="346"/>
      <c r="CE563" s="346"/>
      <c r="CF563" s="346"/>
      <c r="CG563" s="346"/>
      <c r="CH563" s="346"/>
      <c r="CI563" s="346"/>
      <c r="CJ563" s="346"/>
      <c r="CK563" s="346"/>
      <c r="CL563" s="346"/>
      <c r="CM563" s="346"/>
      <c r="CN563" s="346"/>
      <c r="CO563" s="346"/>
      <c r="CP563" s="346"/>
      <c r="CQ563" s="346"/>
      <c r="CR563" s="346"/>
      <c r="CS563" s="346"/>
      <c r="CT563" s="346"/>
      <c r="CU563" s="347">
        <f>SUM(CZ9:CZ561)</f>
        <v>362</v>
      </c>
      <c r="CV563" s="348"/>
      <c r="CW563" s="348"/>
      <c r="CX563" s="349" t="s">
        <v>1013</v>
      </c>
      <c r="CY563" s="349"/>
      <c r="CZ563" s="8"/>
      <c r="DB563" s="11"/>
    </row>
  </sheetData>
  <autoFilter ref="A8:CPD8" xr:uid="{19346D71-07A0-4B22-9DBC-88C57C42BCF5}"/>
  <mergeCells count="29">
    <mergeCell ref="A5:CZ5"/>
    <mergeCell ref="A1:CM4"/>
    <mergeCell ref="CN1:CZ1"/>
    <mergeCell ref="CN2:CZ2"/>
    <mergeCell ref="CN3:CZ3"/>
    <mergeCell ref="CN4:CZ4"/>
    <mergeCell ref="BU7:CG7"/>
    <mergeCell ref="A6:A8"/>
    <mergeCell ref="B6:B8"/>
    <mergeCell ref="C6:C8"/>
    <mergeCell ref="D6:D8"/>
    <mergeCell ref="E6:E8"/>
    <mergeCell ref="AO7:AW7"/>
    <mergeCell ref="A563:CT563"/>
    <mergeCell ref="CU563:CW563"/>
    <mergeCell ref="CX563:CY563"/>
    <mergeCell ref="CZ6:CZ7"/>
    <mergeCell ref="F7:O7"/>
    <mergeCell ref="P7:V7"/>
    <mergeCell ref="W7:AG7"/>
    <mergeCell ref="AH7:AN7"/>
    <mergeCell ref="AX7:BD7"/>
    <mergeCell ref="BE7:BQ7"/>
    <mergeCell ref="BR7:BT7"/>
    <mergeCell ref="CM7:CQ7"/>
    <mergeCell ref="CR7:CV7"/>
    <mergeCell ref="CW7:CY7"/>
    <mergeCell ref="F6:CY6"/>
    <mergeCell ref="CH7:CL7"/>
  </mergeCells>
  <phoneticPr fontId="17" type="noConversion"/>
  <conditionalFormatting sqref="B258">
    <cfRule type="duplicateValues" dxfId="152" priority="347"/>
  </conditionalFormatting>
  <conditionalFormatting sqref="B274">
    <cfRule type="duplicateValues" dxfId="151" priority="283"/>
  </conditionalFormatting>
  <conditionalFormatting sqref="B277">
    <cfRule type="duplicateValues" dxfId="150" priority="277"/>
  </conditionalFormatting>
  <conditionalFormatting sqref="B281">
    <cfRule type="duplicateValues" dxfId="149" priority="257"/>
  </conditionalFormatting>
  <conditionalFormatting sqref="B284">
    <cfRule type="duplicateValues" dxfId="148" priority="256"/>
  </conditionalFormatting>
  <conditionalFormatting sqref="B286">
    <cfRule type="duplicateValues" dxfId="147" priority="246"/>
  </conditionalFormatting>
  <conditionalFormatting sqref="B288">
    <cfRule type="duplicateValues" dxfId="146" priority="243"/>
  </conditionalFormatting>
  <conditionalFormatting sqref="B289">
    <cfRule type="duplicateValues" dxfId="145" priority="242"/>
  </conditionalFormatting>
  <conditionalFormatting sqref="B295">
    <cfRule type="duplicateValues" dxfId="144" priority="226"/>
  </conditionalFormatting>
  <conditionalFormatting sqref="B296">
    <cfRule type="duplicateValues" dxfId="143" priority="225"/>
  </conditionalFormatting>
  <conditionalFormatting sqref="B393">
    <cfRule type="duplicateValues" dxfId="142" priority="83"/>
  </conditionalFormatting>
  <conditionalFormatting sqref="B395">
    <cfRule type="duplicateValues" dxfId="141" priority="79"/>
  </conditionalFormatting>
  <conditionalFormatting sqref="B423">
    <cfRule type="duplicateValues" dxfId="140" priority="66"/>
  </conditionalFormatting>
  <conditionalFormatting sqref="B424">
    <cfRule type="duplicateValues" dxfId="139" priority="65"/>
  </conditionalFormatting>
  <conditionalFormatting sqref="B425">
    <cfRule type="duplicateValues" dxfId="138" priority="64"/>
  </conditionalFormatting>
  <conditionalFormatting sqref="B478">
    <cfRule type="duplicateValues" dxfId="137" priority="62"/>
    <cfRule type="duplicateValues" dxfId="136" priority="63"/>
  </conditionalFormatting>
  <conditionalFormatting sqref="B479">
    <cfRule type="duplicateValues" dxfId="135" priority="59"/>
    <cfRule type="duplicateValues" dxfId="134" priority="60"/>
  </conditionalFormatting>
  <conditionalFormatting sqref="B480">
    <cfRule type="duplicateValues" dxfId="133" priority="57"/>
    <cfRule type="duplicateValues" dxfId="132" priority="58"/>
  </conditionalFormatting>
  <conditionalFormatting sqref="B481">
    <cfRule type="duplicateValues" dxfId="131" priority="55"/>
    <cfRule type="duplicateValues" dxfId="130" priority="56"/>
  </conditionalFormatting>
  <conditionalFormatting sqref="B482">
    <cfRule type="duplicateValues" dxfId="129" priority="53"/>
    <cfRule type="duplicateValues" dxfId="128" priority="54"/>
  </conditionalFormatting>
  <conditionalFormatting sqref="B483">
    <cfRule type="duplicateValues" dxfId="127" priority="51"/>
    <cfRule type="duplicateValues" dxfId="126" priority="52"/>
  </conditionalFormatting>
  <conditionalFormatting sqref="B484">
    <cfRule type="duplicateValues" dxfId="125" priority="49"/>
    <cfRule type="duplicateValues" dxfId="124" priority="50"/>
  </conditionalFormatting>
  <conditionalFormatting sqref="B485">
    <cfRule type="duplicateValues" dxfId="123" priority="47"/>
    <cfRule type="duplicateValues" dxfId="122" priority="48"/>
  </conditionalFormatting>
  <conditionalFormatting sqref="B486">
    <cfRule type="duplicateValues" dxfId="121" priority="45"/>
    <cfRule type="duplicateValues" dxfId="120" priority="46"/>
  </conditionalFormatting>
  <conditionalFormatting sqref="B487">
    <cfRule type="duplicateValues" dxfId="119" priority="44"/>
  </conditionalFormatting>
  <conditionalFormatting sqref="B488">
    <cfRule type="duplicateValues" dxfId="118" priority="43"/>
  </conditionalFormatting>
  <conditionalFormatting sqref="B490">
    <cfRule type="duplicateValues" dxfId="117" priority="41"/>
    <cfRule type="duplicateValues" dxfId="116" priority="42"/>
  </conditionalFormatting>
  <conditionalFormatting sqref="B491">
    <cfRule type="duplicateValues" dxfId="115" priority="38"/>
    <cfRule type="duplicateValues" dxfId="114" priority="39"/>
  </conditionalFormatting>
  <conditionalFormatting sqref="B492">
    <cfRule type="duplicateValues" dxfId="113" priority="36"/>
    <cfRule type="duplicateValues" dxfId="112" priority="37"/>
  </conditionalFormatting>
  <conditionalFormatting sqref="B493">
    <cfRule type="duplicateValues" dxfId="111" priority="34"/>
    <cfRule type="duplicateValues" dxfId="110" priority="35"/>
  </conditionalFormatting>
  <conditionalFormatting sqref="B494">
    <cfRule type="duplicateValues" dxfId="109" priority="33"/>
  </conditionalFormatting>
  <conditionalFormatting sqref="B495">
    <cfRule type="duplicateValues" dxfId="108" priority="31"/>
    <cfRule type="duplicateValues" dxfId="107" priority="32"/>
  </conditionalFormatting>
  <conditionalFormatting sqref="B496">
    <cfRule type="duplicateValues" dxfId="106" priority="29"/>
    <cfRule type="duplicateValues" dxfId="105" priority="30"/>
  </conditionalFormatting>
  <conditionalFormatting sqref="B497">
    <cfRule type="duplicateValues" dxfId="104" priority="28"/>
  </conditionalFormatting>
  <conditionalFormatting sqref="B498">
    <cfRule type="duplicateValues" dxfId="103" priority="26"/>
    <cfRule type="duplicateValues" dxfId="102" priority="27"/>
  </conditionalFormatting>
  <conditionalFormatting sqref="B499:B500 B373:B384">
    <cfRule type="duplicateValues" dxfId="101" priority="103"/>
  </conditionalFormatting>
  <conditionalFormatting sqref="B518">
    <cfRule type="duplicateValues" dxfId="100" priority="24"/>
    <cfRule type="duplicateValues" dxfId="99" priority="25"/>
  </conditionalFormatting>
  <conditionalFormatting sqref="B519">
    <cfRule type="duplicateValues" dxfId="98" priority="22"/>
  </conditionalFormatting>
  <conditionalFormatting sqref="B520">
    <cfRule type="duplicateValues" dxfId="97" priority="19"/>
    <cfRule type="duplicateValues" dxfId="96" priority="20"/>
  </conditionalFormatting>
  <conditionalFormatting sqref="B521">
    <cfRule type="duplicateValues" dxfId="95" priority="16"/>
    <cfRule type="duplicateValues" dxfId="94" priority="17"/>
  </conditionalFormatting>
  <conditionalFormatting sqref="B524">
    <cfRule type="duplicateValues" dxfId="93" priority="13"/>
    <cfRule type="duplicateValues" dxfId="92" priority="14"/>
  </conditionalFormatting>
  <conditionalFormatting sqref="B525">
    <cfRule type="duplicateValues" dxfId="91" priority="11"/>
  </conditionalFormatting>
  <conditionalFormatting sqref="B526">
    <cfRule type="duplicateValues" dxfId="90" priority="9"/>
  </conditionalFormatting>
  <conditionalFormatting sqref="B527">
    <cfRule type="duplicateValues" dxfId="89" priority="7"/>
    <cfRule type="duplicateValues" dxfId="88" priority="8"/>
  </conditionalFormatting>
  <conditionalFormatting sqref="B528">
    <cfRule type="duplicateValues" dxfId="87" priority="5"/>
    <cfRule type="duplicateValues" dxfId="86" priority="6"/>
  </conditionalFormatting>
  <conditionalFormatting sqref="B529">
    <cfRule type="duplicateValues" dxfId="85" priority="4"/>
  </conditionalFormatting>
  <conditionalFormatting sqref="B1:C1048576">
    <cfRule type="duplicateValues" dxfId="84" priority="1"/>
  </conditionalFormatting>
  <conditionalFormatting sqref="B46:C46 B259:C273 B278:C280 B282:C283 B287:C287 B298:D299 B309:D309 B331:D337 B367:D372 D257:D290 D373:D394 D396:D411 D423:D425 D499:D507 D514:D515">
    <cfRule type="expression" dxfId="83" priority="101" stopIfTrue="1">
      <formula>$I46="S"</formula>
    </cfRule>
  </conditionalFormatting>
  <conditionalFormatting sqref="B253:C253">
    <cfRule type="expression" dxfId="82" priority="100" stopIfTrue="1">
      <formula>$I253="S"</formula>
    </cfRule>
  </conditionalFormatting>
  <conditionalFormatting sqref="B257:C257">
    <cfRule type="expression" dxfId="81" priority="285" stopIfTrue="1">
      <formula>$I257="S"</formula>
    </cfRule>
  </conditionalFormatting>
  <conditionalFormatting sqref="B275:C276">
    <cfRule type="expression" dxfId="80" priority="279" stopIfTrue="1">
      <formula>$I275="S"</formula>
    </cfRule>
  </conditionalFormatting>
  <conditionalFormatting sqref="B285:C285">
    <cfRule type="expression" dxfId="79" priority="98" stopIfTrue="1">
      <formula>$I285="S"</formula>
    </cfRule>
  </conditionalFormatting>
  <conditionalFormatting sqref="B290:C290">
    <cfRule type="duplicateValues" dxfId="78" priority="240"/>
  </conditionalFormatting>
  <conditionalFormatting sqref="B302:C302 B304:C307 B308:D308 B310:D330 B338:D344 B349:D366 D302:D307">
    <cfRule type="expression" dxfId="77" priority="205" stopIfTrue="1">
      <formula>$J302="S"</formula>
    </cfRule>
  </conditionalFormatting>
  <conditionalFormatting sqref="B345:C348">
    <cfRule type="expression" dxfId="76" priority="120" stopIfTrue="1">
      <formula>$J345="S"</formula>
    </cfRule>
  </conditionalFormatting>
  <conditionalFormatting sqref="B385:C392">
    <cfRule type="expression" dxfId="75" priority="85" stopIfTrue="1">
      <formula>$I385="S"</formula>
    </cfRule>
  </conditionalFormatting>
  <conditionalFormatting sqref="B394:C394">
    <cfRule type="expression" dxfId="74" priority="81" stopIfTrue="1">
      <formula>$I394="S"</formula>
    </cfRule>
  </conditionalFormatting>
  <conditionalFormatting sqref="B396:C405">
    <cfRule type="expression" dxfId="73" priority="67" stopIfTrue="1">
      <formula>$I396="S"</formula>
    </cfRule>
  </conditionalFormatting>
  <conditionalFormatting sqref="B9:CZ10 A9:A561 B11:CY45 CZ11:CZ256 D46:CY46 B47:CY239 B240:AJ240 AL240:CY240 B241:CY252 D253:CY253 B254:CY256 E257:CZ414 D345:D348 E415:AF415 AH415:CZ415 E416:CZ442 E443:G443 I443:CZ443 E444:CZ561">
    <cfRule type="expression" dxfId="72" priority="352">
      <formula xml:space="preserve"> MOD(ROW()/2,1)&gt;0</formula>
    </cfRule>
  </conditionalFormatting>
  <conditionalFormatting sqref="B9:CZ10 B11:CY45 B47:CY239 B240:AJ240 B241:CY252 B254:CY256 A9:A561 CZ11:CZ256 D46:CY46 AL240:CY240 D253:CY253 E257:CZ414 D345:D348 E415:AF415 AH415:CZ415 E416:CZ442 E443:G443 I443:CZ443 E444:CZ561">
    <cfRule type="expression" dxfId="71" priority="351">
      <formula>#REF!="Out of Date"</formula>
    </cfRule>
  </conditionalFormatting>
  <conditionalFormatting sqref="C291:C293 C300:D301 C303 D294:D297">
    <cfRule type="expression" dxfId="70" priority="210" stopIfTrue="1">
      <formula>IF(#REF!="NA",TRUE,FASLE)</formula>
    </cfRule>
  </conditionalFormatting>
  <conditionalFormatting sqref="D294:D297 D300:D301">
    <cfRule type="expression" dxfId="69" priority="228" stopIfTrue="1">
      <formula>"NA"</formula>
    </cfRule>
  </conditionalFormatting>
  <conditionalFormatting sqref="D444">
    <cfRule type="expression" dxfId="68" priority="77" stopIfTrue="1">
      <formula>$I444="S"</formula>
    </cfRule>
  </conditionalFormatting>
  <conditionalFormatting sqref="D478:D488">
    <cfRule type="expression" dxfId="67" priority="61" stopIfTrue="1">
      <formula>K$3="S"</formula>
    </cfRule>
  </conditionalFormatting>
  <conditionalFormatting sqref="D490:D498">
    <cfRule type="expression" dxfId="66" priority="40" stopIfTrue="1">
      <formula>K$3="S"</formula>
    </cfRule>
  </conditionalFormatting>
  <conditionalFormatting sqref="D518:D521">
    <cfRule type="expression" dxfId="65" priority="15" stopIfTrue="1">
      <formula>K$3="S"</formula>
    </cfRule>
  </conditionalFormatting>
  <conditionalFormatting sqref="D524:D527">
    <cfRule type="expression" dxfId="64" priority="10" stopIfTrue="1">
      <formula>K$3="S"</formula>
    </cfRule>
  </conditionalFormatting>
  <conditionalFormatting sqref="D529:D530">
    <cfRule type="expression" dxfId="63" priority="2" stopIfTrue="1">
      <formula>K$3="S"</formula>
    </cfRule>
  </conditionalFormatting>
  <pageMargins left="0.16" right="0.16" top="0.28000000000000003" bottom="0.2" header="0.3" footer="0.21"/>
  <pageSetup paperSize="8" scale="69" fitToHeight="0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A52A-35D9-49DB-9609-2C9C6E5A83E2}">
  <sheetPr>
    <tabColor rgb="FF00B050"/>
  </sheetPr>
  <dimension ref="B1:G24"/>
  <sheetViews>
    <sheetView showGridLines="0" tabSelected="1" zoomScale="90" zoomScaleNormal="90" workbookViewId="0">
      <pane xSplit="8" topLeftCell="J1" activePane="topRight" state="frozen"/>
      <selection pane="topRight" activeCell="D27" sqref="D27"/>
    </sheetView>
  </sheetViews>
  <sheetFormatPr defaultRowHeight="15"/>
  <cols>
    <col min="1" max="1" width="2.7109375" customWidth="1"/>
    <col min="2" max="2" width="15" bestFit="1" customWidth="1"/>
    <col min="3" max="3" width="17.28515625" bestFit="1" customWidth="1"/>
    <col min="4" max="4" width="15.42578125" bestFit="1" customWidth="1"/>
    <col min="5" max="5" width="14.5703125" bestFit="1" customWidth="1"/>
    <col min="6" max="6" width="19.7109375" bestFit="1" customWidth="1"/>
    <col min="7" max="7" width="15.28515625" bestFit="1" customWidth="1"/>
    <col min="8" max="8" width="14" customWidth="1"/>
    <col min="9" max="11" width="9.85546875" customWidth="1"/>
  </cols>
  <sheetData>
    <row r="1" spans="2:7" ht="23.25">
      <c r="B1" s="258" t="s">
        <v>1014</v>
      </c>
    </row>
    <row r="2" spans="2:7">
      <c r="B2" s="259" t="s">
        <v>1015</v>
      </c>
    </row>
    <row r="4" spans="2:7">
      <c r="B4" s="242" t="s">
        <v>8</v>
      </c>
      <c r="C4" s="242" t="s">
        <v>1016</v>
      </c>
      <c r="D4" s="242" t="s">
        <v>1017</v>
      </c>
      <c r="E4" s="242" t="s">
        <v>1018</v>
      </c>
      <c r="F4" s="242" t="s">
        <v>1019</v>
      </c>
      <c r="G4" s="242" t="s">
        <v>1020</v>
      </c>
    </row>
    <row r="5" spans="2:7">
      <c r="B5" s="240" t="s">
        <v>336</v>
      </c>
      <c r="C5" s="241">
        <f>COUNTA(G_Cutting!$H$6:$S$6)</f>
        <v>12</v>
      </c>
      <c r="D5" s="241">
        <f>COUNTA(G_Cutting!$C$7:$C$76)</f>
        <v>67</v>
      </c>
      <c r="E5" s="241">
        <f>COUNTIF(G_Cutting!$T:$T,"đủ điều kiện")</f>
        <v>67</v>
      </c>
      <c r="F5" s="241">
        <f>D5-E5</f>
        <v>0</v>
      </c>
      <c r="G5" s="255">
        <f>E5/D5</f>
        <v>1</v>
      </c>
    </row>
    <row r="6" spans="2:7">
      <c r="B6" s="240" t="s">
        <v>420</v>
      </c>
      <c r="C6" s="241">
        <f>COUNTA(G_Rolling!$H$6:$U$6)</f>
        <v>14</v>
      </c>
      <c r="D6" s="241">
        <f>COUNTA(G_Rolling!$C$7:$C$153)</f>
        <v>144</v>
      </c>
      <c r="E6" s="241">
        <f>COUNTIF(G_Rolling!$V:$V,"đủ điều kiện")</f>
        <v>138</v>
      </c>
      <c r="F6" s="241">
        <f t="shared" ref="F6:F13" si="0">D6-E6</f>
        <v>6</v>
      </c>
      <c r="G6" s="255">
        <f t="shared" ref="G6:G13" si="1">E6/D6</f>
        <v>0.95833333333333337</v>
      </c>
    </row>
    <row r="7" spans="2:7">
      <c r="B7" s="240" t="s">
        <v>262</v>
      </c>
      <c r="C7" s="241">
        <f>COUNTA(G_Finishing!$H$6:$S$6)</f>
        <v>12</v>
      </c>
      <c r="D7" s="241">
        <f>COUNTA(G_Finishing!$C$7:$C$53)</f>
        <v>47</v>
      </c>
      <c r="E7" s="241">
        <f>COUNTIF(G_Finishing!$T:$T,"đủ điều kiện")</f>
        <v>47</v>
      </c>
      <c r="F7" s="241">
        <f t="shared" si="0"/>
        <v>0</v>
      </c>
      <c r="G7" s="255">
        <f t="shared" si="1"/>
        <v>1</v>
      </c>
    </row>
    <row r="8" spans="2:7">
      <c r="B8" s="240" t="s">
        <v>576</v>
      </c>
      <c r="C8" s="241">
        <f>COUNTA(G_Buffing!$H$6:$S$6)</f>
        <v>12</v>
      </c>
      <c r="D8" s="241">
        <f>COUNTA(G_Buffing!$C$7:$C$52)</f>
        <v>45</v>
      </c>
      <c r="E8" s="241">
        <f>COUNTIF(G_Buffing!$T:$T,"đủ điều kiện")</f>
        <v>45</v>
      </c>
      <c r="F8" s="241">
        <f t="shared" si="0"/>
        <v>0</v>
      </c>
      <c r="G8" s="255">
        <f t="shared" si="1"/>
        <v>1</v>
      </c>
    </row>
    <row r="9" spans="2:7">
      <c r="B9" s="240" t="s">
        <v>393</v>
      </c>
      <c r="C9" s="241">
        <f>COUNTA(G_Dipping!$H$6:$Q$6)</f>
        <v>10</v>
      </c>
      <c r="D9" s="241">
        <f>COUNTA(G_Dipping!$C$7:$C$82)</f>
        <v>74</v>
      </c>
      <c r="E9" s="241">
        <f>COUNTIF(G_Dipping!$R:$R,"đủ điều kiện")</f>
        <v>74</v>
      </c>
      <c r="F9" s="241">
        <f t="shared" si="0"/>
        <v>0</v>
      </c>
      <c r="G9" s="255">
        <f t="shared" si="1"/>
        <v>1</v>
      </c>
    </row>
    <row r="10" spans="2:7">
      <c r="B10" s="240" t="s">
        <v>299</v>
      </c>
      <c r="C10" s="241">
        <f>COUNTA(G_Graphics!$H$6:$R$6)</f>
        <v>11</v>
      </c>
      <c r="D10" s="241">
        <f>COUNTA(G_Graphics!$C$7:$C$85)</f>
        <v>77</v>
      </c>
      <c r="E10" s="241">
        <f>COUNTIF(G_Graphics!$S:$S,"đủ điều kiện")</f>
        <v>74</v>
      </c>
      <c r="F10" s="241">
        <f t="shared" si="0"/>
        <v>3</v>
      </c>
      <c r="G10" s="255">
        <f t="shared" si="1"/>
        <v>0.96103896103896103</v>
      </c>
    </row>
    <row r="11" spans="2:7">
      <c r="B11" s="240" t="s">
        <v>1021</v>
      </c>
      <c r="C11" s="241">
        <f>COUNTA(A_Blank!$H$6:$Z$6)</f>
        <v>19</v>
      </c>
      <c r="D11" s="241">
        <f>COUNTA(A_Blank!$C$7:$C$55)</f>
        <v>49</v>
      </c>
      <c r="E11" s="241">
        <f>COUNTIF(A_Blank!$AA:$AA,"đủ điều kiện")</f>
        <v>49</v>
      </c>
      <c r="F11" s="241">
        <f t="shared" si="0"/>
        <v>0</v>
      </c>
      <c r="G11" s="255">
        <f t="shared" si="1"/>
        <v>1</v>
      </c>
    </row>
    <row r="12" spans="2:7">
      <c r="B12" s="240" t="s">
        <v>120</v>
      </c>
      <c r="C12" s="241">
        <f>COUNTA(A_Graphics!$H$6:$N$6)</f>
        <v>7</v>
      </c>
      <c r="D12" s="241">
        <f>COUNTA(A_Graphics!$C$7:$C$40)</f>
        <v>33</v>
      </c>
      <c r="E12" s="241">
        <f>COUNTIF(A_Graphics!$O:$O,"đủ điều kiện")</f>
        <v>33</v>
      </c>
      <c r="F12" s="241">
        <f t="shared" si="0"/>
        <v>0</v>
      </c>
      <c r="G12" s="255">
        <f t="shared" si="1"/>
        <v>1</v>
      </c>
    </row>
    <row r="13" spans="2:7">
      <c r="B13" s="240" t="s">
        <v>19</v>
      </c>
      <c r="C13" s="241">
        <f>COUNTA(Kayak!$H$6:$Z$6)</f>
        <v>19</v>
      </c>
      <c r="D13" s="241">
        <f>COUNTA(Kayak!$C$7:$C$22)</f>
        <v>16</v>
      </c>
      <c r="E13" s="241">
        <f>COUNTIF(Kayak!$AA:$AA,"đủ điều kiện")</f>
        <v>16</v>
      </c>
      <c r="F13" s="241">
        <f t="shared" si="0"/>
        <v>0</v>
      </c>
      <c r="G13" s="255">
        <f t="shared" si="1"/>
        <v>1</v>
      </c>
    </row>
    <row r="15" spans="2:7">
      <c r="B15" s="242" t="s">
        <v>8</v>
      </c>
      <c r="C15" s="242" t="s">
        <v>1022</v>
      </c>
      <c r="D15" s="242" t="s">
        <v>1023</v>
      </c>
      <c r="E15" s="242" t="s">
        <v>1024</v>
      </c>
      <c r="F15" s="242" t="s">
        <v>1025</v>
      </c>
      <c r="G15" s="242" t="s">
        <v>1026</v>
      </c>
    </row>
    <row r="16" spans="2:7">
      <c r="B16" s="240" t="s">
        <v>336</v>
      </c>
      <c r="C16" s="241">
        <f>COUNTIF(G_Cutting!$U:$U,Summary!C$15)</f>
        <v>0</v>
      </c>
      <c r="D16" s="241">
        <f>COUNTIF(G_Cutting!$U:$U,Summary!D$15)</f>
        <v>0</v>
      </c>
      <c r="E16" s="241">
        <f>COUNTIF(G_Cutting!$U:$U,Summary!E$15)</f>
        <v>0</v>
      </c>
      <c r="F16" s="241">
        <f>COUNTIF(G_Cutting!$U:$U,Summary!F$15)</f>
        <v>0</v>
      </c>
      <c r="G16" s="241">
        <f>COUNTIF(G_Cutting!$U:$U,Summary!G$15)</f>
        <v>0</v>
      </c>
    </row>
    <row r="17" spans="2:7">
      <c r="B17" s="240" t="s">
        <v>420</v>
      </c>
      <c r="C17" s="241">
        <f>COUNTIF(G_Rolling!$W:$W,Summary!C$15)</f>
        <v>0</v>
      </c>
      <c r="D17" s="241">
        <f>COUNTIF(G_Rolling!$W:$W,Summary!D$15)</f>
        <v>6</v>
      </c>
      <c r="E17" s="241">
        <f>COUNTIF(G_Rolling!$W:$W,Summary!E$15)</f>
        <v>0</v>
      </c>
      <c r="F17" s="241">
        <f>COUNTIF(G_Rolling!$W:$W,Summary!F$15)</f>
        <v>0</v>
      </c>
      <c r="G17" s="241">
        <f>COUNTIF(G_Rolling!$W:$W,Summary!G$15)</f>
        <v>0</v>
      </c>
    </row>
    <row r="18" spans="2:7">
      <c r="B18" s="240" t="s">
        <v>262</v>
      </c>
      <c r="C18" s="241">
        <f>COUNTIF(G_Finishing!$U:$U,Summary!C$15)</f>
        <v>0</v>
      </c>
      <c r="D18" s="241">
        <f>COUNTIF(G_Finishing!$U:$U,Summary!D$15)</f>
        <v>0</v>
      </c>
      <c r="E18" s="241">
        <f>COUNTIF(G_Finishing!$U:$U,Summary!E$15)</f>
        <v>0</v>
      </c>
      <c r="F18" s="241">
        <f>COUNTIF(G_Finishing!$U:$U,Summary!F$15)</f>
        <v>0</v>
      </c>
      <c r="G18" s="241">
        <f>COUNTIF(G_Finishing!$U:$U,Summary!G$15)</f>
        <v>0</v>
      </c>
    </row>
    <row r="19" spans="2:7">
      <c r="B19" s="240" t="s">
        <v>576</v>
      </c>
      <c r="C19" s="241">
        <f>COUNTIF(G_Buffing!$U:$U,Summary!C$15)</f>
        <v>0</v>
      </c>
      <c r="D19" s="241">
        <f>COUNTIF(G_Buffing!$U:$U,Summary!D$15)</f>
        <v>0</v>
      </c>
      <c r="E19" s="241">
        <f>COUNTIF(G_Buffing!$U:$U,Summary!E$15)</f>
        <v>0</v>
      </c>
      <c r="F19" s="241">
        <f>COUNTIF(G_Buffing!$U:$U,Summary!F$15)</f>
        <v>0</v>
      </c>
      <c r="G19" s="241">
        <f>COUNTIF(G_Buffing!$U:$U,Summary!G$15)</f>
        <v>0</v>
      </c>
    </row>
    <row r="20" spans="2:7">
      <c r="B20" s="240" t="s">
        <v>393</v>
      </c>
      <c r="C20" s="241">
        <f>COUNTIF(G_Dipping!$S:$S,Summary!C$15)</f>
        <v>0</v>
      </c>
      <c r="D20" s="241">
        <f>COUNTIF(G_Dipping!$S:$S,Summary!D$15)</f>
        <v>0</v>
      </c>
      <c r="E20" s="241">
        <f>COUNTIF(G_Dipping!$S:$S,Summary!E$15)</f>
        <v>0</v>
      </c>
      <c r="F20" s="241">
        <f>COUNTIF(G_Dipping!$S:$S,Summary!F$15)</f>
        <v>0</v>
      </c>
      <c r="G20" s="241">
        <f>COUNTIF(G_Dipping!$S:$S,Summary!G$15)</f>
        <v>0</v>
      </c>
    </row>
    <row r="21" spans="2:7">
      <c r="B21" s="240" t="s">
        <v>299</v>
      </c>
      <c r="C21" s="241">
        <f>COUNTIF(G_Graphics!$T:$T,Summary!C$15)</f>
        <v>0</v>
      </c>
      <c r="D21" s="241">
        <f>COUNTIF(G_Graphics!$T:$T,Summary!D$15)</f>
        <v>1</v>
      </c>
      <c r="E21" s="241">
        <f>COUNTIF(G_Graphics!$T:$T,Summary!E$15)</f>
        <v>0</v>
      </c>
      <c r="F21" s="241">
        <f>COUNTIF(G_Graphics!$T:$T,Summary!F$15)</f>
        <v>0</v>
      </c>
      <c r="G21" s="241">
        <f>COUNTIF(G_Graphics!$T:$T,Summary!G$15)</f>
        <v>2</v>
      </c>
    </row>
    <row r="22" spans="2:7">
      <c r="B22" s="240" t="s">
        <v>1021</v>
      </c>
      <c r="C22" s="241">
        <f>COUNTIF(A_Blank!$AB:$AB,Summary!C$15)</f>
        <v>0</v>
      </c>
      <c r="D22" s="241">
        <f>COUNTIF(A_Blank!$AB:$AB,Summary!D$15)</f>
        <v>0</v>
      </c>
      <c r="E22" s="241">
        <f>COUNTIF(A_Blank!$AB:$AB,Summary!E$15)</f>
        <v>0</v>
      </c>
      <c r="F22" s="241">
        <f>COUNTIF(A_Blank!$AB:$AB,Summary!F$15)</f>
        <v>0</v>
      </c>
      <c r="G22" s="241">
        <f>COUNTIF(A_Blank!$AB:$AB,Summary!G$15)</f>
        <v>0</v>
      </c>
    </row>
    <row r="23" spans="2:7">
      <c r="B23" s="240" t="s">
        <v>120</v>
      </c>
      <c r="C23" s="241">
        <f>COUNTIF(A_Graphics!$P:$P,Summary!C$15)</f>
        <v>0</v>
      </c>
      <c r="D23" s="241">
        <f>COUNTIF(A_Graphics!$P:$P,Summary!D$15)</f>
        <v>0</v>
      </c>
      <c r="E23" s="241">
        <f>COUNTIF(A_Graphics!$P:$P,Summary!E$15)</f>
        <v>0</v>
      </c>
      <c r="F23" s="241">
        <f>COUNTIF(A_Graphics!$P:$P,Summary!F$15)</f>
        <v>0</v>
      </c>
      <c r="G23" s="241">
        <f>COUNTIF(A_Graphics!$P:$P,Summary!G$15)</f>
        <v>0</v>
      </c>
    </row>
    <row r="24" spans="2:7">
      <c r="B24" s="240" t="s">
        <v>19</v>
      </c>
      <c r="C24" s="241">
        <f>COUNTIF(Kayak!$AB:$AB,Summary!C$15)</f>
        <v>0</v>
      </c>
      <c r="D24" s="241">
        <f>COUNTIF(Kayak!$AB:$AB,Summary!D$15)</f>
        <v>0</v>
      </c>
      <c r="E24" s="241">
        <f>COUNTIF(Kayak!$AB:$AB,Summary!E$15)</f>
        <v>0</v>
      </c>
      <c r="F24" s="241">
        <f>COUNTIF(Kayak!$AB:$AB,Summary!F$15)</f>
        <v>0</v>
      </c>
      <c r="G24" s="241">
        <f>COUNTIF(Kayak!$AB:$AB,Summary!G$15)</f>
        <v>0</v>
      </c>
    </row>
  </sheetData>
  <conditionalFormatting sqref="G5:G13">
    <cfRule type="cellIs" dxfId="62" priority="1" operator="equal">
      <formula>1</formula>
    </cfRule>
    <cfRule type="cellIs" dxfId="61" priority="3" operator="lessThan">
      <formula>0.8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F1D5-A0E5-49B1-840B-4CDB3082DD4F}">
  <sheetPr>
    <tabColor theme="0" tint="-0.14999847407452621"/>
  </sheetPr>
  <dimension ref="A1:W87"/>
  <sheetViews>
    <sheetView topLeftCell="A70" zoomScale="85" zoomScaleNormal="85" workbookViewId="0">
      <selection activeCell="C86" sqref="C86:K87"/>
    </sheetView>
  </sheetViews>
  <sheetFormatPr defaultRowHeight="15"/>
  <cols>
    <col min="1" max="1" width="9.5703125" bestFit="1" customWidth="1"/>
    <col min="2" max="2" width="15.28515625" style="263" bestFit="1" customWidth="1"/>
    <col min="3" max="11" width="13.7109375" customWidth="1"/>
    <col min="13" max="13" width="9.5703125" bestFit="1" customWidth="1"/>
    <col min="14" max="22" width="13.7109375" customWidth="1"/>
  </cols>
  <sheetData>
    <row r="1" spans="1:23">
      <c r="A1" t="s">
        <v>1027</v>
      </c>
      <c r="B1" s="263" t="s">
        <v>1028</v>
      </c>
      <c r="C1" t="s">
        <v>12</v>
      </c>
      <c r="D1" t="s">
        <v>13</v>
      </c>
      <c r="E1" t="s">
        <v>14</v>
      </c>
      <c r="F1" t="s">
        <v>1029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M1" t="s">
        <v>1027</v>
      </c>
      <c r="N1" t="s">
        <v>12</v>
      </c>
      <c r="O1" t="s">
        <v>13</v>
      </c>
      <c r="P1" t="s">
        <v>14</v>
      </c>
      <c r="Q1" t="s">
        <v>1029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1030</v>
      </c>
    </row>
    <row r="2" spans="1:23">
      <c r="A2" t="str">
        <f>TEXT(B2,"yyyy") &amp; "-T" &amp; TEXT(MONTH(B2),"00")</f>
        <v>2025-T07</v>
      </c>
      <c r="B2" s="265" cm="1">
        <f t="array" ref="B2:B87">_xlfn._xlws.SORT(_xlfn.UNIQUE(_xlfn._xlws.FILTER(_xlfn.VSTACK(G_Cutting!G7:G999,G_Rolling!G7:G991,G_Finishing!G7:G998,G_Buffing!G7:G1000,G_Dipping!G7:G1008,G_Graphics!G7:G1002,A_Blank!G7:G55,A_Graphics!G7:G998,Kayak!G7:G995),_xlfn.VSTACK(G_Cutting!G7:G999,G_Rolling!G7:G991,G_Finishing!G7:G998,G_Buffing!G7:G1000,G_Dipping!G7:G1008,G_Graphics!G7:G1002,A_Blank!G7:G55,A_Graphics!G7:G998,Kayak!G7:G995)&lt;&gt;"")))</f>
        <v>45858</v>
      </c>
      <c r="C2" s="264">
        <f t="shared" ref="C2:K2" ca="1" si="0">COUNTIFS(INDIRECT(C$1 &amp; "!$G$6:$G$1000"),$B2)</f>
        <v>0</v>
      </c>
      <c r="D2" s="264">
        <f t="shared" ca="1" si="0"/>
        <v>1</v>
      </c>
      <c r="E2" s="264">
        <f t="shared" ca="1" si="0"/>
        <v>0</v>
      </c>
      <c r="F2" s="264">
        <f t="shared" ca="1" si="0"/>
        <v>0</v>
      </c>
      <c r="G2" s="264">
        <f t="shared" ca="1" si="0"/>
        <v>0</v>
      </c>
      <c r="H2" s="264">
        <f t="shared" ca="1" si="0"/>
        <v>0</v>
      </c>
      <c r="I2" s="264">
        <f t="shared" ca="1" si="0"/>
        <v>0</v>
      </c>
      <c r="J2" s="264">
        <f t="shared" ca="1" si="0"/>
        <v>0</v>
      </c>
      <c r="K2" s="264">
        <f t="shared" ca="1" si="0"/>
        <v>0</v>
      </c>
      <c r="M2" s="264" t="str" cm="1">
        <f t="array" ref="M2:M12">_xlfn._xlws.SORT(_xlfn.UNIQUE(A2:A86))</f>
        <v>2025-T07</v>
      </c>
      <c r="N2" t="str">
        <f t="shared" ref="N2" ca="1" si="1">_xlfn.LET(_xlpm.v,SUMIFS(C:C,$A:$A,$M2),IF(_xlpm.v=0,"",_xlpm.v))</f>
        <v/>
      </c>
      <c r="O2">
        <f t="shared" ref="O2" ca="1" si="2">_xlfn.LET(_xlpm.v,SUMIFS(D:D,$A:$A,$M2),IF(_xlpm.v=0,"",_xlpm.v))</f>
        <v>2</v>
      </c>
      <c r="P2">
        <f t="shared" ref="P2" ca="1" si="3">_xlfn.LET(_xlpm.v,SUMIFS(E:E,$A:$A,$M2),IF(_xlpm.v=0,"",_xlpm.v))</f>
        <v>1</v>
      </c>
      <c r="Q2" t="str">
        <f t="shared" ref="Q2" ca="1" si="4">_xlfn.LET(_xlpm.v,SUMIFS(F:F,$A:$A,$M2),IF(_xlpm.v=0,"",_xlpm.v))</f>
        <v/>
      </c>
      <c r="R2" t="str">
        <f t="shared" ref="R2" ca="1" si="5">_xlfn.LET(_xlpm.v,SUMIFS(G:G,$A:$A,$M2),IF(_xlpm.v=0,"",_xlpm.v))</f>
        <v/>
      </c>
      <c r="S2" t="str">
        <f t="shared" ref="S2" ca="1" si="6">_xlfn.LET(_xlpm.v,SUMIFS(H:H,$A:$A,$M2),IF(_xlpm.v=0,"",_xlpm.v))</f>
        <v/>
      </c>
      <c r="T2" t="str">
        <f t="shared" ref="T2" ca="1" si="7">_xlfn.LET(_xlpm.v,SUMIFS(I:I,$A:$A,$M2),IF(_xlpm.v=0,"",_xlpm.v))</f>
        <v/>
      </c>
      <c r="U2" t="str">
        <f t="shared" ref="U2" ca="1" si="8">_xlfn.LET(_xlpm.v,SUMIFS(J:J,$A:$A,$M2),IF(_xlpm.v=0,"",_xlpm.v))</f>
        <v/>
      </c>
      <c r="V2" t="str">
        <f t="shared" ref="V2" ca="1" si="9">_xlfn.LET(_xlpm.v,SUMIFS(K:K,$A:$A,$M2),IF(_xlpm.v=0,"",_xlpm.v))</f>
        <v/>
      </c>
      <c r="W2">
        <f ca="1">SUM(N2:V2)</f>
        <v>3</v>
      </c>
    </row>
    <row r="3" spans="1:23">
      <c r="A3" t="str">
        <f t="shared" ref="A3:A66" si="10">TEXT(B3,"yyyy") &amp; "-T" &amp; TEXT(MONTH(B3),"00")</f>
        <v>2025-T07</v>
      </c>
      <c r="B3" s="263">
        <v>45866</v>
      </c>
      <c r="C3" s="264">
        <f t="shared" ref="C3:D18" ca="1" si="11">COUNTIFS(INDIRECT(C$1 &amp; "!$G$6:$G$1000"),$B3)</f>
        <v>0</v>
      </c>
      <c r="D3" s="264">
        <f t="shared" ca="1" si="11"/>
        <v>1</v>
      </c>
      <c r="E3" s="264">
        <f t="shared" ref="E3:K18" ca="1" si="12">COUNTIFS(INDIRECT(E$1 &amp; "!$G$6:$G$1000"),$B3)</f>
        <v>0</v>
      </c>
      <c r="F3" s="264">
        <f t="shared" ca="1" si="12"/>
        <v>0</v>
      </c>
      <c r="G3" s="264">
        <f t="shared" ca="1" si="12"/>
        <v>0</v>
      </c>
      <c r="H3" s="264">
        <f t="shared" ca="1" si="12"/>
        <v>0</v>
      </c>
      <c r="I3" s="264">
        <f t="shared" ca="1" si="12"/>
        <v>0</v>
      </c>
      <c r="J3" s="264">
        <f t="shared" ca="1" si="12"/>
        <v>0</v>
      </c>
      <c r="K3" s="264">
        <f t="shared" ca="1" si="12"/>
        <v>0</v>
      </c>
      <c r="M3" t="str">
        <v>2025-T08</v>
      </c>
      <c r="N3" t="str">
        <f t="shared" ref="N3:N30" ca="1" si="13">_xlfn.LET(_xlpm.v,SUMIFS(C:C,$A:$A,$M3),IF(_xlpm.v=0,"",_xlpm.v))</f>
        <v/>
      </c>
      <c r="O3">
        <f t="shared" ref="O3:O30" ca="1" si="14">_xlfn.LET(_xlpm.v,SUMIFS(D:D,$A:$A,$M3),IF(_xlpm.v=0,"",_xlpm.v))</f>
        <v>1</v>
      </c>
      <c r="P3" t="str">
        <f t="shared" ref="P3:P30" ca="1" si="15">_xlfn.LET(_xlpm.v,SUMIFS(E:E,$A:$A,$M3),IF(_xlpm.v=0,"",_xlpm.v))</f>
        <v/>
      </c>
      <c r="Q3" t="str">
        <f t="shared" ref="Q3:Q30" ca="1" si="16">_xlfn.LET(_xlpm.v,SUMIFS(F:F,$A:$A,$M3),IF(_xlpm.v=0,"",_xlpm.v))</f>
        <v/>
      </c>
      <c r="R3" t="str">
        <f t="shared" ref="R3:R30" ca="1" si="17">_xlfn.LET(_xlpm.v,SUMIFS(G:G,$A:$A,$M3),IF(_xlpm.v=0,"",_xlpm.v))</f>
        <v/>
      </c>
      <c r="S3" t="str">
        <f t="shared" ref="S3:S30" ca="1" si="18">_xlfn.LET(_xlpm.v,SUMIFS(H:H,$A:$A,$M3),IF(_xlpm.v=0,"",_xlpm.v))</f>
        <v/>
      </c>
      <c r="T3" t="str">
        <f t="shared" ref="T3:T30" ca="1" si="19">_xlfn.LET(_xlpm.v,SUMIFS(I:I,$A:$A,$M3),IF(_xlpm.v=0,"",_xlpm.v))</f>
        <v/>
      </c>
      <c r="U3" t="str">
        <f t="shared" ref="U3:U30" ca="1" si="20">_xlfn.LET(_xlpm.v,SUMIFS(J:J,$A:$A,$M3),IF(_xlpm.v=0,"",_xlpm.v))</f>
        <v/>
      </c>
      <c r="V3" t="str">
        <f t="shared" ref="V3:V30" ca="1" si="21">_xlfn.LET(_xlpm.v,SUMIFS(K:K,$A:$A,$M3),IF(_xlpm.v=0,"",_xlpm.v))</f>
        <v/>
      </c>
      <c r="W3">
        <f t="shared" ref="W3:W21" ca="1" si="22">SUM(N3:V3)</f>
        <v>1</v>
      </c>
    </row>
    <row r="4" spans="1:23">
      <c r="A4" t="str">
        <f t="shared" si="10"/>
        <v>2025-T07</v>
      </c>
      <c r="B4" s="263">
        <v>45869</v>
      </c>
      <c r="C4" s="264">
        <f t="shared" ca="1" si="11"/>
        <v>0</v>
      </c>
      <c r="D4" s="264">
        <f t="shared" ca="1" si="11"/>
        <v>0</v>
      </c>
      <c r="E4" s="264">
        <f t="shared" ca="1" si="12"/>
        <v>1</v>
      </c>
      <c r="F4" s="264">
        <f t="shared" ca="1" si="12"/>
        <v>0</v>
      </c>
      <c r="G4" s="264">
        <f t="shared" ca="1" si="12"/>
        <v>0</v>
      </c>
      <c r="H4" s="264">
        <f t="shared" ca="1" si="12"/>
        <v>0</v>
      </c>
      <c r="I4" s="264">
        <f t="shared" ca="1" si="12"/>
        <v>0</v>
      </c>
      <c r="J4" s="264">
        <f t="shared" ca="1" si="12"/>
        <v>0</v>
      </c>
      <c r="K4" s="264">
        <f t="shared" ca="1" si="12"/>
        <v>0</v>
      </c>
      <c r="M4" t="str">
        <v>2025-T10</v>
      </c>
      <c r="N4" t="str">
        <f t="shared" ca="1" si="13"/>
        <v/>
      </c>
      <c r="O4">
        <f t="shared" ca="1" si="14"/>
        <v>2</v>
      </c>
      <c r="P4">
        <f t="shared" ca="1" si="15"/>
        <v>2</v>
      </c>
      <c r="Q4">
        <f t="shared" ca="1" si="16"/>
        <v>3</v>
      </c>
      <c r="R4">
        <f t="shared" ca="1" si="17"/>
        <v>3</v>
      </c>
      <c r="S4" t="str">
        <f t="shared" ca="1" si="18"/>
        <v/>
      </c>
      <c r="T4" t="str">
        <f t="shared" ca="1" si="19"/>
        <v/>
      </c>
      <c r="U4" t="str">
        <f t="shared" ca="1" si="20"/>
        <v/>
      </c>
      <c r="V4" t="str">
        <f t="shared" ca="1" si="21"/>
        <v/>
      </c>
      <c r="W4">
        <f t="shared" ca="1" si="22"/>
        <v>10</v>
      </c>
    </row>
    <row r="5" spans="1:23">
      <c r="A5" t="str">
        <f t="shared" si="10"/>
        <v>2025-T08</v>
      </c>
      <c r="B5" s="263">
        <v>45892</v>
      </c>
      <c r="C5" s="264">
        <f t="shared" ca="1" si="11"/>
        <v>0</v>
      </c>
      <c r="D5" s="264">
        <f t="shared" ca="1" si="11"/>
        <v>1</v>
      </c>
      <c r="E5" s="264">
        <f t="shared" ca="1" si="12"/>
        <v>0</v>
      </c>
      <c r="F5" s="264">
        <f t="shared" ca="1" si="12"/>
        <v>0</v>
      </c>
      <c r="G5" s="264">
        <f t="shared" ca="1" si="12"/>
        <v>0</v>
      </c>
      <c r="H5" s="264">
        <f t="shared" ca="1" si="12"/>
        <v>0</v>
      </c>
      <c r="I5" s="264">
        <f t="shared" ca="1" si="12"/>
        <v>0</v>
      </c>
      <c r="J5" s="264">
        <f t="shared" ca="1" si="12"/>
        <v>0</v>
      </c>
      <c r="K5" s="264">
        <f t="shared" ca="1" si="12"/>
        <v>0</v>
      </c>
      <c r="M5" t="str">
        <v>2025-T11</v>
      </c>
      <c r="N5">
        <f t="shared" ca="1" si="13"/>
        <v>1</v>
      </c>
      <c r="O5">
        <f t="shared" ca="1" si="14"/>
        <v>6</v>
      </c>
      <c r="P5" t="str">
        <f t="shared" ca="1" si="15"/>
        <v/>
      </c>
      <c r="Q5" t="str">
        <f t="shared" ca="1" si="16"/>
        <v/>
      </c>
      <c r="R5" t="str">
        <f t="shared" ca="1" si="17"/>
        <v/>
      </c>
      <c r="S5">
        <f t="shared" ca="1" si="18"/>
        <v>1</v>
      </c>
      <c r="T5" t="str">
        <f t="shared" ca="1" si="19"/>
        <v/>
      </c>
      <c r="U5" t="str">
        <f t="shared" ca="1" si="20"/>
        <v/>
      </c>
      <c r="V5" t="str">
        <f t="shared" ca="1" si="21"/>
        <v/>
      </c>
      <c r="W5">
        <f t="shared" ca="1" si="22"/>
        <v>8</v>
      </c>
    </row>
    <row r="6" spans="1:23">
      <c r="A6" t="str">
        <f t="shared" si="10"/>
        <v>2025-T10</v>
      </c>
      <c r="B6" s="263">
        <v>45937</v>
      </c>
      <c r="C6" s="264">
        <f t="shared" ca="1" si="11"/>
        <v>0</v>
      </c>
      <c r="D6" s="264">
        <f t="shared" ca="1" si="11"/>
        <v>0</v>
      </c>
      <c r="E6" s="264">
        <f t="shared" ca="1" si="12"/>
        <v>1</v>
      </c>
      <c r="F6" s="264">
        <f t="shared" ca="1" si="12"/>
        <v>0</v>
      </c>
      <c r="G6" s="264">
        <f t="shared" ca="1" si="12"/>
        <v>0</v>
      </c>
      <c r="H6" s="264">
        <f t="shared" ca="1" si="12"/>
        <v>0</v>
      </c>
      <c r="I6" s="264">
        <f t="shared" ca="1" si="12"/>
        <v>0</v>
      </c>
      <c r="J6" s="264">
        <f t="shared" ca="1" si="12"/>
        <v>0</v>
      </c>
      <c r="K6" s="264">
        <f t="shared" ca="1" si="12"/>
        <v>0</v>
      </c>
      <c r="M6" t="str">
        <v>2025-T12</v>
      </c>
      <c r="N6">
        <f t="shared" ca="1" si="13"/>
        <v>8</v>
      </c>
      <c r="O6">
        <f t="shared" ca="1" si="14"/>
        <v>3</v>
      </c>
      <c r="P6">
        <f t="shared" ca="1" si="15"/>
        <v>3</v>
      </c>
      <c r="Q6">
        <f t="shared" ca="1" si="16"/>
        <v>8</v>
      </c>
      <c r="R6">
        <f t="shared" ca="1" si="17"/>
        <v>2</v>
      </c>
      <c r="S6" t="str">
        <f t="shared" ca="1" si="18"/>
        <v/>
      </c>
      <c r="T6" t="str">
        <f t="shared" ca="1" si="19"/>
        <v/>
      </c>
      <c r="U6" t="str">
        <f t="shared" ca="1" si="20"/>
        <v/>
      </c>
      <c r="V6" t="str">
        <f t="shared" ca="1" si="21"/>
        <v/>
      </c>
      <c r="W6">
        <f t="shared" ca="1" si="22"/>
        <v>24</v>
      </c>
    </row>
    <row r="7" spans="1:23">
      <c r="A7" t="str">
        <f t="shared" si="10"/>
        <v>2025-T10</v>
      </c>
      <c r="B7" s="263">
        <v>45945</v>
      </c>
      <c r="C7" s="264">
        <f t="shared" ca="1" si="11"/>
        <v>0</v>
      </c>
      <c r="D7" s="264">
        <f t="shared" ca="1" si="11"/>
        <v>0</v>
      </c>
      <c r="E7" s="264">
        <f t="shared" ca="1" si="12"/>
        <v>1</v>
      </c>
      <c r="F7" s="264">
        <f t="shared" ca="1" si="12"/>
        <v>0</v>
      </c>
      <c r="G7" s="264">
        <f t="shared" ca="1" si="12"/>
        <v>0</v>
      </c>
      <c r="H7" s="264">
        <f t="shared" ca="1" si="12"/>
        <v>0</v>
      </c>
      <c r="I7" s="264">
        <f t="shared" ca="1" si="12"/>
        <v>0</v>
      </c>
      <c r="J7" s="264">
        <f t="shared" ca="1" si="12"/>
        <v>0</v>
      </c>
      <c r="K7" s="264">
        <f t="shared" ca="1" si="12"/>
        <v>0</v>
      </c>
      <c r="M7" t="str">
        <v>2026-T01</v>
      </c>
      <c r="N7" t="str">
        <f t="shared" ca="1" si="13"/>
        <v/>
      </c>
      <c r="O7">
        <f t="shared" ca="1" si="14"/>
        <v>3</v>
      </c>
      <c r="P7" t="str">
        <f t="shared" ca="1" si="15"/>
        <v/>
      </c>
      <c r="Q7">
        <f t="shared" ca="1" si="16"/>
        <v>1</v>
      </c>
      <c r="R7">
        <f t="shared" ca="1" si="17"/>
        <v>2</v>
      </c>
      <c r="S7">
        <f t="shared" ca="1" si="18"/>
        <v>2</v>
      </c>
      <c r="T7" t="str">
        <f t="shared" ca="1" si="19"/>
        <v/>
      </c>
      <c r="U7" t="str">
        <f t="shared" ca="1" si="20"/>
        <v/>
      </c>
      <c r="V7" t="str">
        <f t="shared" ca="1" si="21"/>
        <v/>
      </c>
      <c r="W7">
        <f t="shared" ca="1" si="22"/>
        <v>8</v>
      </c>
    </row>
    <row r="8" spans="1:23">
      <c r="A8" t="str">
        <f t="shared" si="10"/>
        <v>2025-T10</v>
      </c>
      <c r="B8" s="263">
        <v>45948</v>
      </c>
      <c r="C8" s="264">
        <f t="shared" ca="1" si="11"/>
        <v>0</v>
      </c>
      <c r="D8" s="264">
        <f t="shared" ca="1" si="11"/>
        <v>0</v>
      </c>
      <c r="E8" s="264">
        <f t="shared" ca="1" si="12"/>
        <v>0</v>
      </c>
      <c r="F8" s="264">
        <f t="shared" ca="1" si="12"/>
        <v>0</v>
      </c>
      <c r="G8" s="264">
        <f t="shared" ca="1" si="12"/>
        <v>3</v>
      </c>
      <c r="H8" s="264">
        <f t="shared" ca="1" si="12"/>
        <v>0</v>
      </c>
      <c r="I8" s="264">
        <f t="shared" ca="1" si="12"/>
        <v>0</v>
      </c>
      <c r="J8" s="264">
        <f t="shared" ca="1" si="12"/>
        <v>0</v>
      </c>
      <c r="K8" s="264">
        <f t="shared" ca="1" si="12"/>
        <v>0</v>
      </c>
      <c r="M8" t="str">
        <v>2026-T02</v>
      </c>
      <c r="N8">
        <f t="shared" ca="1" si="13"/>
        <v>3</v>
      </c>
      <c r="O8">
        <f t="shared" ca="1" si="14"/>
        <v>2</v>
      </c>
      <c r="P8" t="str">
        <f t="shared" ca="1" si="15"/>
        <v/>
      </c>
      <c r="Q8" t="str">
        <f t="shared" ca="1" si="16"/>
        <v/>
      </c>
      <c r="R8">
        <f t="shared" ca="1" si="17"/>
        <v>2</v>
      </c>
      <c r="S8">
        <f t="shared" ca="1" si="18"/>
        <v>1</v>
      </c>
      <c r="T8" t="str">
        <f t="shared" ca="1" si="19"/>
        <v/>
      </c>
      <c r="U8" t="str">
        <f t="shared" ca="1" si="20"/>
        <v/>
      </c>
      <c r="V8" t="str">
        <f t="shared" ca="1" si="21"/>
        <v/>
      </c>
      <c r="W8">
        <f t="shared" ca="1" si="22"/>
        <v>8</v>
      </c>
    </row>
    <row r="9" spans="1:23">
      <c r="A9" t="str">
        <f t="shared" si="10"/>
        <v>2025-T10</v>
      </c>
      <c r="B9" s="263">
        <v>45950</v>
      </c>
      <c r="C9" s="264">
        <f t="shared" ca="1" si="11"/>
        <v>0</v>
      </c>
      <c r="D9" s="264">
        <f t="shared" ca="1" si="11"/>
        <v>0</v>
      </c>
      <c r="E9" s="264">
        <f t="shared" ca="1" si="12"/>
        <v>0</v>
      </c>
      <c r="F9" s="264">
        <f t="shared" ca="1" si="12"/>
        <v>1</v>
      </c>
      <c r="G9" s="264">
        <f t="shared" ca="1" si="12"/>
        <v>0</v>
      </c>
      <c r="H9" s="264">
        <f t="shared" ca="1" si="12"/>
        <v>0</v>
      </c>
      <c r="I9" s="264">
        <f t="shared" ca="1" si="12"/>
        <v>0</v>
      </c>
      <c r="J9" s="264">
        <f t="shared" ca="1" si="12"/>
        <v>0</v>
      </c>
      <c r="K9" s="264">
        <f t="shared" ca="1" si="12"/>
        <v>0</v>
      </c>
      <c r="M9" t="str">
        <v>2026-T03</v>
      </c>
      <c r="N9">
        <f t="shared" ca="1" si="13"/>
        <v>2</v>
      </c>
      <c r="O9">
        <f t="shared" ca="1" si="14"/>
        <v>8</v>
      </c>
      <c r="P9">
        <f t="shared" ca="1" si="15"/>
        <v>4</v>
      </c>
      <c r="Q9">
        <f t="shared" ca="1" si="16"/>
        <v>1</v>
      </c>
      <c r="R9">
        <f t="shared" ca="1" si="17"/>
        <v>7</v>
      </c>
      <c r="S9">
        <f t="shared" ca="1" si="18"/>
        <v>4</v>
      </c>
      <c r="T9" t="str">
        <f t="shared" ca="1" si="19"/>
        <v/>
      </c>
      <c r="U9" t="str">
        <f t="shared" ca="1" si="20"/>
        <v/>
      </c>
      <c r="V9">
        <f t="shared" ca="1" si="21"/>
        <v>1</v>
      </c>
      <c r="W9">
        <f t="shared" ca="1" si="22"/>
        <v>27</v>
      </c>
    </row>
    <row r="10" spans="1:23">
      <c r="A10" t="str">
        <f t="shared" si="10"/>
        <v>2025-T10</v>
      </c>
      <c r="B10" s="263">
        <v>45955</v>
      </c>
      <c r="C10" s="264">
        <f t="shared" ca="1" si="11"/>
        <v>0</v>
      </c>
      <c r="D10" s="264">
        <f t="shared" ca="1" si="11"/>
        <v>2</v>
      </c>
      <c r="E10" s="264">
        <f t="shared" ca="1" si="12"/>
        <v>0</v>
      </c>
      <c r="F10" s="264">
        <f t="shared" ca="1" si="12"/>
        <v>2</v>
      </c>
      <c r="G10" s="264">
        <f t="shared" ca="1" si="12"/>
        <v>0</v>
      </c>
      <c r="H10" s="264">
        <f t="shared" ca="1" si="12"/>
        <v>0</v>
      </c>
      <c r="I10" s="264">
        <f t="shared" ca="1" si="12"/>
        <v>0</v>
      </c>
      <c r="J10" s="264">
        <f t="shared" ca="1" si="12"/>
        <v>0</v>
      </c>
      <c r="K10" s="264">
        <f t="shared" ca="1" si="12"/>
        <v>0</v>
      </c>
      <c r="M10" t="str">
        <v>2026-T04</v>
      </c>
      <c r="N10">
        <f t="shared" ca="1" si="13"/>
        <v>21</v>
      </c>
      <c r="O10">
        <f t="shared" ca="1" si="14"/>
        <v>27</v>
      </c>
      <c r="P10" t="str">
        <f t="shared" ca="1" si="15"/>
        <v/>
      </c>
      <c r="Q10">
        <f t="shared" ca="1" si="16"/>
        <v>7</v>
      </c>
      <c r="R10">
        <f t="shared" ca="1" si="17"/>
        <v>6</v>
      </c>
      <c r="S10">
        <f t="shared" ca="1" si="18"/>
        <v>5</v>
      </c>
      <c r="T10">
        <f t="shared" ca="1" si="19"/>
        <v>10</v>
      </c>
      <c r="U10">
        <f t="shared" ca="1" si="20"/>
        <v>6</v>
      </c>
      <c r="V10">
        <f t="shared" ca="1" si="21"/>
        <v>8</v>
      </c>
      <c r="W10">
        <f t="shared" ca="1" si="22"/>
        <v>90</v>
      </c>
    </row>
    <row r="11" spans="1:23">
      <c r="A11" t="str">
        <f t="shared" si="10"/>
        <v>2025-T11</v>
      </c>
      <c r="B11" s="263">
        <v>45962</v>
      </c>
      <c r="C11" s="264">
        <f t="shared" ca="1" si="11"/>
        <v>0</v>
      </c>
      <c r="D11" s="264">
        <f t="shared" ca="1" si="11"/>
        <v>1</v>
      </c>
      <c r="E11" s="264">
        <f t="shared" ca="1" si="12"/>
        <v>0</v>
      </c>
      <c r="F11" s="264">
        <f t="shared" ca="1" si="12"/>
        <v>0</v>
      </c>
      <c r="G11" s="264">
        <f t="shared" ca="1" si="12"/>
        <v>0</v>
      </c>
      <c r="H11" s="264">
        <f t="shared" ca="1" si="12"/>
        <v>0</v>
      </c>
      <c r="I11" s="264">
        <f t="shared" ca="1" si="12"/>
        <v>0</v>
      </c>
      <c r="J11" s="264">
        <f t="shared" ca="1" si="12"/>
        <v>0</v>
      </c>
      <c r="K11" s="264">
        <f t="shared" ca="1" si="12"/>
        <v>0</v>
      </c>
      <c r="M11" t="str">
        <v>2026-T05</v>
      </c>
      <c r="N11">
        <f t="shared" ca="1" si="13"/>
        <v>2</v>
      </c>
      <c r="O11">
        <f t="shared" ca="1" si="14"/>
        <v>6</v>
      </c>
      <c r="P11">
        <f t="shared" ca="1" si="15"/>
        <v>3</v>
      </c>
      <c r="Q11">
        <f t="shared" ca="1" si="16"/>
        <v>5</v>
      </c>
      <c r="R11">
        <f t="shared" ca="1" si="17"/>
        <v>3</v>
      </c>
      <c r="S11">
        <f t="shared" ca="1" si="18"/>
        <v>6</v>
      </c>
      <c r="T11">
        <f t="shared" ca="1" si="19"/>
        <v>18</v>
      </c>
      <c r="U11">
        <f t="shared" ca="1" si="20"/>
        <v>4</v>
      </c>
      <c r="V11">
        <f t="shared" ca="1" si="21"/>
        <v>4</v>
      </c>
      <c r="W11">
        <f t="shared" ca="1" si="22"/>
        <v>51</v>
      </c>
    </row>
    <row r="12" spans="1:23">
      <c r="A12" t="str">
        <f t="shared" si="10"/>
        <v>2025-T11</v>
      </c>
      <c r="B12" s="263">
        <v>45975</v>
      </c>
      <c r="C12" s="264">
        <f t="shared" ca="1" si="11"/>
        <v>0</v>
      </c>
      <c r="D12" s="264">
        <f t="shared" ca="1" si="11"/>
        <v>5</v>
      </c>
      <c r="E12" s="264">
        <f t="shared" ca="1" si="12"/>
        <v>0</v>
      </c>
      <c r="F12" s="264">
        <f t="shared" ca="1" si="12"/>
        <v>0</v>
      </c>
      <c r="G12" s="264">
        <f t="shared" ca="1" si="12"/>
        <v>0</v>
      </c>
      <c r="H12" s="264">
        <f t="shared" ca="1" si="12"/>
        <v>0</v>
      </c>
      <c r="I12" s="264">
        <f t="shared" ca="1" si="12"/>
        <v>0</v>
      </c>
      <c r="J12" s="264">
        <f t="shared" ca="1" si="12"/>
        <v>0</v>
      </c>
      <c r="K12" s="264">
        <f t="shared" ca="1" si="12"/>
        <v>0</v>
      </c>
      <c r="M12" t="str">
        <v>2026-T06</v>
      </c>
      <c r="N12">
        <f t="shared" ca="1" si="13"/>
        <v>3</v>
      </c>
      <c r="O12" t="str">
        <f t="shared" ca="1" si="14"/>
        <v/>
      </c>
      <c r="P12">
        <f t="shared" ca="1" si="15"/>
        <v>2</v>
      </c>
      <c r="Q12">
        <f t="shared" ca="1" si="16"/>
        <v>1</v>
      </c>
      <c r="R12" t="str">
        <f t="shared" ca="1" si="17"/>
        <v/>
      </c>
      <c r="S12" t="str">
        <f t="shared" ca="1" si="18"/>
        <v/>
      </c>
      <c r="T12">
        <f t="shared" ca="1" si="19"/>
        <v>2</v>
      </c>
      <c r="U12">
        <f t="shared" ca="1" si="20"/>
        <v>1</v>
      </c>
      <c r="V12" t="str">
        <f t="shared" ca="1" si="21"/>
        <v/>
      </c>
      <c r="W12">
        <f t="shared" ca="1" si="22"/>
        <v>9</v>
      </c>
    </row>
    <row r="13" spans="1:23">
      <c r="A13" t="str">
        <f t="shared" si="10"/>
        <v>2025-T11</v>
      </c>
      <c r="B13" s="263">
        <v>45976</v>
      </c>
      <c r="C13" s="264">
        <f t="shared" ca="1" si="11"/>
        <v>0</v>
      </c>
      <c r="D13" s="264">
        <f t="shared" ca="1" si="11"/>
        <v>0</v>
      </c>
      <c r="E13" s="264">
        <f t="shared" ca="1" si="12"/>
        <v>0</v>
      </c>
      <c r="F13" s="264">
        <f t="shared" ca="1" si="12"/>
        <v>0</v>
      </c>
      <c r="G13" s="264">
        <f t="shared" ca="1" si="12"/>
        <v>0</v>
      </c>
      <c r="H13" s="264">
        <f t="shared" ca="1" si="12"/>
        <v>1</v>
      </c>
      <c r="I13" s="264">
        <f t="shared" ca="1" si="12"/>
        <v>0</v>
      </c>
      <c r="J13" s="264">
        <f t="shared" ca="1" si="12"/>
        <v>0</v>
      </c>
      <c r="K13" s="264">
        <f t="shared" ca="1" si="12"/>
        <v>0</v>
      </c>
      <c r="N13" t="str">
        <f t="shared" si="13"/>
        <v/>
      </c>
      <c r="O13" t="str">
        <f t="shared" si="14"/>
        <v/>
      </c>
      <c r="P13" t="str">
        <f t="shared" si="15"/>
        <v/>
      </c>
      <c r="Q13" t="str">
        <f t="shared" si="16"/>
        <v/>
      </c>
      <c r="R13" t="str">
        <f t="shared" si="17"/>
        <v/>
      </c>
      <c r="S13" t="str">
        <f t="shared" si="18"/>
        <v/>
      </c>
      <c r="T13" t="str">
        <f t="shared" si="19"/>
        <v/>
      </c>
      <c r="U13" t="str">
        <f t="shared" si="20"/>
        <v/>
      </c>
      <c r="V13" t="str">
        <f t="shared" si="21"/>
        <v/>
      </c>
      <c r="W13">
        <f t="shared" si="22"/>
        <v>0</v>
      </c>
    </row>
    <row r="14" spans="1:23">
      <c r="A14" t="str">
        <f t="shared" si="10"/>
        <v>2025-T11</v>
      </c>
      <c r="B14" s="263">
        <v>45979</v>
      </c>
      <c r="C14" s="264">
        <f t="shared" ca="1" si="11"/>
        <v>1</v>
      </c>
      <c r="D14" s="264">
        <f t="shared" ca="1" si="11"/>
        <v>0</v>
      </c>
      <c r="E14" s="264">
        <f t="shared" ca="1" si="12"/>
        <v>0</v>
      </c>
      <c r="F14" s="264">
        <f t="shared" ca="1" si="12"/>
        <v>0</v>
      </c>
      <c r="G14" s="264">
        <f t="shared" ca="1" si="12"/>
        <v>0</v>
      </c>
      <c r="H14" s="264">
        <f t="shared" ca="1" si="12"/>
        <v>0</v>
      </c>
      <c r="I14" s="264">
        <f t="shared" ca="1" si="12"/>
        <v>0</v>
      </c>
      <c r="J14" s="264">
        <f t="shared" ca="1" si="12"/>
        <v>0</v>
      </c>
      <c r="K14" s="264">
        <f t="shared" ca="1" si="12"/>
        <v>0</v>
      </c>
      <c r="N14" t="str">
        <f t="shared" si="13"/>
        <v/>
      </c>
      <c r="O14" t="str">
        <f t="shared" si="14"/>
        <v/>
      </c>
      <c r="P14" t="str">
        <f t="shared" si="15"/>
        <v/>
      </c>
      <c r="Q14" t="str">
        <f t="shared" si="16"/>
        <v/>
      </c>
      <c r="R14" t="str">
        <f t="shared" si="17"/>
        <v/>
      </c>
      <c r="S14" t="str">
        <f t="shared" si="18"/>
        <v/>
      </c>
      <c r="T14" t="str">
        <f t="shared" si="19"/>
        <v/>
      </c>
      <c r="U14" t="str">
        <f t="shared" si="20"/>
        <v/>
      </c>
      <c r="V14" t="str">
        <f t="shared" si="21"/>
        <v/>
      </c>
      <c r="W14">
        <f t="shared" si="22"/>
        <v>0</v>
      </c>
    </row>
    <row r="15" spans="1:23">
      <c r="A15" t="str">
        <f t="shared" si="10"/>
        <v>2025-T12</v>
      </c>
      <c r="B15" s="263">
        <v>45995</v>
      </c>
      <c r="C15" s="264">
        <f t="shared" ca="1" si="11"/>
        <v>0</v>
      </c>
      <c r="D15" s="264">
        <f t="shared" ca="1" si="11"/>
        <v>0</v>
      </c>
      <c r="E15" s="264">
        <f t="shared" ca="1" si="12"/>
        <v>0</v>
      </c>
      <c r="F15" s="264">
        <f t="shared" ca="1" si="12"/>
        <v>1</v>
      </c>
      <c r="G15" s="264">
        <f t="shared" ca="1" si="12"/>
        <v>0</v>
      </c>
      <c r="H15" s="264">
        <f t="shared" ca="1" si="12"/>
        <v>0</v>
      </c>
      <c r="I15" s="264">
        <f t="shared" ca="1" si="12"/>
        <v>0</v>
      </c>
      <c r="J15" s="264">
        <f t="shared" ca="1" si="12"/>
        <v>0</v>
      </c>
      <c r="K15" s="264">
        <f t="shared" ca="1" si="12"/>
        <v>0</v>
      </c>
      <c r="N15" t="str">
        <f t="shared" si="13"/>
        <v/>
      </c>
      <c r="O15" t="str">
        <f t="shared" si="14"/>
        <v/>
      </c>
      <c r="P15" t="str">
        <f t="shared" si="15"/>
        <v/>
      </c>
      <c r="Q15" t="str">
        <f t="shared" si="16"/>
        <v/>
      </c>
      <c r="R15" t="str">
        <f t="shared" si="17"/>
        <v/>
      </c>
      <c r="S15" t="str">
        <f t="shared" si="18"/>
        <v/>
      </c>
      <c r="T15" t="str">
        <f t="shared" si="19"/>
        <v/>
      </c>
      <c r="U15" t="str">
        <f t="shared" si="20"/>
        <v/>
      </c>
      <c r="V15" t="str">
        <f t="shared" si="21"/>
        <v/>
      </c>
      <c r="W15">
        <f t="shared" si="22"/>
        <v>0</v>
      </c>
    </row>
    <row r="16" spans="1:23">
      <c r="A16" t="str">
        <f t="shared" si="10"/>
        <v>2025-T12</v>
      </c>
      <c r="B16" s="263">
        <v>45998</v>
      </c>
      <c r="C16" s="264">
        <f t="shared" ca="1" si="11"/>
        <v>1</v>
      </c>
      <c r="D16" s="264">
        <f t="shared" ca="1" si="11"/>
        <v>0</v>
      </c>
      <c r="E16" s="264">
        <f t="shared" ca="1" si="12"/>
        <v>0</v>
      </c>
      <c r="F16" s="264">
        <f t="shared" ca="1" si="12"/>
        <v>5</v>
      </c>
      <c r="G16" s="264">
        <f t="shared" ca="1" si="12"/>
        <v>0</v>
      </c>
      <c r="H16" s="264">
        <f t="shared" ca="1" si="12"/>
        <v>0</v>
      </c>
      <c r="I16" s="264">
        <f t="shared" ca="1" si="12"/>
        <v>0</v>
      </c>
      <c r="J16" s="264">
        <f t="shared" ca="1" si="12"/>
        <v>0</v>
      </c>
      <c r="K16" s="264">
        <f t="shared" ca="1" si="12"/>
        <v>0</v>
      </c>
      <c r="N16" t="str">
        <f t="shared" si="13"/>
        <v/>
      </c>
      <c r="O16" t="str">
        <f t="shared" si="14"/>
        <v/>
      </c>
      <c r="P16" t="str">
        <f t="shared" si="15"/>
        <v/>
      </c>
      <c r="Q16" t="str">
        <f t="shared" si="16"/>
        <v/>
      </c>
      <c r="R16" t="str">
        <f t="shared" si="17"/>
        <v/>
      </c>
      <c r="S16" t="str">
        <f t="shared" si="18"/>
        <v/>
      </c>
      <c r="T16" t="str">
        <f t="shared" si="19"/>
        <v/>
      </c>
      <c r="U16" t="str">
        <f t="shared" si="20"/>
        <v/>
      </c>
      <c r="V16" t="str">
        <f t="shared" si="21"/>
        <v/>
      </c>
      <c r="W16">
        <f t="shared" si="22"/>
        <v>0</v>
      </c>
    </row>
    <row r="17" spans="1:23">
      <c r="A17" t="str">
        <f t="shared" si="10"/>
        <v>2025-T12</v>
      </c>
      <c r="B17" s="263">
        <v>46001</v>
      </c>
      <c r="C17" s="264">
        <f t="shared" ca="1" si="11"/>
        <v>7</v>
      </c>
      <c r="D17" s="264">
        <f t="shared" ca="1" si="11"/>
        <v>0</v>
      </c>
      <c r="E17" s="264">
        <f t="shared" ca="1" si="12"/>
        <v>0</v>
      </c>
      <c r="F17" s="264">
        <f t="shared" ca="1" si="12"/>
        <v>0</v>
      </c>
      <c r="G17" s="264">
        <f t="shared" ca="1" si="12"/>
        <v>1</v>
      </c>
      <c r="H17" s="264">
        <f t="shared" ca="1" si="12"/>
        <v>0</v>
      </c>
      <c r="I17" s="264">
        <f t="shared" ca="1" si="12"/>
        <v>0</v>
      </c>
      <c r="J17" s="264">
        <f t="shared" ca="1" si="12"/>
        <v>0</v>
      </c>
      <c r="K17" s="264">
        <f t="shared" ca="1" si="12"/>
        <v>0</v>
      </c>
      <c r="N17" t="str">
        <f t="shared" si="13"/>
        <v/>
      </c>
      <c r="O17" t="str">
        <f t="shared" si="14"/>
        <v/>
      </c>
      <c r="P17" t="str">
        <f t="shared" si="15"/>
        <v/>
      </c>
      <c r="Q17" t="str">
        <f t="shared" si="16"/>
        <v/>
      </c>
      <c r="R17" t="str">
        <f t="shared" si="17"/>
        <v/>
      </c>
      <c r="S17" t="str">
        <f t="shared" si="18"/>
        <v/>
      </c>
      <c r="T17" t="str">
        <f t="shared" si="19"/>
        <v/>
      </c>
      <c r="U17" t="str">
        <f t="shared" si="20"/>
        <v/>
      </c>
      <c r="V17" t="str">
        <f t="shared" si="21"/>
        <v/>
      </c>
      <c r="W17">
        <f t="shared" si="22"/>
        <v>0</v>
      </c>
    </row>
    <row r="18" spans="1:23">
      <c r="A18" t="str">
        <f t="shared" si="10"/>
        <v>2025-T12</v>
      </c>
      <c r="B18" s="263">
        <v>46003</v>
      </c>
      <c r="C18" s="264">
        <f t="shared" ca="1" si="11"/>
        <v>0</v>
      </c>
      <c r="D18" s="264">
        <f t="shared" ca="1" si="11"/>
        <v>3</v>
      </c>
      <c r="E18" s="264">
        <f t="shared" ca="1" si="12"/>
        <v>0</v>
      </c>
      <c r="F18" s="264">
        <f t="shared" ca="1" si="12"/>
        <v>0</v>
      </c>
      <c r="G18" s="264">
        <f t="shared" ca="1" si="12"/>
        <v>0</v>
      </c>
      <c r="H18" s="264">
        <f t="shared" ca="1" si="12"/>
        <v>0</v>
      </c>
      <c r="I18" s="264">
        <f t="shared" ca="1" si="12"/>
        <v>0</v>
      </c>
      <c r="J18" s="264">
        <f t="shared" ca="1" si="12"/>
        <v>0</v>
      </c>
      <c r="K18" s="264">
        <f t="shared" ca="1" si="12"/>
        <v>0</v>
      </c>
      <c r="N18" t="str">
        <f t="shared" si="13"/>
        <v/>
      </c>
      <c r="O18" t="str">
        <f t="shared" si="14"/>
        <v/>
      </c>
      <c r="P18" t="str">
        <f t="shared" si="15"/>
        <v/>
      </c>
      <c r="Q18" t="str">
        <f t="shared" si="16"/>
        <v/>
      </c>
      <c r="R18" t="str">
        <f t="shared" si="17"/>
        <v/>
      </c>
      <c r="S18" t="str">
        <f t="shared" si="18"/>
        <v/>
      </c>
      <c r="T18" t="str">
        <f t="shared" si="19"/>
        <v/>
      </c>
      <c r="U18" t="str">
        <f t="shared" si="20"/>
        <v/>
      </c>
      <c r="V18" t="str">
        <f t="shared" si="21"/>
        <v/>
      </c>
      <c r="W18">
        <f t="shared" si="22"/>
        <v>0</v>
      </c>
    </row>
    <row r="19" spans="1:23">
      <c r="A19" t="str">
        <f t="shared" si="10"/>
        <v>2025-T12</v>
      </c>
      <c r="B19" s="263">
        <v>46006</v>
      </c>
      <c r="C19" s="264">
        <f t="shared" ref="C19:K47" ca="1" si="23">COUNTIFS(INDIRECT(C$1 &amp; "!$G$6:$G$1000"),$B19)</f>
        <v>0</v>
      </c>
      <c r="D19" s="264">
        <f t="shared" ca="1" si="23"/>
        <v>0</v>
      </c>
      <c r="E19" s="264">
        <f t="shared" ca="1" si="23"/>
        <v>0</v>
      </c>
      <c r="F19" s="264">
        <f t="shared" ca="1" si="23"/>
        <v>0</v>
      </c>
      <c r="G19" s="264">
        <f t="shared" ca="1" si="23"/>
        <v>1</v>
      </c>
      <c r="H19" s="264">
        <f t="shared" ca="1" si="23"/>
        <v>0</v>
      </c>
      <c r="I19" s="264">
        <f t="shared" ca="1" si="23"/>
        <v>0</v>
      </c>
      <c r="J19" s="264">
        <f t="shared" ca="1" si="23"/>
        <v>0</v>
      </c>
      <c r="K19" s="264">
        <f t="shared" ca="1" si="23"/>
        <v>0</v>
      </c>
      <c r="N19" t="str">
        <f t="shared" si="13"/>
        <v/>
      </c>
      <c r="O19" t="str">
        <f t="shared" si="14"/>
        <v/>
      </c>
      <c r="P19" t="str">
        <f t="shared" si="15"/>
        <v/>
      </c>
      <c r="Q19" t="str">
        <f t="shared" si="16"/>
        <v/>
      </c>
      <c r="R19" t="str">
        <f t="shared" si="17"/>
        <v/>
      </c>
      <c r="S19" t="str">
        <f t="shared" si="18"/>
        <v/>
      </c>
      <c r="T19" t="str">
        <f t="shared" si="19"/>
        <v/>
      </c>
      <c r="U19" t="str">
        <f t="shared" si="20"/>
        <v/>
      </c>
      <c r="V19" t="str">
        <f t="shared" si="21"/>
        <v/>
      </c>
      <c r="W19">
        <f t="shared" si="22"/>
        <v>0</v>
      </c>
    </row>
    <row r="20" spans="1:23">
      <c r="A20" t="str">
        <f t="shared" si="10"/>
        <v>2025-T12</v>
      </c>
      <c r="B20" s="263">
        <v>46008</v>
      </c>
      <c r="C20" s="264">
        <f t="shared" ca="1" si="23"/>
        <v>0</v>
      </c>
      <c r="D20" s="264">
        <f t="shared" ca="1" si="23"/>
        <v>0</v>
      </c>
      <c r="E20" s="264">
        <f t="shared" ca="1" si="23"/>
        <v>0</v>
      </c>
      <c r="F20" s="264">
        <f t="shared" ca="1" si="23"/>
        <v>2</v>
      </c>
      <c r="G20" s="264">
        <f t="shared" ca="1" si="23"/>
        <v>0</v>
      </c>
      <c r="H20" s="264">
        <f t="shared" ca="1" si="23"/>
        <v>0</v>
      </c>
      <c r="I20" s="264">
        <f t="shared" ca="1" si="23"/>
        <v>0</v>
      </c>
      <c r="J20" s="264">
        <f t="shared" ca="1" si="23"/>
        <v>0</v>
      </c>
      <c r="K20" s="264">
        <f t="shared" ca="1" si="23"/>
        <v>0</v>
      </c>
      <c r="N20" t="str">
        <f t="shared" si="13"/>
        <v/>
      </c>
      <c r="O20" t="str">
        <f t="shared" si="14"/>
        <v/>
      </c>
      <c r="P20" t="str">
        <f t="shared" si="15"/>
        <v/>
      </c>
      <c r="Q20" t="str">
        <f t="shared" si="16"/>
        <v/>
      </c>
      <c r="R20" t="str">
        <f t="shared" si="17"/>
        <v/>
      </c>
      <c r="S20" t="str">
        <f t="shared" si="18"/>
        <v/>
      </c>
      <c r="T20" t="str">
        <f t="shared" si="19"/>
        <v/>
      </c>
      <c r="U20" t="str">
        <f t="shared" si="20"/>
        <v/>
      </c>
      <c r="V20" t="str">
        <f t="shared" si="21"/>
        <v/>
      </c>
      <c r="W20">
        <f t="shared" si="22"/>
        <v>0</v>
      </c>
    </row>
    <row r="21" spans="1:23">
      <c r="A21" t="str">
        <f t="shared" si="10"/>
        <v>2025-T12</v>
      </c>
      <c r="B21" s="263">
        <v>46013</v>
      </c>
      <c r="C21" s="264">
        <f t="shared" ca="1" si="23"/>
        <v>0</v>
      </c>
      <c r="D21" s="264">
        <f t="shared" ca="1" si="23"/>
        <v>0</v>
      </c>
      <c r="E21" s="264">
        <f t="shared" ca="1" si="23"/>
        <v>3</v>
      </c>
      <c r="F21" s="264">
        <f t="shared" ca="1" si="23"/>
        <v>0</v>
      </c>
      <c r="G21" s="264">
        <f t="shared" ca="1" si="23"/>
        <v>0</v>
      </c>
      <c r="H21" s="264">
        <f t="shared" ca="1" si="23"/>
        <v>0</v>
      </c>
      <c r="I21" s="264">
        <f t="shared" ca="1" si="23"/>
        <v>0</v>
      </c>
      <c r="J21" s="264">
        <f t="shared" ca="1" si="23"/>
        <v>0</v>
      </c>
      <c r="K21" s="264">
        <f t="shared" ca="1" si="23"/>
        <v>0</v>
      </c>
      <c r="N21" t="str">
        <f t="shared" si="13"/>
        <v/>
      </c>
      <c r="O21" t="str">
        <f t="shared" si="14"/>
        <v/>
      </c>
      <c r="P21" t="str">
        <f t="shared" si="15"/>
        <v/>
      </c>
      <c r="Q21" t="str">
        <f t="shared" si="16"/>
        <v/>
      </c>
      <c r="R21" t="str">
        <f t="shared" si="17"/>
        <v/>
      </c>
      <c r="S21" t="str">
        <f t="shared" si="18"/>
        <v/>
      </c>
      <c r="T21" t="str">
        <f t="shared" si="19"/>
        <v/>
      </c>
      <c r="U21" t="str">
        <f t="shared" si="20"/>
        <v/>
      </c>
      <c r="V21" t="str">
        <f t="shared" si="21"/>
        <v/>
      </c>
      <c r="W21">
        <f t="shared" si="22"/>
        <v>0</v>
      </c>
    </row>
    <row r="22" spans="1:23">
      <c r="A22" t="str">
        <f t="shared" si="10"/>
        <v>2026-T01</v>
      </c>
      <c r="B22" s="263">
        <v>46028</v>
      </c>
      <c r="C22" s="264">
        <f t="shared" ca="1" si="23"/>
        <v>0</v>
      </c>
      <c r="D22" s="264">
        <f t="shared" ca="1" si="23"/>
        <v>0</v>
      </c>
      <c r="E22" s="264">
        <f t="shared" ca="1" si="23"/>
        <v>0</v>
      </c>
      <c r="F22" s="264">
        <f t="shared" ca="1" si="23"/>
        <v>1</v>
      </c>
      <c r="G22" s="264">
        <f t="shared" ca="1" si="23"/>
        <v>0</v>
      </c>
      <c r="H22" s="264">
        <f t="shared" ca="1" si="23"/>
        <v>0</v>
      </c>
      <c r="I22" s="264">
        <f t="shared" ca="1" si="23"/>
        <v>0</v>
      </c>
      <c r="J22" s="264">
        <f t="shared" ca="1" si="23"/>
        <v>0</v>
      </c>
      <c r="K22" s="264">
        <f t="shared" ca="1" si="23"/>
        <v>0</v>
      </c>
      <c r="N22" t="str">
        <f t="shared" si="13"/>
        <v/>
      </c>
      <c r="O22" t="str">
        <f t="shared" si="14"/>
        <v/>
      </c>
      <c r="P22" t="str">
        <f t="shared" si="15"/>
        <v/>
      </c>
      <c r="Q22" t="str">
        <f t="shared" si="16"/>
        <v/>
      </c>
      <c r="R22" t="str">
        <f t="shared" si="17"/>
        <v/>
      </c>
      <c r="S22" t="str">
        <f t="shared" si="18"/>
        <v/>
      </c>
      <c r="T22" t="str">
        <f t="shared" si="19"/>
        <v/>
      </c>
      <c r="U22" t="str">
        <f t="shared" si="20"/>
        <v/>
      </c>
      <c r="V22" t="str">
        <f t="shared" si="21"/>
        <v/>
      </c>
    </row>
    <row r="23" spans="1:23">
      <c r="A23" t="str">
        <f t="shared" si="10"/>
        <v>2026-T01</v>
      </c>
      <c r="B23" s="263">
        <v>46031</v>
      </c>
      <c r="C23" s="264">
        <f t="shared" ca="1" si="23"/>
        <v>0</v>
      </c>
      <c r="D23" s="264">
        <f t="shared" ca="1" si="23"/>
        <v>0</v>
      </c>
      <c r="E23" s="264">
        <f t="shared" ca="1" si="23"/>
        <v>0</v>
      </c>
      <c r="F23" s="264">
        <f t="shared" ca="1" si="23"/>
        <v>0</v>
      </c>
      <c r="G23" s="264">
        <f t="shared" ca="1" si="23"/>
        <v>1</v>
      </c>
      <c r="H23" s="264">
        <f t="shared" ca="1" si="23"/>
        <v>2</v>
      </c>
      <c r="I23" s="264">
        <f t="shared" ca="1" si="23"/>
        <v>0</v>
      </c>
      <c r="J23" s="264">
        <f t="shared" ca="1" si="23"/>
        <v>0</v>
      </c>
      <c r="K23" s="264">
        <f t="shared" ca="1" si="23"/>
        <v>0</v>
      </c>
      <c r="N23" t="str">
        <f t="shared" si="13"/>
        <v/>
      </c>
      <c r="O23" t="str">
        <f t="shared" si="14"/>
        <v/>
      </c>
      <c r="P23" t="str">
        <f>_xlfn.LET(_xlpm.v,SUMIFS(E:E,$A:$A,$M23),IF(_xlpm.v=0,"",_xlpm.v))</f>
        <v/>
      </c>
      <c r="Q23" t="str">
        <f t="shared" si="16"/>
        <v/>
      </c>
      <c r="R23" t="str">
        <f t="shared" si="17"/>
        <v/>
      </c>
      <c r="S23" t="str">
        <f t="shared" si="18"/>
        <v/>
      </c>
      <c r="T23" t="str">
        <f t="shared" si="19"/>
        <v/>
      </c>
      <c r="U23" t="str">
        <f t="shared" si="20"/>
        <v/>
      </c>
      <c r="V23" t="str">
        <f t="shared" si="21"/>
        <v/>
      </c>
    </row>
    <row r="24" spans="1:23">
      <c r="A24" t="str">
        <f t="shared" si="10"/>
        <v>2026-T01</v>
      </c>
      <c r="B24" s="263">
        <v>46042</v>
      </c>
      <c r="C24" s="264">
        <f t="shared" ca="1" si="23"/>
        <v>0</v>
      </c>
      <c r="D24" s="264">
        <f t="shared" ca="1" si="23"/>
        <v>0</v>
      </c>
      <c r="E24" s="264">
        <f t="shared" ca="1" si="23"/>
        <v>0</v>
      </c>
      <c r="F24" s="264">
        <f t="shared" ca="1" si="23"/>
        <v>0</v>
      </c>
      <c r="G24" s="264">
        <f t="shared" ca="1" si="23"/>
        <v>1</v>
      </c>
      <c r="H24" s="264">
        <f t="shared" ca="1" si="23"/>
        <v>0</v>
      </c>
      <c r="I24" s="264">
        <f t="shared" ca="1" si="23"/>
        <v>0</v>
      </c>
      <c r="J24" s="264">
        <f t="shared" ca="1" si="23"/>
        <v>0</v>
      </c>
      <c r="K24" s="264">
        <f t="shared" ca="1" si="23"/>
        <v>0</v>
      </c>
      <c r="N24" t="str">
        <f t="shared" si="13"/>
        <v/>
      </c>
      <c r="O24" t="str">
        <f t="shared" si="14"/>
        <v/>
      </c>
      <c r="P24" t="str">
        <f t="shared" si="15"/>
        <v/>
      </c>
      <c r="Q24" t="str">
        <f t="shared" si="16"/>
        <v/>
      </c>
      <c r="R24" t="str">
        <f t="shared" si="17"/>
        <v/>
      </c>
      <c r="S24" t="str">
        <f t="shared" si="18"/>
        <v/>
      </c>
      <c r="T24" t="str">
        <f t="shared" si="19"/>
        <v/>
      </c>
      <c r="U24" t="str">
        <f t="shared" si="20"/>
        <v/>
      </c>
      <c r="V24" t="str">
        <f t="shared" si="21"/>
        <v/>
      </c>
    </row>
    <row r="25" spans="1:23">
      <c r="A25" t="str">
        <f t="shared" si="10"/>
        <v>2026-T01</v>
      </c>
      <c r="B25" s="263">
        <v>46053</v>
      </c>
      <c r="C25" s="264">
        <f t="shared" ca="1" si="23"/>
        <v>0</v>
      </c>
      <c r="D25" s="264">
        <f t="shared" ca="1" si="23"/>
        <v>3</v>
      </c>
      <c r="E25" s="264">
        <f t="shared" ca="1" si="23"/>
        <v>0</v>
      </c>
      <c r="F25" s="264">
        <f t="shared" ca="1" si="23"/>
        <v>0</v>
      </c>
      <c r="G25" s="264">
        <f t="shared" ca="1" si="23"/>
        <v>0</v>
      </c>
      <c r="H25" s="264">
        <f t="shared" ca="1" si="23"/>
        <v>0</v>
      </c>
      <c r="I25" s="264">
        <f t="shared" ca="1" si="23"/>
        <v>0</v>
      </c>
      <c r="J25" s="264">
        <f t="shared" ca="1" si="23"/>
        <v>0</v>
      </c>
      <c r="K25" s="264">
        <f t="shared" ca="1" si="23"/>
        <v>0</v>
      </c>
      <c r="N25" t="str">
        <f t="shared" si="13"/>
        <v/>
      </c>
      <c r="O25" t="str">
        <f t="shared" si="14"/>
        <v/>
      </c>
      <c r="P25" t="str">
        <f t="shared" si="15"/>
        <v/>
      </c>
      <c r="Q25" t="str">
        <f t="shared" si="16"/>
        <v/>
      </c>
      <c r="R25" t="str">
        <f t="shared" si="17"/>
        <v/>
      </c>
      <c r="S25" t="str">
        <f t="shared" si="18"/>
        <v/>
      </c>
      <c r="T25" t="str">
        <f t="shared" si="19"/>
        <v/>
      </c>
      <c r="U25" t="str">
        <f t="shared" si="20"/>
        <v/>
      </c>
      <c r="V25" t="str">
        <f t="shared" si="21"/>
        <v/>
      </c>
    </row>
    <row r="26" spans="1:23">
      <c r="A26" t="str">
        <f t="shared" si="10"/>
        <v>2026-T02</v>
      </c>
      <c r="B26" s="263">
        <v>46055</v>
      </c>
      <c r="C26" s="264">
        <f t="shared" ca="1" si="23"/>
        <v>3</v>
      </c>
      <c r="D26" s="264">
        <f t="shared" ca="1" si="23"/>
        <v>0</v>
      </c>
      <c r="E26" s="264">
        <f t="shared" ca="1" si="23"/>
        <v>0</v>
      </c>
      <c r="F26" s="264">
        <f t="shared" ca="1" si="23"/>
        <v>0</v>
      </c>
      <c r="G26" s="264">
        <f t="shared" ca="1" si="23"/>
        <v>0</v>
      </c>
      <c r="H26" s="264">
        <f t="shared" ca="1" si="23"/>
        <v>0</v>
      </c>
      <c r="I26" s="264">
        <f t="shared" ca="1" si="23"/>
        <v>0</v>
      </c>
      <c r="J26" s="264">
        <f t="shared" ca="1" si="23"/>
        <v>0</v>
      </c>
      <c r="K26" s="264">
        <f t="shared" ca="1" si="23"/>
        <v>0</v>
      </c>
      <c r="N26" t="str">
        <f t="shared" si="13"/>
        <v/>
      </c>
      <c r="O26" t="str">
        <f t="shared" si="14"/>
        <v/>
      </c>
      <c r="P26" t="str">
        <f t="shared" si="15"/>
        <v/>
      </c>
      <c r="Q26" t="str">
        <f t="shared" si="16"/>
        <v/>
      </c>
      <c r="R26" t="str">
        <f t="shared" si="17"/>
        <v/>
      </c>
      <c r="S26" t="str">
        <f t="shared" si="18"/>
        <v/>
      </c>
      <c r="T26" t="str">
        <f t="shared" si="19"/>
        <v/>
      </c>
      <c r="U26" t="str">
        <f t="shared" si="20"/>
        <v/>
      </c>
      <c r="V26" t="str">
        <f t="shared" si="21"/>
        <v/>
      </c>
    </row>
    <row r="27" spans="1:23">
      <c r="A27" t="str">
        <f t="shared" si="10"/>
        <v>2026-T02</v>
      </c>
      <c r="B27" s="263">
        <v>46058</v>
      </c>
      <c r="C27" s="264">
        <f t="shared" ca="1" si="23"/>
        <v>0</v>
      </c>
      <c r="D27" s="264">
        <f t="shared" ca="1" si="23"/>
        <v>2</v>
      </c>
      <c r="E27" s="264">
        <f t="shared" ca="1" si="23"/>
        <v>0</v>
      </c>
      <c r="F27" s="264">
        <f t="shared" ca="1" si="23"/>
        <v>0</v>
      </c>
      <c r="G27" s="264">
        <f t="shared" ca="1" si="23"/>
        <v>0</v>
      </c>
      <c r="H27" s="264">
        <f t="shared" ca="1" si="23"/>
        <v>1</v>
      </c>
      <c r="I27" s="264">
        <f t="shared" ca="1" si="23"/>
        <v>0</v>
      </c>
      <c r="J27" s="264">
        <f t="shared" ca="1" si="23"/>
        <v>0</v>
      </c>
      <c r="K27" s="264">
        <f t="shared" ca="1" si="23"/>
        <v>0</v>
      </c>
      <c r="N27" t="str">
        <f t="shared" si="13"/>
        <v/>
      </c>
      <c r="O27" t="str">
        <f t="shared" si="14"/>
        <v/>
      </c>
      <c r="P27" t="str">
        <f t="shared" si="15"/>
        <v/>
      </c>
      <c r="Q27" t="str">
        <f t="shared" si="16"/>
        <v/>
      </c>
      <c r="R27" t="str">
        <f t="shared" si="17"/>
        <v/>
      </c>
      <c r="S27" t="str">
        <f t="shared" si="18"/>
        <v/>
      </c>
      <c r="T27" t="str">
        <f t="shared" si="19"/>
        <v/>
      </c>
      <c r="U27" t="str">
        <f t="shared" si="20"/>
        <v/>
      </c>
      <c r="V27" t="str">
        <f t="shared" si="21"/>
        <v/>
      </c>
    </row>
    <row r="28" spans="1:23">
      <c r="A28" t="str">
        <f t="shared" si="10"/>
        <v>2026-T02</v>
      </c>
      <c r="B28" s="263">
        <v>46061</v>
      </c>
      <c r="C28" s="264">
        <f t="shared" ca="1" si="23"/>
        <v>0</v>
      </c>
      <c r="D28" s="264">
        <f t="shared" ca="1" si="23"/>
        <v>0</v>
      </c>
      <c r="E28" s="264">
        <f t="shared" ca="1" si="23"/>
        <v>0</v>
      </c>
      <c r="F28" s="264">
        <f t="shared" ca="1" si="23"/>
        <v>0</v>
      </c>
      <c r="G28" s="264">
        <f t="shared" ca="1" si="23"/>
        <v>2</v>
      </c>
      <c r="H28" s="264">
        <f t="shared" ca="1" si="23"/>
        <v>0</v>
      </c>
      <c r="I28" s="264">
        <f t="shared" ca="1" si="23"/>
        <v>0</v>
      </c>
      <c r="J28" s="264">
        <f t="shared" ca="1" si="23"/>
        <v>0</v>
      </c>
      <c r="K28" s="264">
        <f t="shared" ca="1" si="23"/>
        <v>0</v>
      </c>
      <c r="N28" t="str">
        <f t="shared" si="13"/>
        <v/>
      </c>
      <c r="O28" t="str">
        <f t="shared" si="14"/>
        <v/>
      </c>
      <c r="P28" t="str">
        <f t="shared" si="15"/>
        <v/>
      </c>
      <c r="Q28" t="str">
        <f t="shared" si="16"/>
        <v/>
      </c>
      <c r="R28" t="str">
        <f t="shared" si="17"/>
        <v/>
      </c>
      <c r="S28" t="str">
        <f t="shared" si="18"/>
        <v/>
      </c>
      <c r="T28" t="str">
        <f t="shared" si="19"/>
        <v/>
      </c>
      <c r="U28" t="str">
        <f t="shared" si="20"/>
        <v/>
      </c>
      <c r="V28" t="str">
        <f t="shared" si="21"/>
        <v/>
      </c>
    </row>
    <row r="29" spans="1:23">
      <c r="A29" t="str">
        <f t="shared" si="10"/>
        <v>2026-T03</v>
      </c>
      <c r="B29" s="263">
        <v>46089</v>
      </c>
      <c r="C29" s="264">
        <f t="shared" ca="1" si="23"/>
        <v>0</v>
      </c>
      <c r="D29" s="264">
        <f t="shared" ca="1" si="23"/>
        <v>1</v>
      </c>
      <c r="E29" s="264">
        <f t="shared" ca="1" si="23"/>
        <v>0</v>
      </c>
      <c r="F29" s="264">
        <f t="shared" ca="1" si="23"/>
        <v>0</v>
      </c>
      <c r="G29" s="264">
        <f t="shared" ca="1" si="23"/>
        <v>0</v>
      </c>
      <c r="H29" s="264">
        <f t="shared" ca="1" si="23"/>
        <v>0</v>
      </c>
      <c r="I29" s="264">
        <f t="shared" ca="1" si="23"/>
        <v>0</v>
      </c>
      <c r="J29" s="264">
        <f t="shared" ca="1" si="23"/>
        <v>0</v>
      </c>
      <c r="K29" s="264">
        <f t="shared" ca="1" si="23"/>
        <v>0</v>
      </c>
      <c r="N29" t="str">
        <f t="shared" si="13"/>
        <v/>
      </c>
      <c r="O29" t="str">
        <f t="shared" si="14"/>
        <v/>
      </c>
      <c r="P29" t="str">
        <f t="shared" si="15"/>
        <v/>
      </c>
      <c r="Q29" t="str">
        <f t="shared" si="16"/>
        <v/>
      </c>
      <c r="R29" t="str">
        <f t="shared" si="17"/>
        <v/>
      </c>
      <c r="S29" t="str">
        <f t="shared" si="18"/>
        <v/>
      </c>
      <c r="T29" t="str">
        <f t="shared" si="19"/>
        <v/>
      </c>
      <c r="U29" t="str">
        <f t="shared" si="20"/>
        <v/>
      </c>
      <c r="V29" t="str">
        <f t="shared" si="21"/>
        <v/>
      </c>
    </row>
    <row r="30" spans="1:23">
      <c r="A30" t="str">
        <f t="shared" si="10"/>
        <v>2026-T03</v>
      </c>
      <c r="B30" s="263">
        <v>46090</v>
      </c>
      <c r="C30" s="264">
        <f t="shared" ca="1" si="23"/>
        <v>0</v>
      </c>
      <c r="D30" s="264">
        <f t="shared" ca="1" si="23"/>
        <v>1</v>
      </c>
      <c r="E30" s="264">
        <f t="shared" ca="1" si="23"/>
        <v>0</v>
      </c>
      <c r="F30" s="264">
        <f t="shared" ca="1" si="23"/>
        <v>0</v>
      </c>
      <c r="G30" s="264">
        <f t="shared" ca="1" si="23"/>
        <v>0</v>
      </c>
      <c r="H30" s="264">
        <f t="shared" ca="1" si="23"/>
        <v>0</v>
      </c>
      <c r="I30" s="264">
        <f t="shared" ca="1" si="23"/>
        <v>0</v>
      </c>
      <c r="J30" s="264">
        <f t="shared" ca="1" si="23"/>
        <v>0</v>
      </c>
      <c r="K30" s="264">
        <f t="shared" ca="1" si="23"/>
        <v>0</v>
      </c>
      <c r="N30" t="str">
        <f t="shared" si="13"/>
        <v/>
      </c>
      <c r="O30" t="str">
        <f t="shared" si="14"/>
        <v/>
      </c>
      <c r="P30" t="str">
        <f t="shared" si="15"/>
        <v/>
      </c>
      <c r="Q30" t="str">
        <f t="shared" si="16"/>
        <v/>
      </c>
      <c r="R30" t="str">
        <f t="shared" si="17"/>
        <v/>
      </c>
      <c r="S30" t="str">
        <f t="shared" si="18"/>
        <v/>
      </c>
      <c r="T30" t="str">
        <f t="shared" si="19"/>
        <v/>
      </c>
      <c r="U30" t="str">
        <f t="shared" si="20"/>
        <v/>
      </c>
      <c r="V30" t="str">
        <f t="shared" si="21"/>
        <v/>
      </c>
    </row>
    <row r="31" spans="1:23">
      <c r="A31" t="str">
        <f t="shared" si="10"/>
        <v>2026-T03</v>
      </c>
      <c r="B31" s="263">
        <v>46091</v>
      </c>
      <c r="C31" s="264">
        <f t="shared" ca="1" si="23"/>
        <v>2</v>
      </c>
      <c r="D31" s="264">
        <f t="shared" ca="1" si="23"/>
        <v>0</v>
      </c>
      <c r="E31" s="264">
        <f t="shared" ca="1" si="23"/>
        <v>0</v>
      </c>
      <c r="F31" s="264">
        <f t="shared" ca="1" si="23"/>
        <v>0</v>
      </c>
      <c r="G31" s="264">
        <f t="shared" ca="1" si="23"/>
        <v>0</v>
      </c>
      <c r="H31" s="264">
        <f t="shared" ca="1" si="23"/>
        <v>0</v>
      </c>
      <c r="I31" s="264">
        <f t="shared" ca="1" si="23"/>
        <v>0</v>
      </c>
      <c r="J31" s="264">
        <f t="shared" ca="1" si="23"/>
        <v>0</v>
      </c>
      <c r="K31" s="264">
        <f t="shared" ca="1" si="23"/>
        <v>0</v>
      </c>
    </row>
    <row r="32" spans="1:23">
      <c r="A32" t="str">
        <f t="shared" si="10"/>
        <v>2026-T03</v>
      </c>
      <c r="B32" s="263">
        <v>46092</v>
      </c>
      <c r="C32" s="264">
        <f t="shared" ca="1" si="23"/>
        <v>0</v>
      </c>
      <c r="D32" s="264">
        <f t="shared" ca="1" si="23"/>
        <v>2</v>
      </c>
      <c r="E32" s="264">
        <f t="shared" ca="1" si="23"/>
        <v>0</v>
      </c>
      <c r="F32" s="264">
        <f t="shared" ca="1" si="23"/>
        <v>0</v>
      </c>
      <c r="G32" s="264">
        <f t="shared" ca="1" si="23"/>
        <v>0</v>
      </c>
      <c r="H32" s="264">
        <f t="shared" ca="1" si="23"/>
        <v>0</v>
      </c>
      <c r="I32" s="264">
        <f t="shared" ca="1" si="23"/>
        <v>0</v>
      </c>
      <c r="J32" s="264">
        <f t="shared" ca="1" si="23"/>
        <v>0</v>
      </c>
      <c r="K32" s="264">
        <f t="shared" ca="1" si="23"/>
        <v>0</v>
      </c>
    </row>
    <row r="33" spans="1:11">
      <c r="A33" t="str">
        <f t="shared" si="10"/>
        <v>2026-T03</v>
      </c>
      <c r="B33" s="263">
        <v>46096</v>
      </c>
      <c r="C33" s="264">
        <f t="shared" ca="1" si="23"/>
        <v>0</v>
      </c>
      <c r="D33" s="264">
        <f t="shared" ca="1" si="23"/>
        <v>0</v>
      </c>
      <c r="E33" s="264">
        <f t="shared" ca="1" si="23"/>
        <v>0</v>
      </c>
      <c r="F33" s="264">
        <f t="shared" ca="1" si="23"/>
        <v>0</v>
      </c>
      <c r="G33" s="264">
        <f t="shared" ca="1" si="23"/>
        <v>0</v>
      </c>
      <c r="H33" s="264">
        <f t="shared" ca="1" si="23"/>
        <v>4</v>
      </c>
      <c r="I33" s="264">
        <f t="shared" ca="1" si="23"/>
        <v>0</v>
      </c>
      <c r="J33" s="264">
        <f t="shared" ca="1" si="23"/>
        <v>0</v>
      </c>
      <c r="K33" s="264">
        <f t="shared" ca="1" si="23"/>
        <v>0</v>
      </c>
    </row>
    <row r="34" spans="1:11">
      <c r="A34" t="str">
        <f t="shared" si="10"/>
        <v>2026-T03</v>
      </c>
      <c r="B34" s="263">
        <v>46098</v>
      </c>
      <c r="C34" s="264">
        <f t="shared" ca="1" si="23"/>
        <v>0</v>
      </c>
      <c r="D34" s="264">
        <f t="shared" ca="1" si="23"/>
        <v>0</v>
      </c>
      <c r="E34" s="264">
        <f t="shared" ca="1" si="23"/>
        <v>1</v>
      </c>
      <c r="F34" s="264">
        <f t="shared" ca="1" si="23"/>
        <v>0</v>
      </c>
      <c r="G34" s="264">
        <f t="shared" ca="1" si="23"/>
        <v>0</v>
      </c>
      <c r="H34" s="264">
        <f t="shared" ca="1" si="23"/>
        <v>0</v>
      </c>
      <c r="I34" s="264">
        <f t="shared" ca="1" si="23"/>
        <v>0</v>
      </c>
      <c r="J34" s="264">
        <f t="shared" ca="1" si="23"/>
        <v>0</v>
      </c>
      <c r="K34" s="264">
        <f t="shared" ca="1" si="23"/>
        <v>1</v>
      </c>
    </row>
    <row r="35" spans="1:11">
      <c r="A35" t="str">
        <f t="shared" si="10"/>
        <v>2026-T03</v>
      </c>
      <c r="B35" s="263">
        <v>46099</v>
      </c>
      <c r="C35" s="264">
        <f t="shared" ca="1" si="23"/>
        <v>0</v>
      </c>
      <c r="D35" s="264">
        <f t="shared" ca="1" si="23"/>
        <v>0</v>
      </c>
      <c r="E35" s="264">
        <f t="shared" ca="1" si="23"/>
        <v>0</v>
      </c>
      <c r="F35" s="264">
        <f t="shared" ca="1" si="23"/>
        <v>0</v>
      </c>
      <c r="G35" s="264">
        <f t="shared" ca="1" si="23"/>
        <v>1</v>
      </c>
      <c r="H35" s="264">
        <f t="shared" ca="1" si="23"/>
        <v>0</v>
      </c>
      <c r="I35" s="264">
        <f t="shared" ca="1" si="23"/>
        <v>0</v>
      </c>
      <c r="J35" s="264">
        <f t="shared" ca="1" si="23"/>
        <v>0</v>
      </c>
      <c r="K35" s="264">
        <f t="shared" ca="1" si="23"/>
        <v>0</v>
      </c>
    </row>
    <row r="36" spans="1:11">
      <c r="A36" t="str">
        <f t="shared" si="10"/>
        <v>2026-T03</v>
      </c>
      <c r="B36" s="263">
        <v>46100</v>
      </c>
      <c r="C36" s="264">
        <f t="shared" ca="1" si="23"/>
        <v>0</v>
      </c>
      <c r="D36" s="264">
        <f t="shared" ca="1" si="23"/>
        <v>1</v>
      </c>
      <c r="E36" s="264">
        <f t="shared" ca="1" si="23"/>
        <v>0</v>
      </c>
      <c r="F36" s="264">
        <f t="shared" ca="1" si="23"/>
        <v>0</v>
      </c>
      <c r="G36" s="264">
        <f t="shared" ca="1" si="23"/>
        <v>0</v>
      </c>
      <c r="H36" s="264">
        <f t="shared" ca="1" si="23"/>
        <v>0</v>
      </c>
      <c r="I36" s="264">
        <f t="shared" ca="1" si="23"/>
        <v>0</v>
      </c>
      <c r="J36" s="264">
        <f t="shared" ca="1" si="23"/>
        <v>0</v>
      </c>
      <c r="K36" s="264">
        <f t="shared" ca="1" si="23"/>
        <v>0</v>
      </c>
    </row>
    <row r="37" spans="1:11">
      <c r="A37" t="str">
        <f t="shared" si="10"/>
        <v>2026-T03</v>
      </c>
      <c r="B37" s="263">
        <v>46101</v>
      </c>
      <c r="C37" s="264">
        <f t="shared" ca="1" si="23"/>
        <v>0</v>
      </c>
      <c r="D37" s="264">
        <f t="shared" ca="1" si="23"/>
        <v>0</v>
      </c>
      <c r="E37" s="264">
        <f t="shared" ca="1" si="23"/>
        <v>0</v>
      </c>
      <c r="F37" s="264">
        <f t="shared" ca="1" si="23"/>
        <v>0</v>
      </c>
      <c r="G37" s="264">
        <f t="shared" ca="1" si="23"/>
        <v>5</v>
      </c>
      <c r="H37" s="264">
        <f t="shared" ca="1" si="23"/>
        <v>0</v>
      </c>
      <c r="I37" s="264">
        <f t="shared" ca="1" si="23"/>
        <v>0</v>
      </c>
      <c r="J37" s="264">
        <f t="shared" ca="1" si="23"/>
        <v>0</v>
      </c>
      <c r="K37" s="264">
        <f t="shared" ca="1" si="23"/>
        <v>0</v>
      </c>
    </row>
    <row r="38" spans="1:11">
      <c r="A38" t="str">
        <f t="shared" si="10"/>
        <v>2026-T03</v>
      </c>
      <c r="B38" s="263">
        <v>46105</v>
      </c>
      <c r="C38" s="264">
        <f t="shared" ca="1" si="23"/>
        <v>0</v>
      </c>
      <c r="D38" s="264">
        <f t="shared" ca="1" si="23"/>
        <v>2</v>
      </c>
      <c r="E38" s="264">
        <f t="shared" ca="1" si="23"/>
        <v>0</v>
      </c>
      <c r="F38" s="264">
        <f t="shared" ca="1" si="23"/>
        <v>0</v>
      </c>
      <c r="G38" s="264">
        <f t="shared" ca="1" si="23"/>
        <v>0</v>
      </c>
      <c r="H38" s="264">
        <f t="shared" ca="1" si="23"/>
        <v>0</v>
      </c>
      <c r="I38" s="264">
        <f t="shared" ca="1" si="23"/>
        <v>0</v>
      </c>
      <c r="J38" s="264">
        <f t="shared" ca="1" si="23"/>
        <v>0</v>
      </c>
      <c r="K38" s="264">
        <f t="shared" ca="1" si="23"/>
        <v>0</v>
      </c>
    </row>
    <row r="39" spans="1:11">
      <c r="A39" t="str">
        <f t="shared" si="10"/>
        <v>2026-T03</v>
      </c>
      <c r="B39" s="263">
        <v>46106</v>
      </c>
      <c r="C39" s="264">
        <f t="shared" ca="1" si="23"/>
        <v>0</v>
      </c>
      <c r="D39" s="264">
        <f t="shared" ca="1" si="23"/>
        <v>0</v>
      </c>
      <c r="E39" s="264">
        <f t="shared" ca="1" si="23"/>
        <v>0</v>
      </c>
      <c r="F39" s="264">
        <f t="shared" ca="1" si="23"/>
        <v>0</v>
      </c>
      <c r="G39" s="264">
        <f t="shared" ca="1" si="23"/>
        <v>1</v>
      </c>
      <c r="H39" s="264">
        <f t="shared" ca="1" si="23"/>
        <v>0</v>
      </c>
      <c r="I39" s="264">
        <f t="shared" ca="1" si="23"/>
        <v>0</v>
      </c>
      <c r="J39" s="264">
        <f t="shared" ca="1" si="23"/>
        <v>0</v>
      </c>
      <c r="K39" s="264">
        <f t="shared" ca="1" si="23"/>
        <v>0</v>
      </c>
    </row>
    <row r="40" spans="1:11">
      <c r="A40" t="str">
        <f t="shared" si="10"/>
        <v>2026-T03</v>
      </c>
      <c r="B40" s="263">
        <v>46108</v>
      </c>
      <c r="C40" s="264">
        <f t="shared" ca="1" si="23"/>
        <v>0</v>
      </c>
      <c r="D40" s="264">
        <f t="shared" ca="1" si="23"/>
        <v>0</v>
      </c>
      <c r="E40" s="264">
        <f t="shared" ca="1" si="23"/>
        <v>2</v>
      </c>
      <c r="F40" s="264">
        <f t="shared" ca="1" si="23"/>
        <v>0</v>
      </c>
      <c r="G40" s="264">
        <f t="shared" ca="1" si="23"/>
        <v>0</v>
      </c>
      <c r="H40" s="264">
        <f t="shared" ca="1" si="23"/>
        <v>0</v>
      </c>
      <c r="I40" s="264">
        <f t="shared" ca="1" si="23"/>
        <v>0</v>
      </c>
      <c r="J40" s="264">
        <f t="shared" ca="1" si="23"/>
        <v>0</v>
      </c>
      <c r="K40" s="264">
        <f t="shared" ca="1" si="23"/>
        <v>0</v>
      </c>
    </row>
    <row r="41" spans="1:11">
      <c r="A41" t="str">
        <f t="shared" si="10"/>
        <v>2026-T03</v>
      </c>
      <c r="B41" s="263">
        <v>46111</v>
      </c>
      <c r="C41" s="264">
        <f t="shared" ca="1" si="23"/>
        <v>0</v>
      </c>
      <c r="D41" s="264">
        <f t="shared" ca="1" si="23"/>
        <v>1</v>
      </c>
      <c r="E41" s="264">
        <f t="shared" ca="1" si="23"/>
        <v>1</v>
      </c>
      <c r="F41" s="264">
        <f t="shared" ca="1" si="23"/>
        <v>0</v>
      </c>
      <c r="G41" s="264">
        <f t="shared" ca="1" si="23"/>
        <v>0</v>
      </c>
      <c r="H41" s="264">
        <f t="shared" ca="1" si="23"/>
        <v>0</v>
      </c>
      <c r="I41" s="264">
        <f t="shared" ca="1" si="23"/>
        <v>0</v>
      </c>
      <c r="J41" s="264">
        <f t="shared" ca="1" si="23"/>
        <v>0</v>
      </c>
      <c r="K41" s="264">
        <f t="shared" ca="1" si="23"/>
        <v>0</v>
      </c>
    </row>
    <row r="42" spans="1:11">
      <c r="A42" t="str">
        <f t="shared" si="10"/>
        <v>2026-T03</v>
      </c>
      <c r="B42" s="263">
        <v>46112</v>
      </c>
      <c r="C42" s="264">
        <f t="shared" ca="1" si="23"/>
        <v>0</v>
      </c>
      <c r="D42" s="264">
        <f t="shared" ca="1" si="23"/>
        <v>0</v>
      </c>
      <c r="E42" s="264">
        <f t="shared" ca="1" si="23"/>
        <v>0</v>
      </c>
      <c r="F42" s="264">
        <f t="shared" ca="1" si="23"/>
        <v>1</v>
      </c>
      <c r="G42" s="264">
        <f t="shared" ca="1" si="23"/>
        <v>0</v>
      </c>
      <c r="H42" s="264">
        <f t="shared" ca="1" si="23"/>
        <v>0</v>
      </c>
      <c r="I42" s="264">
        <f t="shared" ca="1" si="23"/>
        <v>0</v>
      </c>
      <c r="J42" s="264">
        <f t="shared" ca="1" si="23"/>
        <v>0</v>
      </c>
      <c r="K42" s="264">
        <f t="shared" ca="1" si="23"/>
        <v>0</v>
      </c>
    </row>
    <row r="43" spans="1:11">
      <c r="A43" t="str">
        <f t="shared" si="10"/>
        <v>2026-T04</v>
      </c>
      <c r="B43" s="263">
        <v>46114</v>
      </c>
      <c r="C43" s="264">
        <f t="shared" ca="1" si="23"/>
        <v>1</v>
      </c>
      <c r="D43" s="264">
        <f t="shared" ca="1" si="23"/>
        <v>0</v>
      </c>
      <c r="E43" s="264">
        <f t="shared" ca="1" si="23"/>
        <v>0</v>
      </c>
      <c r="F43" s="264">
        <f t="shared" ca="1" si="23"/>
        <v>0</v>
      </c>
      <c r="G43" s="264">
        <f t="shared" ca="1" si="23"/>
        <v>0</v>
      </c>
      <c r="H43" s="264">
        <f t="shared" ca="1" si="23"/>
        <v>0</v>
      </c>
      <c r="I43" s="264">
        <f t="shared" ca="1" si="23"/>
        <v>0</v>
      </c>
      <c r="J43" s="264">
        <f t="shared" ca="1" si="23"/>
        <v>0</v>
      </c>
      <c r="K43" s="264">
        <f t="shared" ca="1" si="23"/>
        <v>0</v>
      </c>
    </row>
    <row r="44" spans="1:11">
      <c r="A44" t="str">
        <f t="shared" si="10"/>
        <v>2026-T04</v>
      </c>
      <c r="B44" s="263">
        <v>46116</v>
      </c>
      <c r="C44" s="264">
        <f t="shared" ca="1" si="23"/>
        <v>0</v>
      </c>
      <c r="D44" s="264">
        <f t="shared" ca="1" si="23"/>
        <v>0</v>
      </c>
      <c r="E44" s="264">
        <f t="shared" ca="1" si="23"/>
        <v>0</v>
      </c>
      <c r="F44" s="264">
        <f t="shared" ca="1" si="23"/>
        <v>1</v>
      </c>
      <c r="G44" s="264">
        <f t="shared" ca="1" si="23"/>
        <v>0</v>
      </c>
      <c r="H44" s="264">
        <f t="shared" ca="1" si="23"/>
        <v>0</v>
      </c>
      <c r="I44" s="264">
        <f t="shared" ca="1" si="23"/>
        <v>0</v>
      </c>
      <c r="J44" s="264">
        <f t="shared" ca="1" si="23"/>
        <v>0</v>
      </c>
      <c r="K44" s="264">
        <f t="shared" ca="1" si="23"/>
        <v>0</v>
      </c>
    </row>
    <row r="45" spans="1:11">
      <c r="A45" t="str">
        <f t="shared" si="10"/>
        <v>2026-T04</v>
      </c>
      <c r="B45" s="263">
        <v>46117</v>
      </c>
      <c r="C45" s="264">
        <f t="shared" ca="1" si="23"/>
        <v>0</v>
      </c>
      <c r="D45" s="264">
        <f t="shared" ca="1" si="23"/>
        <v>0</v>
      </c>
      <c r="E45" s="264">
        <f t="shared" ca="1" si="23"/>
        <v>0</v>
      </c>
      <c r="F45" s="264">
        <f t="shared" ca="1" si="23"/>
        <v>0</v>
      </c>
      <c r="G45" s="264">
        <f t="shared" ca="1" si="23"/>
        <v>0</v>
      </c>
      <c r="H45" s="264">
        <f t="shared" ca="1" si="23"/>
        <v>2</v>
      </c>
      <c r="I45" s="264">
        <f t="shared" ca="1" si="23"/>
        <v>0</v>
      </c>
      <c r="J45" s="264">
        <f t="shared" ca="1" si="23"/>
        <v>0</v>
      </c>
      <c r="K45" s="264">
        <f t="shared" ca="1" si="23"/>
        <v>0</v>
      </c>
    </row>
    <row r="46" spans="1:11">
      <c r="A46" t="str">
        <f t="shared" si="10"/>
        <v>2026-T04</v>
      </c>
      <c r="B46" s="263">
        <v>46118</v>
      </c>
      <c r="C46" s="264">
        <f t="shared" ca="1" si="23"/>
        <v>0</v>
      </c>
      <c r="D46" s="264">
        <f t="shared" ca="1" si="23"/>
        <v>0</v>
      </c>
      <c r="E46" s="264">
        <f t="shared" ca="1" si="23"/>
        <v>0</v>
      </c>
      <c r="F46" s="264">
        <f t="shared" ca="1" si="23"/>
        <v>0</v>
      </c>
      <c r="G46" s="264">
        <f t="shared" ca="1" si="23"/>
        <v>0</v>
      </c>
      <c r="H46" s="264">
        <f t="shared" ca="1" si="23"/>
        <v>0</v>
      </c>
      <c r="I46" s="264">
        <f t="shared" ca="1" si="23"/>
        <v>1</v>
      </c>
      <c r="J46" s="264">
        <f t="shared" ca="1" si="23"/>
        <v>0</v>
      </c>
      <c r="K46" s="264">
        <f t="shared" ca="1" si="23"/>
        <v>0</v>
      </c>
    </row>
    <row r="47" spans="1:11">
      <c r="A47" t="str">
        <f t="shared" si="10"/>
        <v>2026-T04</v>
      </c>
      <c r="B47" s="263">
        <v>46120</v>
      </c>
      <c r="C47" s="264">
        <f t="shared" ca="1" si="23"/>
        <v>10</v>
      </c>
      <c r="D47" s="264">
        <f t="shared" ca="1" si="23"/>
        <v>0</v>
      </c>
      <c r="E47" s="264">
        <f t="shared" ca="1" si="23"/>
        <v>0</v>
      </c>
      <c r="F47" s="264">
        <f t="shared" ref="E47:K65" ca="1" si="24">COUNTIFS(INDIRECT(F$1 &amp; "!$G$6:$G$1000"),$B47)</f>
        <v>0</v>
      </c>
      <c r="G47" s="264">
        <f t="shared" ca="1" si="24"/>
        <v>0</v>
      </c>
      <c r="H47" s="264">
        <f t="shared" ca="1" si="24"/>
        <v>3</v>
      </c>
      <c r="I47" s="264">
        <f t="shared" ca="1" si="24"/>
        <v>0</v>
      </c>
      <c r="J47" s="264">
        <f t="shared" ca="1" si="24"/>
        <v>0</v>
      </c>
      <c r="K47" s="264">
        <f t="shared" ca="1" si="24"/>
        <v>1</v>
      </c>
    </row>
    <row r="48" spans="1:11">
      <c r="A48" t="str">
        <f t="shared" si="10"/>
        <v>2026-T04</v>
      </c>
      <c r="B48" s="263">
        <v>46122</v>
      </c>
      <c r="C48" s="264">
        <f t="shared" ref="C48:D65" ca="1" si="25">COUNTIFS(INDIRECT(C$1 &amp; "!$G$6:$G$1000"),$B48)</f>
        <v>2</v>
      </c>
      <c r="D48" s="264">
        <f t="shared" ca="1" si="25"/>
        <v>0</v>
      </c>
      <c r="E48" s="264">
        <f t="shared" ca="1" si="24"/>
        <v>0</v>
      </c>
      <c r="F48" s="264">
        <f t="shared" ca="1" si="24"/>
        <v>0</v>
      </c>
      <c r="G48" s="264">
        <f t="shared" ca="1" si="24"/>
        <v>1</v>
      </c>
      <c r="H48" s="264">
        <f t="shared" ca="1" si="24"/>
        <v>0</v>
      </c>
      <c r="I48" s="264">
        <f t="shared" ca="1" si="24"/>
        <v>0</v>
      </c>
      <c r="J48" s="264">
        <f t="shared" ca="1" si="24"/>
        <v>0</v>
      </c>
      <c r="K48" s="264">
        <f t="shared" ca="1" si="24"/>
        <v>0</v>
      </c>
    </row>
    <row r="49" spans="1:11">
      <c r="A49" t="str">
        <f t="shared" si="10"/>
        <v>2026-T04</v>
      </c>
      <c r="B49" s="263">
        <v>46123</v>
      </c>
      <c r="C49" s="264">
        <f t="shared" ca="1" si="25"/>
        <v>0</v>
      </c>
      <c r="D49" s="264">
        <f t="shared" ca="1" si="25"/>
        <v>0</v>
      </c>
      <c r="E49" s="264">
        <f t="shared" ca="1" si="24"/>
        <v>0</v>
      </c>
      <c r="F49" s="264">
        <f t="shared" ca="1" si="24"/>
        <v>0</v>
      </c>
      <c r="G49" s="264">
        <f t="shared" ca="1" si="24"/>
        <v>0</v>
      </c>
      <c r="H49" s="264">
        <f t="shared" ca="1" si="24"/>
        <v>0</v>
      </c>
      <c r="I49" s="264">
        <f t="shared" ca="1" si="24"/>
        <v>0</v>
      </c>
      <c r="J49" s="264">
        <f t="shared" ca="1" si="24"/>
        <v>2</v>
      </c>
      <c r="K49" s="264">
        <f t="shared" ca="1" si="24"/>
        <v>0</v>
      </c>
    </row>
    <row r="50" spans="1:11">
      <c r="A50" t="str">
        <f t="shared" si="10"/>
        <v>2026-T04</v>
      </c>
      <c r="B50" s="263">
        <v>46125</v>
      </c>
      <c r="C50" s="264">
        <f t="shared" ca="1" si="25"/>
        <v>0</v>
      </c>
      <c r="D50" s="264">
        <f t="shared" ca="1" si="25"/>
        <v>0</v>
      </c>
      <c r="E50" s="264">
        <f t="shared" ca="1" si="24"/>
        <v>0</v>
      </c>
      <c r="F50" s="264">
        <f t="shared" ca="1" si="24"/>
        <v>0</v>
      </c>
      <c r="G50" s="264">
        <f t="shared" ca="1" si="24"/>
        <v>1</v>
      </c>
      <c r="H50" s="264">
        <f t="shared" ca="1" si="24"/>
        <v>0</v>
      </c>
      <c r="I50" s="264">
        <f t="shared" ca="1" si="24"/>
        <v>2</v>
      </c>
      <c r="J50" s="264">
        <f t="shared" ca="1" si="24"/>
        <v>0</v>
      </c>
      <c r="K50" s="264">
        <f t="shared" ca="1" si="24"/>
        <v>0</v>
      </c>
    </row>
    <row r="51" spans="1:11">
      <c r="A51" t="str">
        <f t="shared" si="10"/>
        <v>2026-T04</v>
      </c>
      <c r="B51" s="263">
        <v>46126</v>
      </c>
      <c r="C51" s="264">
        <f t="shared" ca="1" si="25"/>
        <v>0</v>
      </c>
      <c r="D51" s="264">
        <f t="shared" ca="1" si="25"/>
        <v>10</v>
      </c>
      <c r="E51" s="264">
        <f t="shared" ca="1" si="24"/>
        <v>0</v>
      </c>
      <c r="F51" s="264">
        <f t="shared" ca="1" si="24"/>
        <v>0</v>
      </c>
      <c r="G51" s="264">
        <f t="shared" ca="1" si="24"/>
        <v>0</v>
      </c>
      <c r="H51" s="264">
        <f t="shared" ca="1" si="24"/>
        <v>0</v>
      </c>
      <c r="I51" s="264">
        <f t="shared" ca="1" si="24"/>
        <v>0</v>
      </c>
      <c r="J51" s="264">
        <f t="shared" ca="1" si="24"/>
        <v>2</v>
      </c>
      <c r="K51" s="264">
        <f t="shared" ca="1" si="24"/>
        <v>0</v>
      </c>
    </row>
    <row r="52" spans="1:11">
      <c r="A52" t="str">
        <f t="shared" si="10"/>
        <v>2026-T04</v>
      </c>
      <c r="B52" s="263">
        <v>46127</v>
      </c>
      <c r="C52" s="264">
        <f t="shared" ca="1" si="25"/>
        <v>0</v>
      </c>
      <c r="D52" s="264">
        <f t="shared" ca="1" si="25"/>
        <v>0</v>
      </c>
      <c r="E52" s="264">
        <f t="shared" ca="1" si="24"/>
        <v>0</v>
      </c>
      <c r="F52" s="264">
        <f t="shared" ca="1" si="24"/>
        <v>0</v>
      </c>
      <c r="G52" s="264">
        <f t="shared" ca="1" si="24"/>
        <v>0</v>
      </c>
      <c r="H52" s="264">
        <f t="shared" ca="1" si="24"/>
        <v>0</v>
      </c>
      <c r="I52" s="264">
        <f t="shared" ca="1" si="24"/>
        <v>0</v>
      </c>
      <c r="J52" s="264">
        <f t="shared" ca="1" si="24"/>
        <v>2</v>
      </c>
      <c r="K52" s="264">
        <f t="shared" ca="1" si="24"/>
        <v>0</v>
      </c>
    </row>
    <row r="53" spans="1:11">
      <c r="A53" t="str">
        <f t="shared" si="10"/>
        <v>2026-T04</v>
      </c>
      <c r="B53" s="263">
        <v>46128</v>
      </c>
      <c r="C53" s="264">
        <f t="shared" ca="1" si="25"/>
        <v>2</v>
      </c>
      <c r="D53" s="264">
        <f t="shared" ca="1" si="25"/>
        <v>1</v>
      </c>
      <c r="E53" s="264">
        <f t="shared" ca="1" si="24"/>
        <v>0</v>
      </c>
      <c r="F53" s="264">
        <f t="shared" ca="1" si="24"/>
        <v>0</v>
      </c>
      <c r="G53" s="264">
        <f t="shared" ca="1" si="24"/>
        <v>0</v>
      </c>
      <c r="H53" s="264">
        <f t="shared" ca="1" si="24"/>
        <v>0</v>
      </c>
      <c r="I53" s="264">
        <f t="shared" ca="1" si="24"/>
        <v>0</v>
      </c>
      <c r="J53" s="264">
        <f t="shared" ca="1" si="24"/>
        <v>0</v>
      </c>
      <c r="K53" s="264">
        <f t="shared" ca="1" si="24"/>
        <v>3</v>
      </c>
    </row>
    <row r="54" spans="1:11">
      <c r="A54" t="str">
        <f t="shared" si="10"/>
        <v>2026-T04</v>
      </c>
      <c r="B54" s="263">
        <v>46129</v>
      </c>
      <c r="C54" s="264">
        <f t="shared" ca="1" si="25"/>
        <v>2</v>
      </c>
      <c r="D54" s="264">
        <f t="shared" ca="1" si="25"/>
        <v>0</v>
      </c>
      <c r="E54" s="264">
        <f t="shared" ca="1" si="24"/>
        <v>0</v>
      </c>
      <c r="F54" s="264">
        <f t="shared" ca="1" si="24"/>
        <v>0</v>
      </c>
      <c r="G54" s="264">
        <f t="shared" ca="1" si="24"/>
        <v>0</v>
      </c>
      <c r="H54" s="264">
        <f t="shared" ca="1" si="24"/>
        <v>0</v>
      </c>
      <c r="I54" s="264">
        <f t="shared" ca="1" si="24"/>
        <v>0</v>
      </c>
      <c r="J54" s="264">
        <f t="shared" ca="1" si="24"/>
        <v>0</v>
      </c>
      <c r="K54" s="264">
        <f t="shared" ca="1" si="24"/>
        <v>2</v>
      </c>
    </row>
    <row r="55" spans="1:11">
      <c r="A55" t="str">
        <f t="shared" si="10"/>
        <v>2026-T04</v>
      </c>
      <c r="B55" s="263">
        <v>46130</v>
      </c>
      <c r="C55" s="264">
        <f t="shared" ca="1" si="25"/>
        <v>0</v>
      </c>
      <c r="D55" s="264">
        <f t="shared" ca="1" si="25"/>
        <v>2</v>
      </c>
      <c r="E55" s="264">
        <f t="shared" ca="1" si="24"/>
        <v>0</v>
      </c>
      <c r="F55" s="264">
        <f t="shared" ca="1" si="24"/>
        <v>0</v>
      </c>
      <c r="G55" s="264">
        <f t="shared" ca="1" si="24"/>
        <v>0</v>
      </c>
      <c r="H55" s="264">
        <f t="shared" ca="1" si="24"/>
        <v>0</v>
      </c>
      <c r="I55" s="264">
        <f t="shared" ca="1" si="24"/>
        <v>0</v>
      </c>
      <c r="J55" s="264">
        <f t="shared" ca="1" si="24"/>
        <v>0</v>
      </c>
      <c r="K55" s="264">
        <f t="shared" ca="1" si="24"/>
        <v>0</v>
      </c>
    </row>
    <row r="56" spans="1:11">
      <c r="A56" t="str">
        <f t="shared" si="10"/>
        <v>2026-T04</v>
      </c>
      <c r="B56" s="263">
        <v>46131</v>
      </c>
      <c r="C56" s="264">
        <f t="shared" ca="1" si="25"/>
        <v>0</v>
      </c>
      <c r="D56" s="264">
        <f t="shared" ca="1" si="25"/>
        <v>13</v>
      </c>
      <c r="E56" s="264">
        <f t="shared" ca="1" si="24"/>
        <v>0</v>
      </c>
      <c r="F56" s="264">
        <f t="shared" ca="1" si="24"/>
        <v>0</v>
      </c>
      <c r="G56" s="264">
        <f t="shared" ca="1" si="24"/>
        <v>0</v>
      </c>
      <c r="H56" s="264">
        <f t="shared" ca="1" si="24"/>
        <v>0</v>
      </c>
      <c r="I56" s="264">
        <f t="shared" ca="1" si="24"/>
        <v>0</v>
      </c>
      <c r="J56" s="264">
        <f t="shared" ca="1" si="24"/>
        <v>0</v>
      </c>
      <c r="K56" s="264">
        <f t="shared" ca="1" si="24"/>
        <v>0</v>
      </c>
    </row>
    <row r="57" spans="1:11">
      <c r="A57" t="str">
        <f t="shared" si="10"/>
        <v>2026-T04</v>
      </c>
      <c r="B57" s="263">
        <v>46132</v>
      </c>
      <c r="C57" s="264">
        <f t="shared" ca="1" si="25"/>
        <v>1</v>
      </c>
      <c r="D57" s="264">
        <f t="shared" ca="1" si="25"/>
        <v>0</v>
      </c>
      <c r="E57" s="264">
        <f t="shared" ca="1" si="24"/>
        <v>0</v>
      </c>
      <c r="F57" s="264">
        <f t="shared" ca="1" si="24"/>
        <v>4</v>
      </c>
      <c r="G57" s="264">
        <f t="shared" ca="1" si="24"/>
        <v>0</v>
      </c>
      <c r="H57" s="264">
        <f t="shared" ca="1" si="24"/>
        <v>0</v>
      </c>
      <c r="I57" s="264">
        <f t="shared" ca="1" si="24"/>
        <v>1</v>
      </c>
      <c r="J57" s="264">
        <f t="shared" ca="1" si="24"/>
        <v>0</v>
      </c>
      <c r="K57" s="264">
        <f t="shared" ca="1" si="24"/>
        <v>0</v>
      </c>
    </row>
    <row r="58" spans="1:11">
      <c r="A58" t="str">
        <f t="shared" si="10"/>
        <v>2026-T04</v>
      </c>
      <c r="B58" s="263">
        <v>46133</v>
      </c>
      <c r="C58" s="264">
        <f t="shared" ca="1" si="25"/>
        <v>0</v>
      </c>
      <c r="D58" s="264">
        <f t="shared" ca="1" si="25"/>
        <v>0</v>
      </c>
      <c r="E58" s="264">
        <f t="shared" ca="1" si="24"/>
        <v>0</v>
      </c>
      <c r="F58" s="264">
        <f t="shared" ca="1" si="24"/>
        <v>0</v>
      </c>
      <c r="G58" s="264">
        <f t="shared" ca="1" si="24"/>
        <v>0</v>
      </c>
      <c r="H58" s="264">
        <f t="shared" ca="1" si="24"/>
        <v>0</v>
      </c>
      <c r="I58" s="264">
        <f t="shared" ca="1" si="24"/>
        <v>1</v>
      </c>
      <c r="J58" s="264">
        <f t="shared" ca="1" si="24"/>
        <v>0</v>
      </c>
      <c r="K58" s="264">
        <f t="shared" ca="1" si="24"/>
        <v>0</v>
      </c>
    </row>
    <row r="59" spans="1:11">
      <c r="A59" t="str">
        <f t="shared" si="10"/>
        <v>2026-T04</v>
      </c>
      <c r="B59" s="263">
        <v>46134</v>
      </c>
      <c r="C59" s="264">
        <f t="shared" ca="1" si="25"/>
        <v>0</v>
      </c>
      <c r="D59" s="264">
        <f t="shared" ca="1" si="25"/>
        <v>0</v>
      </c>
      <c r="E59" s="264">
        <f t="shared" ca="1" si="24"/>
        <v>0</v>
      </c>
      <c r="F59" s="264">
        <f t="shared" ca="1" si="24"/>
        <v>0</v>
      </c>
      <c r="G59" s="264">
        <f t="shared" ca="1" si="24"/>
        <v>1</v>
      </c>
      <c r="H59" s="264">
        <f t="shared" ca="1" si="24"/>
        <v>0</v>
      </c>
      <c r="I59" s="264">
        <f t="shared" ca="1" si="24"/>
        <v>3</v>
      </c>
      <c r="J59" s="264">
        <f t="shared" ca="1" si="24"/>
        <v>0</v>
      </c>
      <c r="K59" s="264">
        <f t="shared" ca="1" si="24"/>
        <v>0</v>
      </c>
    </row>
    <row r="60" spans="1:11">
      <c r="A60" t="str">
        <f t="shared" si="10"/>
        <v>2026-T04</v>
      </c>
      <c r="B60" s="263">
        <v>46135</v>
      </c>
      <c r="C60" s="264">
        <f t="shared" ca="1" si="25"/>
        <v>1</v>
      </c>
      <c r="D60" s="264">
        <f t="shared" ca="1" si="25"/>
        <v>1</v>
      </c>
      <c r="E60" s="264">
        <f t="shared" ca="1" si="24"/>
        <v>0</v>
      </c>
      <c r="F60" s="264">
        <f t="shared" ca="1" si="24"/>
        <v>0</v>
      </c>
      <c r="G60" s="264">
        <f t="shared" ca="1" si="24"/>
        <v>0</v>
      </c>
      <c r="H60" s="264">
        <f t="shared" ca="1" si="24"/>
        <v>0</v>
      </c>
      <c r="I60" s="264">
        <f t="shared" ca="1" si="24"/>
        <v>0</v>
      </c>
      <c r="J60" s="264">
        <f t="shared" ca="1" si="24"/>
        <v>0</v>
      </c>
      <c r="K60" s="264">
        <f t="shared" ca="1" si="24"/>
        <v>2</v>
      </c>
    </row>
    <row r="61" spans="1:11">
      <c r="A61" t="str">
        <f t="shared" si="10"/>
        <v>2026-T04</v>
      </c>
      <c r="B61" s="263">
        <v>46137</v>
      </c>
      <c r="C61" s="264">
        <f t="shared" ca="1" si="25"/>
        <v>2</v>
      </c>
      <c r="D61" s="264">
        <f t="shared" ca="1" si="25"/>
        <v>0</v>
      </c>
      <c r="E61" s="264">
        <f t="shared" ca="1" si="24"/>
        <v>0</v>
      </c>
      <c r="F61" s="264">
        <f t="shared" ca="1" si="24"/>
        <v>1</v>
      </c>
      <c r="G61" s="264">
        <f t="shared" ca="1" si="24"/>
        <v>2</v>
      </c>
      <c r="H61" s="264">
        <f t="shared" ca="1" si="24"/>
        <v>0</v>
      </c>
      <c r="I61" s="264">
        <f t="shared" ca="1" si="24"/>
        <v>0</v>
      </c>
      <c r="J61" s="264">
        <f t="shared" ca="1" si="24"/>
        <v>0</v>
      </c>
      <c r="K61" s="264">
        <f t="shared" ca="1" si="24"/>
        <v>0</v>
      </c>
    </row>
    <row r="62" spans="1:11">
      <c r="A62" t="str">
        <f t="shared" si="10"/>
        <v>2026-T04</v>
      </c>
      <c r="B62" s="263">
        <v>46139</v>
      </c>
      <c r="C62" s="264">
        <f t="shared" ca="1" si="25"/>
        <v>0</v>
      </c>
      <c r="D62" s="264">
        <f t="shared" ca="1" si="25"/>
        <v>0</v>
      </c>
      <c r="E62" s="264">
        <f t="shared" ca="1" si="24"/>
        <v>0</v>
      </c>
      <c r="F62" s="264">
        <f t="shared" ca="1" si="24"/>
        <v>0</v>
      </c>
      <c r="G62" s="264">
        <f t="shared" ca="1" si="24"/>
        <v>0</v>
      </c>
      <c r="H62" s="264">
        <f t="shared" ca="1" si="24"/>
        <v>0</v>
      </c>
      <c r="I62" s="264">
        <f t="shared" ca="1" si="24"/>
        <v>2</v>
      </c>
      <c r="J62" s="264">
        <f t="shared" ca="1" si="24"/>
        <v>0</v>
      </c>
      <c r="K62" s="264">
        <f t="shared" ca="1" si="24"/>
        <v>0</v>
      </c>
    </row>
    <row r="63" spans="1:11">
      <c r="A63" t="str">
        <f t="shared" si="10"/>
        <v>2026-T04</v>
      </c>
      <c r="B63" s="263">
        <v>46140</v>
      </c>
      <c r="C63" s="264">
        <f t="shared" ca="1" si="25"/>
        <v>0</v>
      </c>
      <c r="D63" s="264">
        <f t="shared" ca="1" si="25"/>
        <v>0</v>
      </c>
      <c r="E63" s="264">
        <f t="shared" ca="1" si="24"/>
        <v>0</v>
      </c>
      <c r="F63" s="264">
        <f t="shared" ca="1" si="24"/>
        <v>1</v>
      </c>
      <c r="G63" s="264">
        <f t="shared" ca="1" si="24"/>
        <v>0</v>
      </c>
      <c r="H63" s="264">
        <f t="shared" ca="1" si="24"/>
        <v>0</v>
      </c>
      <c r="I63" s="264">
        <f t="shared" ca="1" si="24"/>
        <v>0</v>
      </c>
      <c r="J63" s="264">
        <f t="shared" ca="1" si="24"/>
        <v>0</v>
      </c>
      <c r="K63" s="264">
        <f t="shared" ca="1" si="24"/>
        <v>0</v>
      </c>
    </row>
    <row r="64" spans="1:11">
      <c r="A64" t="str">
        <f t="shared" si="10"/>
        <v>2026-T04</v>
      </c>
      <c r="B64" s="263">
        <v>46141</v>
      </c>
      <c r="C64" s="264">
        <f t="shared" ca="1" si="25"/>
        <v>0</v>
      </c>
      <c r="D64" s="264">
        <f t="shared" ca="1" si="25"/>
        <v>0</v>
      </c>
      <c r="E64" s="264">
        <f t="shared" ca="1" si="24"/>
        <v>0</v>
      </c>
      <c r="F64" s="264">
        <f t="shared" ca="1" si="24"/>
        <v>0</v>
      </c>
      <c r="G64" s="264">
        <f t="shared" ca="1" si="24"/>
        <v>1</v>
      </c>
      <c r="H64" s="264">
        <f t="shared" ca="1" si="24"/>
        <v>0</v>
      </c>
      <c r="I64" s="264">
        <f t="shared" ca="1" si="24"/>
        <v>0</v>
      </c>
      <c r="J64" s="264">
        <f t="shared" ca="1" si="24"/>
        <v>0</v>
      </c>
      <c r="K64" s="264">
        <f t="shared" ca="1" si="24"/>
        <v>0</v>
      </c>
    </row>
    <row r="65" spans="1:11">
      <c r="A65" t="str">
        <f t="shared" si="10"/>
        <v>2026-T05</v>
      </c>
      <c r="B65" s="263">
        <v>46144</v>
      </c>
      <c r="C65" s="264">
        <f t="shared" ca="1" si="25"/>
        <v>1</v>
      </c>
      <c r="D65" s="264">
        <f t="shared" ca="1" si="25"/>
        <v>1</v>
      </c>
      <c r="E65" s="264">
        <f t="shared" ca="1" si="24"/>
        <v>0</v>
      </c>
      <c r="F65" s="264">
        <f t="shared" ca="1" si="24"/>
        <v>0</v>
      </c>
      <c r="G65" s="264">
        <f t="shared" ca="1" si="24"/>
        <v>0</v>
      </c>
      <c r="H65" s="264">
        <f t="shared" ca="1" si="24"/>
        <v>0</v>
      </c>
      <c r="I65" s="264">
        <f t="shared" ca="1" si="24"/>
        <v>0</v>
      </c>
      <c r="J65" s="264">
        <f t="shared" ca="1" si="24"/>
        <v>0</v>
      </c>
      <c r="K65" s="264">
        <f t="shared" ca="1" si="24"/>
        <v>0</v>
      </c>
    </row>
    <row r="66" spans="1:11">
      <c r="A66" t="str">
        <f t="shared" si="10"/>
        <v>2026-T05</v>
      </c>
      <c r="B66" s="263">
        <v>46146</v>
      </c>
      <c r="C66" s="264">
        <f t="shared" ref="C66:K81" ca="1" si="26">COUNTIFS(INDIRECT(C$1 &amp; "!$G$6:$G$1000"),$B66)</f>
        <v>0</v>
      </c>
      <c r="D66" s="264">
        <f t="shared" ca="1" si="26"/>
        <v>0</v>
      </c>
      <c r="E66" s="264">
        <f t="shared" ca="1" si="26"/>
        <v>1</v>
      </c>
      <c r="F66" s="264">
        <f t="shared" ca="1" si="26"/>
        <v>0</v>
      </c>
      <c r="G66" s="264">
        <f t="shared" ca="1" si="26"/>
        <v>0</v>
      </c>
      <c r="H66" s="264">
        <f t="shared" ca="1" si="26"/>
        <v>0</v>
      </c>
      <c r="I66" s="264">
        <f t="shared" ca="1" si="26"/>
        <v>0</v>
      </c>
      <c r="J66" s="264">
        <f t="shared" ca="1" si="26"/>
        <v>0</v>
      </c>
      <c r="K66" s="264">
        <f t="shared" ca="1" si="26"/>
        <v>0</v>
      </c>
    </row>
    <row r="67" spans="1:11">
      <c r="A67" t="str">
        <f t="shared" ref="A67:A87" si="27">TEXT(B67,"yyyy") &amp; "-T" &amp; TEXT(MONTH(B67),"00")</f>
        <v>2026-T05</v>
      </c>
      <c r="B67" s="263">
        <v>46147</v>
      </c>
      <c r="C67" s="264">
        <f t="shared" ca="1" si="26"/>
        <v>0</v>
      </c>
      <c r="D67" s="264">
        <f t="shared" ca="1" si="26"/>
        <v>0</v>
      </c>
      <c r="E67" s="264">
        <f t="shared" ca="1" si="26"/>
        <v>0</v>
      </c>
      <c r="F67" s="264">
        <f t="shared" ca="1" si="26"/>
        <v>0</v>
      </c>
      <c r="G67" s="264">
        <f t="shared" ca="1" si="26"/>
        <v>1</v>
      </c>
      <c r="H67" s="264">
        <f t="shared" ca="1" si="26"/>
        <v>0</v>
      </c>
      <c r="I67" s="264">
        <f t="shared" ca="1" si="26"/>
        <v>0</v>
      </c>
      <c r="J67" s="264">
        <f t="shared" ca="1" si="26"/>
        <v>0</v>
      </c>
      <c r="K67" s="264">
        <f t="shared" ca="1" si="26"/>
        <v>0</v>
      </c>
    </row>
    <row r="68" spans="1:11">
      <c r="A68" t="str">
        <f t="shared" si="27"/>
        <v>2026-T05</v>
      </c>
      <c r="B68" s="263">
        <v>46152</v>
      </c>
      <c r="C68" s="264">
        <f t="shared" ca="1" si="26"/>
        <v>0</v>
      </c>
      <c r="D68" s="264">
        <f t="shared" ca="1" si="26"/>
        <v>0</v>
      </c>
      <c r="E68" s="264">
        <f t="shared" ca="1" si="26"/>
        <v>0</v>
      </c>
      <c r="F68" s="264">
        <f t="shared" ca="1" si="26"/>
        <v>1</v>
      </c>
      <c r="G68" s="264">
        <f t="shared" ca="1" si="26"/>
        <v>1</v>
      </c>
      <c r="H68" s="264">
        <f t="shared" ca="1" si="26"/>
        <v>2</v>
      </c>
      <c r="I68" s="264">
        <f t="shared" ca="1" si="26"/>
        <v>6</v>
      </c>
      <c r="J68" s="264">
        <f t="shared" ca="1" si="26"/>
        <v>0</v>
      </c>
      <c r="K68" s="264">
        <f t="shared" ca="1" si="26"/>
        <v>1</v>
      </c>
    </row>
    <row r="69" spans="1:11">
      <c r="A69" t="str">
        <f t="shared" si="27"/>
        <v>2026-T05</v>
      </c>
      <c r="B69" s="263">
        <v>46153</v>
      </c>
      <c r="C69" s="264">
        <f t="shared" ca="1" si="26"/>
        <v>0</v>
      </c>
      <c r="D69" s="264">
        <f t="shared" ca="1" si="26"/>
        <v>0</v>
      </c>
      <c r="E69" s="264">
        <f t="shared" ca="1" si="26"/>
        <v>0</v>
      </c>
      <c r="F69" s="264">
        <f t="shared" ca="1" si="26"/>
        <v>1</v>
      </c>
      <c r="G69" s="264">
        <f t="shared" ca="1" si="26"/>
        <v>0</v>
      </c>
      <c r="H69" s="264">
        <f t="shared" ca="1" si="26"/>
        <v>0</v>
      </c>
      <c r="I69" s="264">
        <f t="shared" ca="1" si="26"/>
        <v>0</v>
      </c>
      <c r="J69" s="264">
        <f t="shared" ca="1" si="26"/>
        <v>0</v>
      </c>
      <c r="K69" s="264">
        <f t="shared" ca="1" si="26"/>
        <v>0</v>
      </c>
    </row>
    <row r="70" spans="1:11">
      <c r="A70" t="str">
        <f t="shared" si="27"/>
        <v>2026-T05</v>
      </c>
      <c r="B70" s="263">
        <v>46154</v>
      </c>
      <c r="C70" s="264">
        <f t="shared" ca="1" si="26"/>
        <v>0</v>
      </c>
      <c r="D70" s="264">
        <f t="shared" ca="1" si="26"/>
        <v>0</v>
      </c>
      <c r="E70" s="264">
        <f t="shared" ca="1" si="26"/>
        <v>0</v>
      </c>
      <c r="F70" s="264">
        <f t="shared" ca="1" si="26"/>
        <v>2</v>
      </c>
      <c r="G70" s="264">
        <f t="shared" ca="1" si="26"/>
        <v>0</v>
      </c>
      <c r="H70" s="264">
        <f t="shared" ca="1" si="26"/>
        <v>1</v>
      </c>
      <c r="I70" s="264">
        <f t="shared" ca="1" si="26"/>
        <v>0</v>
      </c>
      <c r="J70" s="264">
        <f t="shared" ca="1" si="26"/>
        <v>0</v>
      </c>
      <c r="K70" s="264">
        <f t="shared" ca="1" si="26"/>
        <v>1</v>
      </c>
    </row>
    <row r="71" spans="1:11">
      <c r="A71" t="str">
        <f t="shared" si="27"/>
        <v>2026-T05</v>
      </c>
      <c r="B71" s="263">
        <v>46155</v>
      </c>
      <c r="C71" s="264">
        <f t="shared" ca="1" si="26"/>
        <v>0</v>
      </c>
      <c r="D71" s="264">
        <f t="shared" ca="1" si="26"/>
        <v>4</v>
      </c>
      <c r="E71" s="264">
        <f t="shared" ca="1" si="26"/>
        <v>0</v>
      </c>
      <c r="F71" s="264">
        <f t="shared" ca="1" si="26"/>
        <v>0</v>
      </c>
      <c r="G71" s="264">
        <f t="shared" ca="1" si="26"/>
        <v>0</v>
      </c>
      <c r="H71" s="264">
        <f t="shared" ca="1" si="26"/>
        <v>0</v>
      </c>
      <c r="I71" s="264">
        <f t="shared" ca="1" si="26"/>
        <v>0</v>
      </c>
      <c r="J71" s="264">
        <f t="shared" ca="1" si="26"/>
        <v>0</v>
      </c>
      <c r="K71" s="264">
        <f t="shared" ca="1" si="26"/>
        <v>0</v>
      </c>
    </row>
    <row r="72" spans="1:11">
      <c r="A72" t="str">
        <f t="shared" si="27"/>
        <v>2026-T05</v>
      </c>
      <c r="B72" s="263">
        <v>46158</v>
      </c>
      <c r="C72" s="264">
        <f t="shared" ca="1" si="26"/>
        <v>0</v>
      </c>
      <c r="D72" s="264">
        <f t="shared" ca="1" si="26"/>
        <v>0</v>
      </c>
      <c r="E72" s="264">
        <f t="shared" ca="1" si="26"/>
        <v>0</v>
      </c>
      <c r="F72" s="264">
        <f t="shared" ca="1" si="26"/>
        <v>0</v>
      </c>
      <c r="G72" s="264">
        <f t="shared" ca="1" si="26"/>
        <v>0</v>
      </c>
      <c r="H72" s="264">
        <f t="shared" ca="1" si="26"/>
        <v>0</v>
      </c>
      <c r="I72" s="264">
        <f t="shared" ca="1" si="26"/>
        <v>2</v>
      </c>
      <c r="J72" s="264">
        <f t="shared" ca="1" si="26"/>
        <v>0</v>
      </c>
      <c r="K72" s="264">
        <f t="shared" ca="1" si="26"/>
        <v>0</v>
      </c>
    </row>
    <row r="73" spans="1:11">
      <c r="A73" t="str">
        <f t="shared" si="27"/>
        <v>2026-T05</v>
      </c>
      <c r="B73" s="263">
        <v>46159</v>
      </c>
      <c r="C73" s="264">
        <f t="shared" ca="1" si="26"/>
        <v>0</v>
      </c>
      <c r="D73" s="264">
        <f t="shared" ca="1" si="26"/>
        <v>0</v>
      </c>
      <c r="E73" s="264">
        <f t="shared" ca="1" si="26"/>
        <v>0</v>
      </c>
      <c r="F73" s="264">
        <f t="shared" ca="1" si="26"/>
        <v>0</v>
      </c>
      <c r="G73" s="264">
        <f t="shared" ca="1" si="26"/>
        <v>0</v>
      </c>
      <c r="H73" s="264">
        <f t="shared" ca="1" si="26"/>
        <v>0</v>
      </c>
      <c r="I73" s="264">
        <f t="shared" ca="1" si="26"/>
        <v>7</v>
      </c>
      <c r="J73" s="264">
        <f t="shared" ca="1" si="26"/>
        <v>0</v>
      </c>
      <c r="K73" s="264">
        <f t="shared" ca="1" si="26"/>
        <v>0</v>
      </c>
    </row>
    <row r="74" spans="1:11">
      <c r="A74" t="str">
        <f t="shared" si="27"/>
        <v>2026-T05</v>
      </c>
      <c r="B74" s="263">
        <v>46161</v>
      </c>
      <c r="C74" s="264">
        <f t="shared" ca="1" si="26"/>
        <v>1</v>
      </c>
      <c r="D74" s="264">
        <f t="shared" ca="1" si="26"/>
        <v>0</v>
      </c>
      <c r="E74" s="264">
        <f t="shared" ca="1" si="26"/>
        <v>0</v>
      </c>
      <c r="F74" s="264">
        <f t="shared" ca="1" si="26"/>
        <v>0</v>
      </c>
      <c r="G74" s="264">
        <f t="shared" ca="1" si="26"/>
        <v>0</v>
      </c>
      <c r="H74" s="264">
        <f t="shared" ca="1" si="26"/>
        <v>0</v>
      </c>
      <c r="I74" s="264">
        <f t="shared" ca="1" si="26"/>
        <v>1</v>
      </c>
      <c r="J74" s="264">
        <f t="shared" ca="1" si="26"/>
        <v>0</v>
      </c>
      <c r="K74" s="264">
        <f t="shared" ca="1" si="26"/>
        <v>0</v>
      </c>
    </row>
    <row r="75" spans="1:11">
      <c r="A75" t="str">
        <f t="shared" si="27"/>
        <v>2026-T05</v>
      </c>
      <c r="B75" s="263">
        <v>46164</v>
      </c>
      <c r="C75" s="264">
        <f t="shared" ca="1" si="26"/>
        <v>0</v>
      </c>
      <c r="D75" s="264">
        <f t="shared" ca="1" si="26"/>
        <v>0</v>
      </c>
      <c r="E75" s="264">
        <f t="shared" ca="1" si="26"/>
        <v>0</v>
      </c>
      <c r="F75" s="264">
        <f t="shared" ca="1" si="26"/>
        <v>0</v>
      </c>
      <c r="G75" s="264">
        <f t="shared" ca="1" si="26"/>
        <v>0</v>
      </c>
      <c r="H75" s="264">
        <f t="shared" ca="1" si="26"/>
        <v>0</v>
      </c>
      <c r="I75" s="264">
        <f t="shared" ca="1" si="26"/>
        <v>0</v>
      </c>
      <c r="J75" s="264">
        <f t="shared" ca="1" si="26"/>
        <v>0</v>
      </c>
      <c r="K75" s="264">
        <f t="shared" ca="1" si="26"/>
        <v>2</v>
      </c>
    </row>
    <row r="76" spans="1:11">
      <c r="A76" t="str">
        <f t="shared" si="27"/>
        <v>2026-T05</v>
      </c>
      <c r="B76" s="263">
        <v>46167</v>
      </c>
      <c r="C76" s="264">
        <f t="shared" ca="1" si="26"/>
        <v>0</v>
      </c>
      <c r="D76" s="264">
        <f t="shared" ca="1" si="26"/>
        <v>0</v>
      </c>
      <c r="E76" s="264">
        <f t="shared" ca="1" si="26"/>
        <v>0</v>
      </c>
      <c r="F76" s="264">
        <f t="shared" ca="1" si="26"/>
        <v>0</v>
      </c>
      <c r="G76" s="264">
        <f t="shared" ca="1" si="26"/>
        <v>0</v>
      </c>
      <c r="H76" s="264">
        <f t="shared" ca="1" si="26"/>
        <v>1</v>
      </c>
      <c r="I76" s="264">
        <f t="shared" ca="1" si="26"/>
        <v>0</v>
      </c>
      <c r="J76" s="264">
        <f t="shared" ca="1" si="26"/>
        <v>0</v>
      </c>
      <c r="K76" s="264">
        <f t="shared" ca="1" si="26"/>
        <v>0</v>
      </c>
    </row>
    <row r="77" spans="1:11">
      <c r="A77" t="str">
        <f t="shared" si="27"/>
        <v>2026-T05</v>
      </c>
      <c r="B77" s="263">
        <v>46168</v>
      </c>
      <c r="C77" s="264">
        <f t="shared" ca="1" si="26"/>
        <v>0</v>
      </c>
      <c r="D77" s="264">
        <f t="shared" ca="1" si="26"/>
        <v>0</v>
      </c>
      <c r="E77" s="264">
        <f t="shared" ca="1" si="26"/>
        <v>0</v>
      </c>
      <c r="F77" s="264">
        <f t="shared" ca="1" si="26"/>
        <v>0</v>
      </c>
      <c r="G77" s="264">
        <f t="shared" ca="1" si="26"/>
        <v>0</v>
      </c>
      <c r="H77" s="264">
        <f t="shared" ca="1" si="26"/>
        <v>0</v>
      </c>
      <c r="I77" s="264">
        <f t="shared" ca="1" si="26"/>
        <v>0</v>
      </c>
      <c r="J77" s="264">
        <f t="shared" ca="1" si="26"/>
        <v>4</v>
      </c>
      <c r="K77" s="264">
        <f t="shared" ca="1" si="26"/>
        <v>0</v>
      </c>
    </row>
    <row r="78" spans="1:11">
      <c r="A78" t="str">
        <f t="shared" si="27"/>
        <v>2026-T05</v>
      </c>
      <c r="B78" s="263">
        <v>46169</v>
      </c>
      <c r="C78" s="264">
        <f t="shared" ca="1" si="26"/>
        <v>0</v>
      </c>
      <c r="D78" s="264">
        <f t="shared" ca="1" si="26"/>
        <v>0</v>
      </c>
      <c r="E78" s="264">
        <f t="shared" ca="1" si="26"/>
        <v>0</v>
      </c>
      <c r="F78" s="264">
        <f t="shared" ca="1" si="26"/>
        <v>0</v>
      </c>
      <c r="G78" s="264">
        <f t="shared" ca="1" si="26"/>
        <v>0</v>
      </c>
      <c r="H78" s="264">
        <f t="shared" ca="1" si="26"/>
        <v>0</v>
      </c>
      <c r="I78" s="264">
        <f t="shared" ca="1" si="26"/>
        <v>1</v>
      </c>
      <c r="J78" s="264">
        <f t="shared" ca="1" si="26"/>
        <v>0</v>
      </c>
      <c r="K78" s="264">
        <f t="shared" ca="1" si="26"/>
        <v>0</v>
      </c>
    </row>
    <row r="79" spans="1:11">
      <c r="A79" t="str">
        <f t="shared" si="27"/>
        <v>2026-T05</v>
      </c>
      <c r="B79" s="263">
        <v>46170</v>
      </c>
      <c r="C79" s="264">
        <f t="shared" ca="1" si="26"/>
        <v>0</v>
      </c>
      <c r="D79" s="264">
        <f t="shared" ca="1" si="26"/>
        <v>0</v>
      </c>
      <c r="E79" s="264">
        <f t="shared" ca="1" si="26"/>
        <v>2</v>
      </c>
      <c r="F79" s="264">
        <f t="shared" ca="1" si="26"/>
        <v>1</v>
      </c>
      <c r="G79" s="264">
        <f t="shared" ca="1" si="26"/>
        <v>0</v>
      </c>
      <c r="H79" s="264">
        <f t="shared" ca="1" si="26"/>
        <v>0</v>
      </c>
      <c r="I79" s="264">
        <f t="shared" ca="1" si="26"/>
        <v>1</v>
      </c>
      <c r="J79" s="264">
        <f t="shared" ca="1" si="26"/>
        <v>0</v>
      </c>
      <c r="K79" s="264">
        <f t="shared" ca="1" si="26"/>
        <v>0</v>
      </c>
    </row>
    <row r="80" spans="1:11">
      <c r="A80" t="str">
        <f t="shared" si="27"/>
        <v>2026-T05</v>
      </c>
      <c r="B80" s="263">
        <v>46171</v>
      </c>
      <c r="C80" s="264">
        <f t="shared" ca="1" si="26"/>
        <v>0</v>
      </c>
      <c r="D80" s="264">
        <f t="shared" ca="1" si="26"/>
        <v>1</v>
      </c>
      <c r="E80" s="264">
        <f t="shared" ca="1" si="26"/>
        <v>0</v>
      </c>
      <c r="F80" s="264">
        <f t="shared" ca="1" si="26"/>
        <v>0</v>
      </c>
      <c r="G80" s="264">
        <f t="shared" ca="1" si="26"/>
        <v>0</v>
      </c>
      <c r="H80" s="264">
        <f t="shared" ca="1" si="26"/>
        <v>0</v>
      </c>
      <c r="I80" s="264">
        <f t="shared" ca="1" si="26"/>
        <v>0</v>
      </c>
      <c r="J80" s="264">
        <f t="shared" ca="1" si="26"/>
        <v>0</v>
      </c>
      <c r="K80" s="264">
        <f t="shared" ca="1" si="26"/>
        <v>0</v>
      </c>
    </row>
    <row r="81" spans="1:11">
      <c r="A81" t="str">
        <f t="shared" si="27"/>
        <v>2026-T05</v>
      </c>
      <c r="B81" s="263">
        <v>46172</v>
      </c>
      <c r="C81" s="264">
        <f t="shared" ca="1" si="26"/>
        <v>0</v>
      </c>
      <c r="D81" s="264">
        <f t="shared" ca="1" si="26"/>
        <v>0</v>
      </c>
      <c r="E81" s="264">
        <f t="shared" ca="1" si="26"/>
        <v>0</v>
      </c>
      <c r="F81" s="264">
        <f t="shared" ca="1" si="26"/>
        <v>0</v>
      </c>
      <c r="G81" s="264">
        <f t="shared" ca="1" si="26"/>
        <v>1</v>
      </c>
      <c r="H81" s="264">
        <f t="shared" ca="1" si="26"/>
        <v>2</v>
      </c>
      <c r="I81" s="264">
        <f t="shared" ca="1" si="26"/>
        <v>0</v>
      </c>
      <c r="J81" s="264">
        <f t="shared" ca="1" si="26"/>
        <v>0</v>
      </c>
      <c r="K81" s="264">
        <f t="shared" ca="1" si="26"/>
        <v>0</v>
      </c>
    </row>
    <row r="82" spans="1:11">
      <c r="A82" t="str">
        <f t="shared" si="27"/>
        <v>2026-T06</v>
      </c>
      <c r="B82" s="263">
        <v>46175</v>
      </c>
      <c r="C82" s="264">
        <f t="shared" ref="C82:K87" ca="1" si="28">COUNTIFS(INDIRECT(C$1 &amp; "!$G$6:$G$1000"),$B82)</f>
        <v>0</v>
      </c>
      <c r="D82" s="264">
        <f t="shared" ca="1" si="28"/>
        <v>0</v>
      </c>
      <c r="E82" s="264">
        <f t="shared" ca="1" si="28"/>
        <v>0</v>
      </c>
      <c r="F82" s="264">
        <f t="shared" ca="1" si="28"/>
        <v>0</v>
      </c>
      <c r="G82" s="264">
        <f t="shared" ca="1" si="28"/>
        <v>0</v>
      </c>
      <c r="H82" s="264">
        <f t="shared" ca="1" si="28"/>
        <v>0</v>
      </c>
      <c r="I82" s="264">
        <f t="shared" ca="1" si="28"/>
        <v>0</v>
      </c>
      <c r="J82" s="264">
        <f t="shared" ca="1" si="28"/>
        <v>1</v>
      </c>
      <c r="K82" s="264">
        <f t="shared" ca="1" si="28"/>
        <v>0</v>
      </c>
    </row>
    <row r="83" spans="1:11">
      <c r="A83" t="str">
        <f t="shared" si="27"/>
        <v>2026-T06</v>
      </c>
      <c r="B83" s="263">
        <v>46176</v>
      </c>
      <c r="C83" s="264">
        <f t="shared" ca="1" si="28"/>
        <v>0</v>
      </c>
      <c r="D83" s="264">
        <f t="shared" ca="1" si="28"/>
        <v>0</v>
      </c>
      <c r="E83" s="264">
        <f t="shared" ca="1" si="28"/>
        <v>0</v>
      </c>
      <c r="F83" s="264">
        <f t="shared" ca="1" si="28"/>
        <v>0</v>
      </c>
      <c r="G83" s="264">
        <f t="shared" ca="1" si="28"/>
        <v>0</v>
      </c>
      <c r="H83" s="264">
        <f t="shared" ca="1" si="28"/>
        <v>0</v>
      </c>
      <c r="I83" s="264">
        <f t="shared" ca="1" si="28"/>
        <v>1</v>
      </c>
      <c r="J83" s="264">
        <f t="shared" ca="1" si="28"/>
        <v>0</v>
      </c>
      <c r="K83" s="264">
        <f t="shared" ca="1" si="28"/>
        <v>0</v>
      </c>
    </row>
    <row r="84" spans="1:11">
      <c r="A84" t="str">
        <f t="shared" si="27"/>
        <v>2026-T06</v>
      </c>
      <c r="B84" s="263">
        <v>46177</v>
      </c>
      <c r="C84" s="264">
        <f t="shared" ca="1" si="28"/>
        <v>0</v>
      </c>
      <c r="D84" s="264">
        <f t="shared" ca="1" si="28"/>
        <v>0</v>
      </c>
      <c r="E84" s="264">
        <f t="shared" ca="1" si="28"/>
        <v>0</v>
      </c>
      <c r="F84" s="264">
        <f t="shared" ca="1" si="28"/>
        <v>1</v>
      </c>
      <c r="G84" s="264">
        <f t="shared" ca="1" si="28"/>
        <v>0</v>
      </c>
      <c r="H84" s="264">
        <f t="shared" ca="1" si="28"/>
        <v>0</v>
      </c>
      <c r="I84" s="264">
        <f t="shared" ca="1" si="28"/>
        <v>0</v>
      </c>
      <c r="J84" s="264">
        <f t="shared" ca="1" si="28"/>
        <v>0</v>
      </c>
      <c r="K84" s="264">
        <f t="shared" ca="1" si="28"/>
        <v>0</v>
      </c>
    </row>
    <row r="85" spans="1:11">
      <c r="A85" t="str">
        <f t="shared" si="27"/>
        <v>2026-T06</v>
      </c>
      <c r="B85" s="263">
        <v>46178</v>
      </c>
      <c r="C85" s="264">
        <f t="shared" ca="1" si="28"/>
        <v>0</v>
      </c>
      <c r="D85" s="264">
        <f t="shared" ca="1" si="28"/>
        <v>0</v>
      </c>
      <c r="E85" s="264">
        <f t="shared" ca="1" si="28"/>
        <v>2</v>
      </c>
      <c r="F85" s="264">
        <f t="shared" ca="1" si="28"/>
        <v>0</v>
      </c>
      <c r="G85" s="264">
        <f t="shared" ca="1" si="28"/>
        <v>0</v>
      </c>
      <c r="H85" s="264">
        <f t="shared" ca="1" si="28"/>
        <v>0</v>
      </c>
      <c r="I85" s="264">
        <f t="shared" ca="1" si="28"/>
        <v>1</v>
      </c>
      <c r="J85" s="264">
        <f t="shared" ca="1" si="28"/>
        <v>0</v>
      </c>
      <c r="K85" s="264">
        <f t="shared" ca="1" si="28"/>
        <v>0</v>
      </c>
    </row>
    <row r="86" spans="1:11">
      <c r="A86" t="str">
        <f t="shared" si="27"/>
        <v>2026-T06</v>
      </c>
      <c r="B86" s="263">
        <v>46180</v>
      </c>
      <c r="C86" s="264">
        <f t="shared" ca="1" si="28"/>
        <v>1</v>
      </c>
      <c r="D86" s="264">
        <f t="shared" ca="1" si="28"/>
        <v>0</v>
      </c>
      <c r="E86" s="264">
        <f t="shared" ca="1" si="28"/>
        <v>0</v>
      </c>
      <c r="F86" s="264">
        <f t="shared" ca="1" si="28"/>
        <v>0</v>
      </c>
      <c r="G86" s="264">
        <f t="shared" ca="1" si="28"/>
        <v>0</v>
      </c>
      <c r="H86" s="264">
        <f t="shared" ca="1" si="28"/>
        <v>0</v>
      </c>
      <c r="I86" s="264">
        <f t="shared" ca="1" si="28"/>
        <v>0</v>
      </c>
      <c r="J86" s="264">
        <f t="shared" ca="1" si="28"/>
        <v>0</v>
      </c>
      <c r="K86" s="264">
        <f t="shared" ca="1" si="28"/>
        <v>0</v>
      </c>
    </row>
    <row r="87" spans="1:11">
      <c r="A87" t="str">
        <f t="shared" si="27"/>
        <v>2026-T06</v>
      </c>
      <c r="B87" s="263">
        <v>46183</v>
      </c>
      <c r="C87" s="264">
        <f t="shared" ca="1" si="28"/>
        <v>2</v>
      </c>
      <c r="D87" s="264">
        <f t="shared" ca="1" si="28"/>
        <v>0</v>
      </c>
      <c r="E87" s="264">
        <f t="shared" ca="1" si="28"/>
        <v>0</v>
      </c>
      <c r="F87" s="264">
        <f t="shared" ca="1" si="28"/>
        <v>0</v>
      </c>
      <c r="G87" s="264">
        <f t="shared" ca="1" si="28"/>
        <v>0</v>
      </c>
      <c r="H87" s="264">
        <f t="shared" ca="1" si="28"/>
        <v>0</v>
      </c>
      <c r="I87" s="264">
        <f t="shared" ca="1" si="28"/>
        <v>0</v>
      </c>
      <c r="J87" s="264">
        <f t="shared" ca="1" si="28"/>
        <v>0</v>
      </c>
      <c r="K87" s="264">
        <f t="shared" ca="1" si="2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9E74-03BB-44EF-A8F0-8BDBB98FBD88}">
  <sheetPr>
    <tabColor rgb="FFFFC000"/>
  </sheetPr>
  <dimension ref="A1:DU68"/>
  <sheetViews>
    <sheetView showGridLines="0" zoomScale="80" zoomScaleNormal="80" workbookViewId="0">
      <pane xSplit="1" ySplit="5" topLeftCell="B6" activePane="bottomRight" state="frozen"/>
      <selection pane="bottomRight" activeCell="D3" sqref="D3"/>
      <selection pane="bottomLeft" activeCell="A2" sqref="A2"/>
      <selection pane="topRight" activeCell="B1" sqref="B1"/>
    </sheetView>
  </sheetViews>
  <sheetFormatPr defaultRowHeight="15"/>
  <cols>
    <col min="1" max="1" width="20.5703125" style="239" customWidth="1"/>
    <col min="2" max="2" width="4.28515625" style="239" bestFit="1" customWidth="1"/>
    <col min="3" max="4" width="4.28515625" style="239" customWidth="1"/>
    <col min="5" max="8" width="4.28515625" style="239" bestFit="1" customWidth="1"/>
    <col min="9" max="9" width="4.28515625" style="239" customWidth="1"/>
    <col min="10" max="66" width="4.28515625" style="239" bestFit="1" customWidth="1"/>
    <col min="67" max="67" width="4.28515625" style="239" customWidth="1"/>
    <col min="68" max="99" width="4.28515625" style="239" bestFit="1" customWidth="1"/>
    <col min="100" max="123" width="4.5703125" style="239" bestFit="1" customWidth="1"/>
    <col min="124" max="125" width="4.28515625" style="239" bestFit="1" customWidth="1"/>
    <col min="126" max="16384" width="9.140625" style="239"/>
  </cols>
  <sheetData>
    <row r="1" spans="1:125" ht="21">
      <c r="A1" s="261" t="s">
        <v>1031</v>
      </c>
      <c r="B1" s="260"/>
      <c r="C1" s="260"/>
      <c r="D1" s="260"/>
      <c r="E1" s="260"/>
      <c r="F1" s="260"/>
      <c r="G1" s="260"/>
      <c r="H1" s="260"/>
      <c r="I1" s="260"/>
      <c r="J1" s="260"/>
      <c r="N1" s="269" t="s">
        <v>1032</v>
      </c>
    </row>
    <row r="2" spans="1:125" ht="18.75">
      <c r="A2" s="262" t="s">
        <v>1033</v>
      </c>
      <c r="N2" s="269" t="s">
        <v>1034</v>
      </c>
    </row>
    <row r="3" spans="1:125">
      <c r="A3" s="262"/>
    </row>
    <row r="4" spans="1:125" s="252" customFormat="1">
      <c r="A4" s="253" t="s">
        <v>8</v>
      </c>
      <c r="B4" s="363" t="s">
        <v>1035</v>
      </c>
      <c r="C4" s="363"/>
      <c r="D4" s="363"/>
      <c r="E4" s="363"/>
      <c r="F4" s="363"/>
      <c r="G4" s="363"/>
      <c r="H4" s="363"/>
      <c r="I4" s="363"/>
      <c r="J4" s="363"/>
      <c r="K4" s="363"/>
      <c r="L4" s="363" t="s">
        <v>1036</v>
      </c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 t="s">
        <v>1037</v>
      </c>
      <c r="Y4" s="363"/>
      <c r="Z4" s="363"/>
      <c r="AA4" s="363"/>
      <c r="AB4" s="363"/>
      <c r="AC4" s="363"/>
      <c r="AD4" s="363"/>
      <c r="AE4" s="363"/>
      <c r="AF4" s="363"/>
      <c r="AG4" s="363"/>
      <c r="AH4" s="363" t="s">
        <v>1038</v>
      </c>
      <c r="AI4" s="363"/>
      <c r="AJ4" s="363"/>
      <c r="AK4" s="363"/>
      <c r="AL4" s="363"/>
      <c r="AM4" s="363"/>
      <c r="AN4" s="363"/>
      <c r="AO4" s="363"/>
      <c r="AP4" s="363"/>
      <c r="AQ4" s="363"/>
      <c r="AR4" s="363" t="s">
        <v>1039</v>
      </c>
      <c r="AS4" s="363"/>
      <c r="AT4" s="363"/>
      <c r="AU4" s="363"/>
      <c r="AV4" s="363"/>
      <c r="AW4" s="363"/>
      <c r="AX4" s="363"/>
      <c r="AY4" s="363"/>
      <c r="AZ4" s="363" t="s">
        <v>1040</v>
      </c>
      <c r="BA4" s="363"/>
      <c r="BB4" s="363"/>
      <c r="BC4" s="363"/>
      <c r="BD4" s="363"/>
      <c r="BE4" s="363"/>
      <c r="BF4" s="363"/>
      <c r="BG4" s="363"/>
      <c r="BH4" s="363"/>
      <c r="BI4" s="363" t="s">
        <v>1041</v>
      </c>
      <c r="BJ4" s="363"/>
      <c r="BK4" s="363"/>
      <c r="BL4" s="363"/>
      <c r="BM4" s="363"/>
      <c r="BN4" s="363"/>
      <c r="BO4" s="363"/>
      <c r="BP4" s="363"/>
      <c r="BQ4" s="363"/>
      <c r="BR4" s="363"/>
      <c r="BS4" s="363"/>
      <c r="BT4" s="363"/>
      <c r="BU4" s="363"/>
      <c r="BV4" s="363"/>
      <c r="BW4" s="363"/>
      <c r="BX4" s="363"/>
      <c r="BY4" s="363"/>
      <c r="BZ4" s="363" t="s">
        <v>1042</v>
      </c>
      <c r="CA4" s="363"/>
      <c r="CB4" s="363"/>
      <c r="CC4" s="363"/>
      <c r="CD4" s="363"/>
      <c r="CE4" s="363" t="s">
        <v>1043</v>
      </c>
      <c r="CF4" s="363"/>
      <c r="CG4" s="363"/>
      <c r="CH4" s="363"/>
      <c r="CI4" s="363"/>
      <c r="CJ4" s="363"/>
      <c r="CK4" s="363"/>
      <c r="CL4" s="363"/>
      <c r="CM4" s="363"/>
      <c r="CN4" s="363"/>
      <c r="CO4" s="363"/>
      <c r="CP4" s="363"/>
      <c r="CQ4" s="363"/>
      <c r="CR4" s="363"/>
      <c r="CS4" s="363"/>
      <c r="CT4" s="363"/>
      <c r="CU4" s="363"/>
      <c r="CV4" s="362" t="s">
        <v>1044</v>
      </c>
      <c r="CW4" s="362"/>
      <c r="CX4" s="362"/>
      <c r="CY4" s="362"/>
      <c r="CZ4" s="362"/>
      <c r="DA4" s="362"/>
      <c r="DB4" s="362"/>
      <c r="DC4" s="362"/>
      <c r="DD4" s="362"/>
      <c r="DE4" s="362"/>
      <c r="DF4" s="362"/>
      <c r="DG4" s="362"/>
      <c r="DH4" s="362"/>
      <c r="DI4" s="362"/>
      <c r="DJ4" s="362"/>
      <c r="DK4" s="362"/>
      <c r="DL4" s="362"/>
      <c r="DM4" s="362"/>
      <c r="DN4" s="362"/>
      <c r="DO4" s="362"/>
      <c r="DP4" s="362"/>
      <c r="DQ4" s="362"/>
      <c r="DR4" s="362"/>
      <c r="DS4" s="362"/>
      <c r="DT4" s="362" t="s">
        <v>1045</v>
      </c>
      <c r="DU4" s="362"/>
    </row>
    <row r="5" spans="1:125" s="243" customFormat="1" ht="186.75" customHeight="1">
      <c r="A5" s="266" t="s">
        <v>1046</v>
      </c>
      <c r="B5" s="244" t="s">
        <v>1047</v>
      </c>
      <c r="C5" s="244" t="s">
        <v>1048</v>
      </c>
      <c r="D5" s="244" t="s">
        <v>1049</v>
      </c>
      <c r="E5" s="244" t="s">
        <v>1050</v>
      </c>
      <c r="F5" s="244" t="s">
        <v>1051</v>
      </c>
      <c r="G5" s="244" t="s">
        <v>1052</v>
      </c>
      <c r="H5" s="244" t="s">
        <v>39</v>
      </c>
      <c r="I5" s="244" t="s">
        <v>1053</v>
      </c>
      <c r="J5" s="244" t="s">
        <v>1054</v>
      </c>
      <c r="K5" s="244" t="s">
        <v>1055</v>
      </c>
      <c r="L5" s="245" t="s">
        <v>1056</v>
      </c>
      <c r="M5" s="245" t="s">
        <v>43</v>
      </c>
      <c r="N5" s="245" t="s">
        <v>44</v>
      </c>
      <c r="O5" s="245" t="s">
        <v>1057</v>
      </c>
      <c r="P5" s="245" t="s">
        <v>1058</v>
      </c>
      <c r="Q5" s="245" t="s">
        <v>1059</v>
      </c>
      <c r="R5" s="245" t="s">
        <v>1060</v>
      </c>
      <c r="S5" s="245" t="s">
        <v>1061</v>
      </c>
      <c r="T5" s="245" t="s">
        <v>1062</v>
      </c>
      <c r="U5" s="245" t="s">
        <v>1063</v>
      </c>
      <c r="V5" s="245" t="s">
        <v>1064</v>
      </c>
      <c r="W5" s="245" t="s">
        <v>1065</v>
      </c>
      <c r="X5" s="246" t="s">
        <v>1066</v>
      </c>
      <c r="Y5" s="246" t="s">
        <v>1067</v>
      </c>
      <c r="Z5" s="246" t="s">
        <v>1068</v>
      </c>
      <c r="AA5" s="246" t="s">
        <v>1069</v>
      </c>
      <c r="AB5" s="246" t="s">
        <v>1070</v>
      </c>
      <c r="AC5" s="246" t="s">
        <v>1071</v>
      </c>
      <c r="AD5" s="246" t="s">
        <v>1072</v>
      </c>
      <c r="AE5" s="246" t="s">
        <v>1073</v>
      </c>
      <c r="AF5" s="246" t="s">
        <v>1074</v>
      </c>
      <c r="AG5" s="246" t="s">
        <v>1075</v>
      </c>
      <c r="AH5" s="247" t="s">
        <v>1076</v>
      </c>
      <c r="AI5" s="247" t="s">
        <v>1077</v>
      </c>
      <c r="AJ5" s="247" t="s">
        <v>1078</v>
      </c>
      <c r="AK5" s="247" t="s">
        <v>1079</v>
      </c>
      <c r="AL5" s="247" t="s">
        <v>1080</v>
      </c>
      <c r="AM5" s="247" t="s">
        <v>1081</v>
      </c>
      <c r="AN5" s="247" t="s">
        <v>1082</v>
      </c>
      <c r="AO5" s="247" t="s">
        <v>1083</v>
      </c>
      <c r="AP5" s="247" t="s">
        <v>1084</v>
      </c>
      <c r="AQ5" s="247" t="s">
        <v>1085</v>
      </c>
      <c r="AR5" s="248" t="s">
        <v>1086</v>
      </c>
      <c r="AS5" s="248" t="s">
        <v>1087</v>
      </c>
      <c r="AT5" s="248" t="s">
        <v>1088</v>
      </c>
      <c r="AU5" s="248" t="s">
        <v>1089</v>
      </c>
      <c r="AV5" s="248" t="s">
        <v>68</v>
      </c>
      <c r="AW5" s="248" t="s">
        <v>1090</v>
      </c>
      <c r="AX5" s="248" t="s">
        <v>1081</v>
      </c>
      <c r="AY5" s="248" t="s">
        <v>1091</v>
      </c>
      <c r="AZ5" s="249" t="s">
        <v>1092</v>
      </c>
      <c r="BA5" s="249" t="s">
        <v>1093</v>
      </c>
      <c r="BB5" s="249" t="s">
        <v>1094</v>
      </c>
      <c r="BC5" s="249" t="s">
        <v>1090</v>
      </c>
      <c r="BD5" s="249" t="s">
        <v>1095</v>
      </c>
      <c r="BE5" s="249" t="s">
        <v>1096</v>
      </c>
      <c r="BF5" s="249" t="s">
        <v>1083</v>
      </c>
      <c r="BG5" s="249" t="s">
        <v>1097</v>
      </c>
      <c r="BH5" s="249" t="s">
        <v>1085</v>
      </c>
      <c r="BI5" s="250" t="s">
        <v>1098</v>
      </c>
      <c r="BJ5" s="250" t="s">
        <v>1099</v>
      </c>
      <c r="BK5" s="250" t="s">
        <v>1100</v>
      </c>
      <c r="BL5" s="250" t="s">
        <v>1101</v>
      </c>
      <c r="BM5" s="250" t="s">
        <v>1102</v>
      </c>
      <c r="BN5" s="250" t="s">
        <v>1090</v>
      </c>
      <c r="BO5" s="250" t="s">
        <v>1103</v>
      </c>
      <c r="BP5" s="250" t="s">
        <v>1060</v>
      </c>
      <c r="BQ5" s="250" t="s">
        <v>1104</v>
      </c>
      <c r="BR5" s="250" t="s">
        <v>1105</v>
      </c>
      <c r="BS5" s="250" t="s">
        <v>1106</v>
      </c>
      <c r="BT5" s="250" t="s">
        <v>1072</v>
      </c>
      <c r="BU5" s="250" t="s">
        <v>1078</v>
      </c>
      <c r="BV5" s="250" t="s">
        <v>1096</v>
      </c>
      <c r="BW5" s="250" t="s">
        <v>1107</v>
      </c>
      <c r="BX5" s="250" t="s">
        <v>1108</v>
      </c>
      <c r="BY5" s="250" t="s">
        <v>1109</v>
      </c>
      <c r="BZ5" s="251" t="s">
        <v>1110</v>
      </c>
      <c r="CA5" s="251" t="s">
        <v>1093</v>
      </c>
      <c r="CB5" s="251" t="s">
        <v>1090</v>
      </c>
      <c r="CC5" s="251" t="s">
        <v>82</v>
      </c>
      <c r="CD5" s="251" t="s">
        <v>83</v>
      </c>
      <c r="CE5" s="279" t="s">
        <v>1111</v>
      </c>
      <c r="CF5" s="279" t="s">
        <v>1051</v>
      </c>
      <c r="CG5" s="279" t="s">
        <v>1112</v>
      </c>
      <c r="CH5" s="279" t="s">
        <v>1052</v>
      </c>
      <c r="CI5" s="279" t="s">
        <v>40</v>
      </c>
      <c r="CJ5" s="279" t="s">
        <v>1113</v>
      </c>
      <c r="CK5" s="279" t="s">
        <v>1101</v>
      </c>
      <c r="CL5" s="279" t="s">
        <v>1090</v>
      </c>
      <c r="CM5" s="279" t="s">
        <v>75</v>
      </c>
      <c r="CN5" s="279" t="s">
        <v>1114</v>
      </c>
      <c r="CO5" s="279" t="s">
        <v>1115</v>
      </c>
      <c r="CP5" s="279" t="s">
        <v>1116</v>
      </c>
      <c r="CQ5" s="279" t="s">
        <v>56</v>
      </c>
      <c r="CR5" s="279" t="s">
        <v>1078</v>
      </c>
      <c r="CS5" s="279" t="s">
        <v>1117</v>
      </c>
      <c r="CT5" s="279" t="s">
        <v>1080</v>
      </c>
      <c r="CU5" s="279" t="s">
        <v>1088</v>
      </c>
      <c r="CV5" s="326" t="s">
        <v>1118</v>
      </c>
      <c r="CW5" s="326" t="s">
        <v>1119</v>
      </c>
      <c r="CX5" s="326" t="s">
        <v>1120</v>
      </c>
      <c r="CY5" s="326" t="s">
        <v>1121</v>
      </c>
      <c r="CZ5" s="326" t="s">
        <v>1122</v>
      </c>
      <c r="DA5" s="326" t="s">
        <v>1123</v>
      </c>
      <c r="DB5" s="326" t="s">
        <v>1124</v>
      </c>
      <c r="DC5" s="326" t="s">
        <v>1125</v>
      </c>
      <c r="DD5" s="326" t="s">
        <v>1126</v>
      </c>
      <c r="DE5" s="326" t="s">
        <v>1127</v>
      </c>
      <c r="DF5" s="326" t="s">
        <v>1128</v>
      </c>
      <c r="DG5" s="326" t="s">
        <v>1129</v>
      </c>
      <c r="DH5" s="326" t="s">
        <v>1130</v>
      </c>
      <c r="DI5" s="326" t="s">
        <v>100</v>
      </c>
      <c r="DJ5" s="326" t="s">
        <v>1131</v>
      </c>
      <c r="DK5" s="326" t="s">
        <v>1132</v>
      </c>
      <c r="DL5" s="326" t="s">
        <v>1133</v>
      </c>
      <c r="DM5" s="326" t="s">
        <v>1134</v>
      </c>
      <c r="DN5" s="326" t="s">
        <v>1135</v>
      </c>
      <c r="DO5" s="326" t="s">
        <v>1136</v>
      </c>
      <c r="DP5" s="326" t="s">
        <v>1137</v>
      </c>
      <c r="DQ5" s="326" t="s">
        <v>1128</v>
      </c>
      <c r="DR5" s="326" t="s">
        <v>73</v>
      </c>
      <c r="DS5" s="326" t="s">
        <v>1138</v>
      </c>
      <c r="DT5" s="280" t="s">
        <v>1139</v>
      </c>
      <c r="DU5" s="280" t="s">
        <v>1140</v>
      </c>
    </row>
    <row r="6" spans="1:125" ht="15" customHeight="1">
      <c r="A6" s="328" t="s">
        <v>1141</v>
      </c>
      <c r="B6" s="270" t="s">
        <v>1142</v>
      </c>
      <c r="C6" s="270" t="s">
        <v>1142</v>
      </c>
      <c r="D6" s="270" t="s">
        <v>1142</v>
      </c>
      <c r="E6" s="270" t="s">
        <v>1142</v>
      </c>
      <c r="F6" s="270"/>
      <c r="G6" s="270"/>
      <c r="H6" s="270"/>
      <c r="I6" s="270"/>
      <c r="J6" s="270"/>
      <c r="K6" s="270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2"/>
      <c r="Y6" s="272"/>
      <c r="Z6" s="272"/>
      <c r="AA6" s="272"/>
      <c r="AB6" s="272"/>
      <c r="AC6" s="272"/>
      <c r="AD6" s="272"/>
      <c r="AE6" s="272"/>
      <c r="AF6" s="272"/>
      <c r="AG6" s="272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4"/>
      <c r="AS6" s="274"/>
      <c r="AT6" s="274"/>
      <c r="AU6" s="274"/>
      <c r="AV6" s="274"/>
      <c r="AW6" s="274"/>
      <c r="AX6" s="274"/>
      <c r="AY6" s="274"/>
      <c r="AZ6" s="275"/>
      <c r="BA6" s="275"/>
      <c r="BB6" s="275"/>
      <c r="BC6" s="275"/>
      <c r="BD6" s="275"/>
      <c r="BE6" s="275"/>
      <c r="BF6" s="275"/>
      <c r="BG6" s="275"/>
      <c r="BH6" s="275"/>
      <c r="BI6" s="276"/>
      <c r="BJ6" s="276"/>
      <c r="BK6" s="276"/>
      <c r="BL6" s="276"/>
      <c r="BM6" s="276"/>
      <c r="BN6" s="276"/>
      <c r="BO6" s="276"/>
      <c r="BP6" s="276"/>
      <c r="BQ6" s="276"/>
      <c r="BR6" s="276"/>
      <c r="BS6" s="276"/>
      <c r="BT6" s="276"/>
      <c r="BU6" s="276"/>
      <c r="BV6" s="276"/>
      <c r="BW6" s="276"/>
      <c r="BX6" s="276"/>
      <c r="BY6" s="276"/>
      <c r="BZ6" s="277"/>
      <c r="CA6" s="277"/>
      <c r="CB6" s="277"/>
      <c r="CC6" s="277"/>
      <c r="CD6" s="277"/>
      <c r="CE6" s="278"/>
      <c r="CF6" s="278"/>
      <c r="CG6" s="278"/>
      <c r="CH6" s="278"/>
      <c r="CI6" s="278"/>
      <c r="CJ6" s="278"/>
      <c r="CK6" s="278"/>
      <c r="CL6" s="278"/>
      <c r="CM6" s="278"/>
      <c r="CN6" s="278"/>
      <c r="CO6" s="278"/>
      <c r="CP6" s="278"/>
      <c r="CQ6" s="278"/>
      <c r="CR6" s="278"/>
      <c r="CS6" s="278"/>
      <c r="CT6" s="278"/>
      <c r="CU6" s="278"/>
      <c r="CV6" s="241"/>
      <c r="CW6" s="241"/>
      <c r="CX6" s="241"/>
      <c r="CY6" s="241"/>
      <c r="CZ6" s="241"/>
      <c r="DA6" s="241"/>
      <c r="DB6" s="241"/>
      <c r="DC6" s="241"/>
      <c r="DD6" s="241"/>
      <c r="DE6" s="241"/>
      <c r="DF6" s="241"/>
      <c r="DG6" s="241"/>
      <c r="DH6" s="241"/>
      <c r="DI6" s="241"/>
      <c r="DJ6" s="241"/>
      <c r="DK6" s="241"/>
      <c r="DL6" s="241"/>
      <c r="DM6" s="241"/>
      <c r="DN6" s="241"/>
      <c r="DO6" s="241"/>
      <c r="DP6" s="241"/>
      <c r="DQ6" s="241"/>
      <c r="DR6" s="241"/>
      <c r="DS6" s="241"/>
      <c r="DT6" s="281" t="s">
        <v>1142</v>
      </c>
      <c r="DU6" s="282" t="s">
        <v>1142</v>
      </c>
    </row>
    <row r="7" spans="1:125" ht="15" customHeight="1">
      <c r="A7" s="328" t="s">
        <v>1143</v>
      </c>
      <c r="B7" s="270"/>
      <c r="C7" s="270"/>
      <c r="D7" s="270"/>
      <c r="E7" s="270"/>
      <c r="F7" s="270" t="s">
        <v>1142</v>
      </c>
      <c r="G7" s="270"/>
      <c r="H7" s="270"/>
      <c r="I7" s="270"/>
      <c r="J7" s="270"/>
      <c r="K7" s="270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2"/>
      <c r="Y7" s="272"/>
      <c r="Z7" s="272"/>
      <c r="AA7" s="272"/>
      <c r="AB7" s="272"/>
      <c r="AC7" s="272"/>
      <c r="AD7" s="272"/>
      <c r="AE7" s="272"/>
      <c r="AF7" s="272"/>
      <c r="AG7" s="272"/>
      <c r="AH7" s="273"/>
      <c r="AI7" s="273"/>
      <c r="AJ7" s="273"/>
      <c r="AK7" s="273"/>
      <c r="AL7" s="273"/>
      <c r="AM7" s="273"/>
      <c r="AN7" s="273"/>
      <c r="AO7" s="273"/>
      <c r="AP7" s="273"/>
      <c r="AQ7" s="273"/>
      <c r="AR7" s="274"/>
      <c r="AS7" s="274"/>
      <c r="AT7" s="274"/>
      <c r="AU7" s="274"/>
      <c r="AV7" s="274"/>
      <c r="AW7" s="274"/>
      <c r="AX7" s="274"/>
      <c r="AY7" s="274"/>
      <c r="AZ7" s="275"/>
      <c r="BA7" s="275"/>
      <c r="BB7" s="275"/>
      <c r="BC7" s="275"/>
      <c r="BD7" s="275"/>
      <c r="BE7" s="275"/>
      <c r="BF7" s="275"/>
      <c r="BG7" s="275"/>
      <c r="BH7" s="275"/>
      <c r="BI7" s="276"/>
      <c r="BJ7" s="276"/>
      <c r="BK7" s="276"/>
      <c r="BL7" s="276"/>
      <c r="BM7" s="276"/>
      <c r="BN7" s="276"/>
      <c r="BO7" s="276"/>
      <c r="BP7" s="276"/>
      <c r="BQ7" s="276"/>
      <c r="BR7" s="276"/>
      <c r="BS7" s="276"/>
      <c r="BT7" s="276"/>
      <c r="BU7" s="276"/>
      <c r="BV7" s="276"/>
      <c r="BW7" s="276"/>
      <c r="BX7" s="276"/>
      <c r="BY7" s="276"/>
      <c r="BZ7" s="277"/>
      <c r="CA7" s="277"/>
      <c r="CB7" s="277"/>
      <c r="CC7" s="277"/>
      <c r="CD7" s="277"/>
      <c r="CE7" s="278"/>
      <c r="CF7" s="278"/>
      <c r="CG7" s="278"/>
      <c r="CH7" s="278"/>
      <c r="CI7" s="278"/>
      <c r="CJ7" s="278"/>
      <c r="CK7" s="278"/>
      <c r="CL7" s="278"/>
      <c r="CM7" s="278"/>
      <c r="CN7" s="278"/>
      <c r="CO7" s="278"/>
      <c r="CP7" s="278"/>
      <c r="CQ7" s="278"/>
      <c r="CR7" s="278"/>
      <c r="CS7" s="278"/>
      <c r="CT7" s="278"/>
      <c r="CU7" s="278"/>
      <c r="CV7" s="241"/>
      <c r="CW7" s="241"/>
      <c r="CX7" s="241"/>
      <c r="CY7" s="241"/>
      <c r="CZ7" s="241"/>
      <c r="DA7" s="241"/>
      <c r="DB7" s="241"/>
      <c r="DC7" s="241"/>
      <c r="DD7" s="241"/>
      <c r="DE7" s="241"/>
      <c r="DF7" s="241"/>
      <c r="DG7" s="241"/>
      <c r="DH7" s="241"/>
      <c r="DI7" s="241"/>
      <c r="DJ7" s="241"/>
      <c r="DK7" s="241"/>
      <c r="DL7" s="241"/>
      <c r="DM7" s="241"/>
      <c r="DN7" s="241"/>
      <c r="DO7" s="241"/>
      <c r="DP7" s="241"/>
      <c r="DQ7" s="241"/>
      <c r="DR7" s="241"/>
      <c r="DS7" s="241"/>
      <c r="DT7" s="281" t="s">
        <v>1142</v>
      </c>
      <c r="DU7" s="281" t="s">
        <v>1142</v>
      </c>
    </row>
    <row r="8" spans="1:125" ht="15" customHeight="1">
      <c r="A8" s="328" t="s">
        <v>39</v>
      </c>
      <c r="B8" s="270"/>
      <c r="C8" s="270"/>
      <c r="D8" s="270"/>
      <c r="E8" s="270"/>
      <c r="F8" s="270"/>
      <c r="G8" s="270"/>
      <c r="H8" s="270" t="s">
        <v>1142</v>
      </c>
      <c r="I8" s="270"/>
      <c r="J8" s="270"/>
      <c r="K8" s="270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2"/>
      <c r="Y8" s="272"/>
      <c r="Z8" s="272"/>
      <c r="AA8" s="272"/>
      <c r="AB8" s="272"/>
      <c r="AC8" s="272"/>
      <c r="AD8" s="272"/>
      <c r="AE8" s="272"/>
      <c r="AF8" s="272"/>
      <c r="AG8" s="272"/>
      <c r="AH8" s="273"/>
      <c r="AI8" s="273"/>
      <c r="AJ8" s="273"/>
      <c r="AK8" s="273"/>
      <c r="AL8" s="273"/>
      <c r="AM8" s="273"/>
      <c r="AN8" s="273"/>
      <c r="AO8" s="273"/>
      <c r="AP8" s="273"/>
      <c r="AQ8" s="273"/>
      <c r="AR8" s="274"/>
      <c r="AS8" s="274"/>
      <c r="AT8" s="274"/>
      <c r="AU8" s="274"/>
      <c r="AV8" s="274"/>
      <c r="AW8" s="274"/>
      <c r="AX8" s="274"/>
      <c r="AY8" s="274"/>
      <c r="AZ8" s="275"/>
      <c r="BA8" s="275"/>
      <c r="BB8" s="275"/>
      <c r="BC8" s="275"/>
      <c r="BD8" s="275"/>
      <c r="BE8" s="275"/>
      <c r="BF8" s="275"/>
      <c r="BG8" s="275"/>
      <c r="BH8" s="275"/>
      <c r="BI8" s="276"/>
      <c r="BJ8" s="276"/>
      <c r="BK8" s="276"/>
      <c r="BL8" s="276"/>
      <c r="BM8" s="276"/>
      <c r="BN8" s="276"/>
      <c r="BO8" s="276"/>
      <c r="BP8" s="276"/>
      <c r="BQ8" s="276"/>
      <c r="BR8" s="276"/>
      <c r="BS8" s="276"/>
      <c r="BT8" s="276"/>
      <c r="BU8" s="276"/>
      <c r="BV8" s="276"/>
      <c r="BW8" s="276"/>
      <c r="BX8" s="276"/>
      <c r="BY8" s="276"/>
      <c r="BZ8" s="277"/>
      <c r="CA8" s="277"/>
      <c r="CB8" s="277"/>
      <c r="CC8" s="277"/>
      <c r="CD8" s="277"/>
      <c r="CE8" s="278"/>
      <c r="CF8" s="278"/>
      <c r="CG8" s="278"/>
      <c r="CH8" s="278"/>
      <c r="CI8" s="278"/>
      <c r="CJ8" s="278"/>
      <c r="CK8" s="278"/>
      <c r="CL8" s="278"/>
      <c r="CM8" s="278"/>
      <c r="CN8" s="278"/>
      <c r="CO8" s="278"/>
      <c r="CP8" s="278"/>
      <c r="CQ8" s="278"/>
      <c r="CR8" s="278"/>
      <c r="CS8" s="278"/>
      <c r="CT8" s="278"/>
      <c r="CU8" s="278"/>
      <c r="CV8" s="241"/>
      <c r="CW8" s="241"/>
      <c r="CX8" s="241"/>
      <c r="CY8" s="241"/>
      <c r="CZ8" s="241"/>
      <c r="DA8" s="241"/>
      <c r="DB8" s="241"/>
      <c r="DC8" s="241"/>
      <c r="DD8" s="241"/>
      <c r="DE8" s="241"/>
      <c r="DF8" s="241"/>
      <c r="DG8" s="241"/>
      <c r="DH8" s="241"/>
      <c r="DI8" s="241"/>
      <c r="DJ8" s="241"/>
      <c r="DK8" s="241"/>
      <c r="DL8" s="241"/>
      <c r="DM8" s="241"/>
      <c r="DN8" s="241"/>
      <c r="DO8" s="241"/>
      <c r="DP8" s="241"/>
      <c r="DQ8" s="241"/>
      <c r="DR8" s="241"/>
      <c r="DS8" s="241"/>
      <c r="DT8" s="281"/>
      <c r="DU8" s="281"/>
    </row>
    <row r="9" spans="1:125" ht="15" customHeight="1">
      <c r="A9" s="328" t="s">
        <v>1144</v>
      </c>
      <c r="B9" s="270"/>
      <c r="C9" s="270"/>
      <c r="D9" s="270"/>
      <c r="E9" s="270"/>
      <c r="F9" s="270"/>
      <c r="G9" s="270"/>
      <c r="H9" s="270"/>
      <c r="I9" s="270"/>
      <c r="J9" s="270"/>
      <c r="K9" s="270" t="s">
        <v>1142</v>
      </c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2"/>
      <c r="Y9" s="272"/>
      <c r="Z9" s="272"/>
      <c r="AA9" s="272"/>
      <c r="AB9" s="272"/>
      <c r="AC9" s="272"/>
      <c r="AD9" s="272"/>
      <c r="AE9" s="272"/>
      <c r="AF9" s="272"/>
      <c r="AG9" s="272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4"/>
      <c r="AS9" s="274"/>
      <c r="AT9" s="274"/>
      <c r="AU9" s="274"/>
      <c r="AV9" s="274"/>
      <c r="AW9" s="274"/>
      <c r="AX9" s="274"/>
      <c r="AY9" s="274"/>
      <c r="AZ9" s="275"/>
      <c r="BA9" s="275"/>
      <c r="BB9" s="275"/>
      <c r="BC9" s="275"/>
      <c r="BD9" s="275"/>
      <c r="BE9" s="275"/>
      <c r="BF9" s="275"/>
      <c r="BG9" s="275"/>
      <c r="BH9" s="275"/>
      <c r="BI9" s="276"/>
      <c r="BJ9" s="276"/>
      <c r="BK9" s="276"/>
      <c r="BL9" s="276"/>
      <c r="BM9" s="276"/>
      <c r="BN9" s="276"/>
      <c r="BO9" s="276"/>
      <c r="BP9" s="276"/>
      <c r="BQ9" s="276"/>
      <c r="BR9" s="276"/>
      <c r="BS9" s="276"/>
      <c r="BT9" s="276"/>
      <c r="BU9" s="276"/>
      <c r="BV9" s="276"/>
      <c r="BW9" s="276"/>
      <c r="BX9" s="276"/>
      <c r="BY9" s="276"/>
      <c r="BZ9" s="277"/>
      <c r="CA9" s="277"/>
      <c r="CB9" s="277"/>
      <c r="CC9" s="277"/>
      <c r="CD9" s="277"/>
      <c r="CE9" s="278"/>
      <c r="CF9" s="278"/>
      <c r="CG9" s="278"/>
      <c r="CH9" s="278"/>
      <c r="CI9" s="278"/>
      <c r="CJ9" s="278"/>
      <c r="CK9" s="278"/>
      <c r="CL9" s="278"/>
      <c r="CM9" s="278"/>
      <c r="CN9" s="278"/>
      <c r="CO9" s="278"/>
      <c r="CP9" s="278"/>
      <c r="CQ9" s="278"/>
      <c r="CR9" s="278"/>
      <c r="CS9" s="278"/>
      <c r="CT9" s="278"/>
      <c r="CU9" s="278"/>
      <c r="CV9" s="241"/>
      <c r="CW9" s="241"/>
      <c r="CX9" s="241"/>
      <c r="CY9" s="241"/>
      <c r="CZ9" s="241"/>
      <c r="DA9" s="241"/>
      <c r="DB9" s="241"/>
      <c r="DC9" s="241"/>
      <c r="DD9" s="241"/>
      <c r="DE9" s="241"/>
      <c r="DF9" s="241"/>
      <c r="DG9" s="241"/>
      <c r="DH9" s="241"/>
      <c r="DI9" s="241"/>
      <c r="DJ9" s="241"/>
      <c r="DK9" s="241"/>
      <c r="DL9" s="241"/>
      <c r="DM9" s="241"/>
      <c r="DN9" s="241"/>
      <c r="DO9" s="241"/>
      <c r="DP9" s="241"/>
      <c r="DQ9" s="241"/>
      <c r="DR9" s="241"/>
      <c r="DS9" s="241"/>
      <c r="DT9" s="281"/>
      <c r="DU9" s="281"/>
    </row>
    <row r="10" spans="1:125" ht="15" customHeight="1">
      <c r="A10" s="328" t="s">
        <v>1145</v>
      </c>
      <c r="B10" s="270"/>
      <c r="C10" s="270"/>
      <c r="D10" s="270"/>
      <c r="E10" s="270"/>
      <c r="F10" s="270"/>
      <c r="G10" s="270"/>
      <c r="H10" s="270"/>
      <c r="I10" s="270" t="s">
        <v>1142</v>
      </c>
      <c r="J10" s="270"/>
      <c r="K10" s="270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2"/>
      <c r="Y10" s="272"/>
      <c r="Z10" s="272"/>
      <c r="AA10" s="272"/>
      <c r="AB10" s="272"/>
      <c r="AC10" s="272"/>
      <c r="AD10" s="272"/>
      <c r="AE10" s="272"/>
      <c r="AF10" s="272"/>
      <c r="AG10" s="272"/>
      <c r="AH10" s="273"/>
      <c r="AI10" s="273"/>
      <c r="AJ10" s="273"/>
      <c r="AK10" s="273"/>
      <c r="AL10" s="273"/>
      <c r="AM10" s="273"/>
      <c r="AN10" s="273"/>
      <c r="AO10" s="273"/>
      <c r="AP10" s="273"/>
      <c r="AQ10" s="273"/>
      <c r="AR10" s="274"/>
      <c r="AS10" s="274"/>
      <c r="AT10" s="274"/>
      <c r="AU10" s="274"/>
      <c r="AV10" s="274"/>
      <c r="AW10" s="274"/>
      <c r="AX10" s="274"/>
      <c r="AY10" s="274"/>
      <c r="AZ10" s="275"/>
      <c r="BA10" s="275"/>
      <c r="BB10" s="275"/>
      <c r="BC10" s="275"/>
      <c r="BD10" s="275"/>
      <c r="BE10" s="275"/>
      <c r="BF10" s="275"/>
      <c r="BG10" s="275"/>
      <c r="BH10" s="275"/>
      <c r="BI10" s="276"/>
      <c r="BJ10" s="276"/>
      <c r="BK10" s="276"/>
      <c r="BL10" s="276"/>
      <c r="BM10" s="276"/>
      <c r="BN10" s="276"/>
      <c r="BO10" s="276"/>
      <c r="BP10" s="276"/>
      <c r="BQ10" s="276"/>
      <c r="BR10" s="276"/>
      <c r="BS10" s="276"/>
      <c r="BT10" s="276"/>
      <c r="BU10" s="276"/>
      <c r="BV10" s="276"/>
      <c r="BW10" s="276"/>
      <c r="BX10" s="276"/>
      <c r="BY10" s="276"/>
      <c r="BZ10" s="277"/>
      <c r="CA10" s="277"/>
      <c r="CB10" s="277"/>
      <c r="CC10" s="277"/>
      <c r="CD10" s="277"/>
      <c r="CE10" s="278"/>
      <c r="CF10" s="278"/>
      <c r="CG10" s="278"/>
      <c r="CH10" s="278"/>
      <c r="CI10" s="278"/>
      <c r="CJ10" s="278"/>
      <c r="CK10" s="278"/>
      <c r="CL10" s="278"/>
      <c r="CM10" s="278"/>
      <c r="CN10" s="278"/>
      <c r="CO10" s="278"/>
      <c r="CP10" s="278"/>
      <c r="CQ10" s="278"/>
      <c r="CR10" s="278"/>
      <c r="CS10" s="278"/>
      <c r="CT10" s="278"/>
      <c r="CU10" s="278"/>
      <c r="CV10" s="241"/>
      <c r="CW10" s="241"/>
      <c r="CX10" s="241"/>
      <c r="CY10" s="241"/>
      <c r="CZ10" s="241"/>
      <c r="DA10" s="241"/>
      <c r="DB10" s="241"/>
      <c r="DC10" s="241"/>
      <c r="DD10" s="241"/>
      <c r="DE10" s="241"/>
      <c r="DF10" s="241"/>
      <c r="DG10" s="241"/>
      <c r="DH10" s="241"/>
      <c r="DI10" s="241"/>
      <c r="DJ10" s="241"/>
      <c r="DK10" s="241"/>
      <c r="DL10" s="241"/>
      <c r="DM10" s="241"/>
      <c r="DN10" s="241"/>
      <c r="DO10" s="241"/>
      <c r="DP10" s="241"/>
      <c r="DQ10" s="241"/>
      <c r="DR10" s="241"/>
      <c r="DS10" s="241"/>
      <c r="DT10" s="281"/>
      <c r="DU10" s="281"/>
    </row>
    <row r="11" spans="1:125" ht="15" customHeight="1">
      <c r="A11" s="328" t="s">
        <v>1146</v>
      </c>
      <c r="B11" s="270"/>
      <c r="C11" s="270"/>
      <c r="D11" s="270"/>
      <c r="E11" s="270"/>
      <c r="F11" s="270"/>
      <c r="G11" s="270"/>
      <c r="H11" s="270"/>
      <c r="I11" s="270"/>
      <c r="J11" s="270"/>
      <c r="K11" s="270" t="s">
        <v>1142</v>
      </c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2"/>
      <c r="Y11" s="272"/>
      <c r="Z11" s="272"/>
      <c r="AA11" s="272"/>
      <c r="AB11" s="272"/>
      <c r="AC11" s="272"/>
      <c r="AD11" s="272"/>
      <c r="AE11" s="272"/>
      <c r="AF11" s="272"/>
      <c r="AG11" s="272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4"/>
      <c r="AS11" s="274"/>
      <c r="AT11" s="274"/>
      <c r="AU11" s="274"/>
      <c r="AV11" s="274"/>
      <c r="AW11" s="274"/>
      <c r="AX11" s="274"/>
      <c r="AY11" s="274"/>
      <c r="AZ11" s="275"/>
      <c r="BA11" s="275"/>
      <c r="BB11" s="275"/>
      <c r="BC11" s="275"/>
      <c r="BD11" s="275"/>
      <c r="BE11" s="275"/>
      <c r="BF11" s="275"/>
      <c r="BG11" s="275"/>
      <c r="BH11" s="275"/>
      <c r="BI11" s="276"/>
      <c r="BJ11" s="276"/>
      <c r="BK11" s="276"/>
      <c r="BL11" s="276"/>
      <c r="BM11" s="276"/>
      <c r="BN11" s="276"/>
      <c r="BO11" s="276"/>
      <c r="BP11" s="276"/>
      <c r="BQ11" s="276"/>
      <c r="BR11" s="276"/>
      <c r="BS11" s="276"/>
      <c r="BT11" s="276"/>
      <c r="BU11" s="276"/>
      <c r="BV11" s="276"/>
      <c r="BW11" s="276"/>
      <c r="BX11" s="276"/>
      <c r="BY11" s="276"/>
      <c r="BZ11" s="277"/>
      <c r="CA11" s="277"/>
      <c r="CB11" s="277"/>
      <c r="CC11" s="277"/>
      <c r="CD11" s="277"/>
      <c r="CE11" s="278"/>
      <c r="CF11" s="278"/>
      <c r="CG11" s="278"/>
      <c r="CH11" s="278"/>
      <c r="CI11" s="278"/>
      <c r="CJ11" s="278"/>
      <c r="CK11" s="278"/>
      <c r="CL11" s="278"/>
      <c r="CM11" s="278"/>
      <c r="CN11" s="278"/>
      <c r="CO11" s="278"/>
      <c r="CP11" s="278"/>
      <c r="CQ11" s="278"/>
      <c r="CR11" s="278"/>
      <c r="CS11" s="278"/>
      <c r="CT11" s="278"/>
      <c r="CU11" s="278"/>
      <c r="CV11" s="241"/>
      <c r="CW11" s="241"/>
      <c r="CX11" s="241"/>
      <c r="CY11" s="241"/>
      <c r="CZ11" s="241"/>
      <c r="DA11" s="241"/>
      <c r="DB11" s="241"/>
      <c r="DC11" s="241"/>
      <c r="DD11" s="241"/>
      <c r="DE11" s="241"/>
      <c r="DF11" s="241"/>
      <c r="DG11" s="241"/>
      <c r="DH11" s="241"/>
      <c r="DI11" s="241"/>
      <c r="DJ11" s="241"/>
      <c r="DK11" s="241"/>
      <c r="DL11" s="241"/>
      <c r="DM11" s="241"/>
      <c r="DN11" s="241"/>
      <c r="DO11" s="241"/>
      <c r="DP11" s="241"/>
      <c r="DQ11" s="241"/>
      <c r="DR11" s="241"/>
      <c r="DS11" s="241"/>
      <c r="DT11" s="281" t="s">
        <v>1142</v>
      </c>
      <c r="DU11" s="281"/>
    </row>
    <row r="12" spans="1:125" ht="15" customHeight="1">
      <c r="A12" s="329" t="s">
        <v>1147</v>
      </c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1"/>
      <c r="N12" s="271"/>
      <c r="O12" s="271" t="s">
        <v>1142</v>
      </c>
      <c r="P12" s="271"/>
      <c r="Q12" s="271"/>
      <c r="R12" s="271"/>
      <c r="S12" s="271"/>
      <c r="T12" s="271"/>
      <c r="U12" s="271"/>
      <c r="V12" s="271"/>
      <c r="W12" s="271"/>
      <c r="X12" s="272"/>
      <c r="Y12" s="272"/>
      <c r="Z12" s="272"/>
      <c r="AA12" s="272"/>
      <c r="AB12" s="272"/>
      <c r="AC12" s="272"/>
      <c r="AD12" s="272"/>
      <c r="AE12" s="272"/>
      <c r="AF12" s="272"/>
      <c r="AG12" s="272"/>
      <c r="AH12" s="273"/>
      <c r="AI12" s="273"/>
      <c r="AJ12" s="273"/>
      <c r="AK12" s="273"/>
      <c r="AL12" s="273"/>
      <c r="AM12" s="273"/>
      <c r="AN12" s="273"/>
      <c r="AO12" s="273"/>
      <c r="AP12" s="273"/>
      <c r="AQ12" s="273"/>
      <c r="AR12" s="274"/>
      <c r="AS12" s="274"/>
      <c r="AT12" s="274"/>
      <c r="AU12" s="274"/>
      <c r="AV12" s="274"/>
      <c r="AW12" s="274"/>
      <c r="AX12" s="274"/>
      <c r="AY12" s="274"/>
      <c r="AZ12" s="275"/>
      <c r="BA12" s="275"/>
      <c r="BB12" s="275"/>
      <c r="BC12" s="275"/>
      <c r="BD12" s="275"/>
      <c r="BE12" s="275"/>
      <c r="BF12" s="275"/>
      <c r="BG12" s="275"/>
      <c r="BH12" s="275"/>
      <c r="BI12" s="276"/>
      <c r="BJ12" s="276"/>
      <c r="BK12" s="276"/>
      <c r="BL12" s="276"/>
      <c r="BM12" s="276"/>
      <c r="BN12" s="276"/>
      <c r="BO12" s="276"/>
      <c r="BP12" s="276"/>
      <c r="BQ12" s="276"/>
      <c r="BR12" s="276"/>
      <c r="BS12" s="276"/>
      <c r="BT12" s="276"/>
      <c r="BU12" s="276"/>
      <c r="BV12" s="276"/>
      <c r="BW12" s="276"/>
      <c r="BX12" s="276"/>
      <c r="BY12" s="276"/>
      <c r="BZ12" s="277"/>
      <c r="CA12" s="277"/>
      <c r="CB12" s="277"/>
      <c r="CC12" s="277"/>
      <c r="CD12" s="277"/>
      <c r="CE12" s="278"/>
      <c r="CF12" s="278"/>
      <c r="CG12" s="278"/>
      <c r="CH12" s="278"/>
      <c r="CI12" s="278"/>
      <c r="CJ12" s="278"/>
      <c r="CK12" s="278"/>
      <c r="CL12" s="278"/>
      <c r="CM12" s="278"/>
      <c r="CN12" s="278"/>
      <c r="CO12" s="278"/>
      <c r="CP12" s="278"/>
      <c r="CQ12" s="278"/>
      <c r="CR12" s="278"/>
      <c r="CS12" s="278"/>
      <c r="CT12" s="278"/>
      <c r="CU12" s="278"/>
      <c r="CV12" s="241"/>
      <c r="CW12" s="241"/>
      <c r="CX12" s="241"/>
      <c r="CY12" s="241"/>
      <c r="CZ12" s="241"/>
      <c r="DA12" s="241"/>
      <c r="DB12" s="241"/>
      <c r="DC12" s="241"/>
      <c r="DD12" s="241"/>
      <c r="DE12" s="241"/>
      <c r="DF12" s="241"/>
      <c r="DG12" s="241"/>
      <c r="DH12" s="241"/>
      <c r="DI12" s="241"/>
      <c r="DJ12" s="241"/>
      <c r="DK12" s="241"/>
      <c r="DL12" s="241"/>
      <c r="DM12" s="241"/>
      <c r="DN12" s="241"/>
      <c r="DO12" s="241"/>
      <c r="DP12" s="241"/>
      <c r="DQ12" s="241"/>
      <c r="DR12" s="241"/>
      <c r="DS12" s="241"/>
      <c r="DT12" s="281"/>
      <c r="DU12" s="281"/>
    </row>
    <row r="13" spans="1:125" ht="15" customHeight="1">
      <c r="A13" s="329" t="s">
        <v>1148</v>
      </c>
      <c r="B13" s="271"/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1" t="s">
        <v>1142</v>
      </c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2"/>
      <c r="Y13" s="272"/>
      <c r="Z13" s="272"/>
      <c r="AA13" s="272"/>
      <c r="AB13" s="272"/>
      <c r="AC13" s="272"/>
      <c r="AD13" s="272"/>
      <c r="AE13" s="272"/>
      <c r="AF13" s="272"/>
      <c r="AG13" s="272"/>
      <c r="AH13" s="273"/>
      <c r="AI13" s="273"/>
      <c r="AJ13" s="273"/>
      <c r="AK13" s="273"/>
      <c r="AL13" s="273"/>
      <c r="AM13" s="273"/>
      <c r="AN13" s="273"/>
      <c r="AO13" s="273"/>
      <c r="AP13" s="273"/>
      <c r="AQ13" s="273"/>
      <c r="AR13" s="274"/>
      <c r="AS13" s="274"/>
      <c r="AT13" s="274"/>
      <c r="AU13" s="274"/>
      <c r="AV13" s="274"/>
      <c r="AW13" s="274"/>
      <c r="AX13" s="274"/>
      <c r="AY13" s="274"/>
      <c r="AZ13" s="275"/>
      <c r="BA13" s="275"/>
      <c r="BB13" s="275"/>
      <c r="BC13" s="275"/>
      <c r="BD13" s="275"/>
      <c r="BE13" s="275"/>
      <c r="BF13" s="275"/>
      <c r="BG13" s="275"/>
      <c r="BH13" s="275"/>
      <c r="BI13" s="276"/>
      <c r="BJ13" s="276"/>
      <c r="BK13" s="276"/>
      <c r="BL13" s="276"/>
      <c r="BM13" s="276"/>
      <c r="BN13" s="276"/>
      <c r="BO13" s="276"/>
      <c r="BP13" s="276"/>
      <c r="BQ13" s="276"/>
      <c r="BR13" s="276"/>
      <c r="BS13" s="276"/>
      <c r="BT13" s="276"/>
      <c r="BU13" s="276"/>
      <c r="BV13" s="276"/>
      <c r="BW13" s="276"/>
      <c r="BX13" s="276"/>
      <c r="BY13" s="276"/>
      <c r="BZ13" s="277"/>
      <c r="CA13" s="277"/>
      <c r="CB13" s="277"/>
      <c r="CC13" s="277"/>
      <c r="CD13" s="277"/>
      <c r="CE13" s="278"/>
      <c r="CF13" s="278"/>
      <c r="CG13" s="278"/>
      <c r="CH13" s="278"/>
      <c r="CI13" s="278"/>
      <c r="CJ13" s="278"/>
      <c r="CK13" s="278"/>
      <c r="CL13" s="278"/>
      <c r="CM13" s="278"/>
      <c r="CN13" s="278"/>
      <c r="CO13" s="278"/>
      <c r="CP13" s="278"/>
      <c r="CQ13" s="278"/>
      <c r="CR13" s="278"/>
      <c r="CS13" s="278"/>
      <c r="CT13" s="278"/>
      <c r="CU13" s="278"/>
      <c r="CV13" s="241"/>
      <c r="CW13" s="241"/>
      <c r="CX13" s="241"/>
      <c r="CY13" s="241"/>
      <c r="CZ13" s="241"/>
      <c r="DA13" s="241"/>
      <c r="DB13" s="241"/>
      <c r="DC13" s="241"/>
      <c r="DD13" s="241"/>
      <c r="DE13" s="241"/>
      <c r="DF13" s="241"/>
      <c r="DG13" s="241"/>
      <c r="DH13" s="241"/>
      <c r="DI13" s="241"/>
      <c r="DJ13" s="241"/>
      <c r="DK13" s="241"/>
      <c r="DL13" s="241"/>
      <c r="DM13" s="241"/>
      <c r="DN13" s="241"/>
      <c r="DO13" s="241"/>
      <c r="DP13" s="241"/>
      <c r="DQ13" s="241"/>
      <c r="DR13" s="241"/>
      <c r="DS13" s="241"/>
      <c r="DT13" s="281" t="s">
        <v>1142</v>
      </c>
      <c r="DU13" s="281"/>
    </row>
    <row r="14" spans="1:125" ht="15" customHeight="1">
      <c r="A14" s="329" t="s">
        <v>1149</v>
      </c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1" t="s">
        <v>1142</v>
      </c>
      <c r="O14" s="271"/>
      <c r="P14" s="271"/>
      <c r="Q14" s="271"/>
      <c r="R14" s="271"/>
      <c r="S14" s="271"/>
      <c r="T14" s="271"/>
      <c r="U14" s="271"/>
      <c r="V14" s="271"/>
      <c r="W14" s="271"/>
      <c r="X14" s="272"/>
      <c r="Y14" s="272"/>
      <c r="Z14" s="272"/>
      <c r="AA14" s="272"/>
      <c r="AB14" s="272"/>
      <c r="AC14" s="272"/>
      <c r="AD14" s="272"/>
      <c r="AE14" s="272"/>
      <c r="AF14" s="272"/>
      <c r="AG14" s="272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4"/>
      <c r="AS14" s="274"/>
      <c r="AT14" s="274"/>
      <c r="AU14" s="274"/>
      <c r="AV14" s="274"/>
      <c r="AW14" s="274"/>
      <c r="AX14" s="274"/>
      <c r="AY14" s="274"/>
      <c r="AZ14" s="275"/>
      <c r="BA14" s="275"/>
      <c r="BB14" s="275"/>
      <c r="BC14" s="275"/>
      <c r="BD14" s="275"/>
      <c r="BE14" s="275"/>
      <c r="BF14" s="275"/>
      <c r="BG14" s="275"/>
      <c r="BH14" s="275"/>
      <c r="BI14" s="276"/>
      <c r="BJ14" s="276"/>
      <c r="BK14" s="276"/>
      <c r="BL14" s="276"/>
      <c r="BM14" s="276"/>
      <c r="BN14" s="276"/>
      <c r="BO14" s="276"/>
      <c r="BP14" s="276"/>
      <c r="BQ14" s="276"/>
      <c r="BR14" s="276"/>
      <c r="BS14" s="276"/>
      <c r="BT14" s="276"/>
      <c r="BU14" s="276"/>
      <c r="BV14" s="276"/>
      <c r="BW14" s="276"/>
      <c r="BX14" s="276"/>
      <c r="BY14" s="276"/>
      <c r="BZ14" s="277"/>
      <c r="CA14" s="277"/>
      <c r="CB14" s="277"/>
      <c r="CC14" s="277"/>
      <c r="CD14" s="277"/>
      <c r="CE14" s="278"/>
      <c r="CF14" s="278"/>
      <c r="CG14" s="278"/>
      <c r="CH14" s="278"/>
      <c r="CI14" s="278"/>
      <c r="CJ14" s="278"/>
      <c r="CK14" s="278"/>
      <c r="CL14" s="278"/>
      <c r="CM14" s="278"/>
      <c r="CN14" s="278"/>
      <c r="CO14" s="278"/>
      <c r="CP14" s="278"/>
      <c r="CQ14" s="278"/>
      <c r="CR14" s="278"/>
      <c r="CS14" s="278"/>
      <c r="CT14" s="278"/>
      <c r="CU14" s="278"/>
      <c r="CV14" s="241"/>
      <c r="CW14" s="241"/>
      <c r="CX14" s="241"/>
      <c r="CY14" s="241"/>
      <c r="CZ14" s="241"/>
      <c r="DA14" s="241"/>
      <c r="DB14" s="241"/>
      <c r="DC14" s="241"/>
      <c r="DD14" s="241"/>
      <c r="DE14" s="241"/>
      <c r="DF14" s="241"/>
      <c r="DG14" s="241"/>
      <c r="DH14" s="241"/>
      <c r="DI14" s="241"/>
      <c r="DJ14" s="241"/>
      <c r="DK14" s="241"/>
      <c r="DL14" s="241"/>
      <c r="DM14" s="241"/>
      <c r="DN14" s="241"/>
      <c r="DO14" s="241"/>
      <c r="DP14" s="241"/>
      <c r="DQ14" s="241"/>
      <c r="DR14" s="241"/>
      <c r="DS14" s="241"/>
      <c r="DT14" s="281"/>
      <c r="DU14" s="281"/>
    </row>
    <row r="15" spans="1:125" ht="15" customHeight="1">
      <c r="A15" s="329" t="s">
        <v>1150</v>
      </c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 t="s">
        <v>1142</v>
      </c>
      <c r="Q15" s="271"/>
      <c r="R15" s="271"/>
      <c r="S15" s="271"/>
      <c r="T15" s="271"/>
      <c r="U15" s="271"/>
      <c r="V15" s="271"/>
      <c r="W15" s="271"/>
      <c r="X15" s="272"/>
      <c r="Y15" s="272"/>
      <c r="Z15" s="272"/>
      <c r="AA15" s="272"/>
      <c r="AB15" s="272"/>
      <c r="AC15" s="272"/>
      <c r="AD15" s="272"/>
      <c r="AE15" s="272"/>
      <c r="AF15" s="272"/>
      <c r="AG15" s="272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4"/>
      <c r="AS15" s="274"/>
      <c r="AT15" s="274"/>
      <c r="AU15" s="274"/>
      <c r="AV15" s="274"/>
      <c r="AW15" s="274"/>
      <c r="AX15" s="274"/>
      <c r="AY15" s="274"/>
      <c r="AZ15" s="275"/>
      <c r="BA15" s="275"/>
      <c r="BB15" s="275"/>
      <c r="BC15" s="275"/>
      <c r="BD15" s="275"/>
      <c r="BE15" s="275"/>
      <c r="BF15" s="275"/>
      <c r="BG15" s="275"/>
      <c r="BH15" s="275"/>
      <c r="BI15" s="276"/>
      <c r="BJ15" s="276"/>
      <c r="BK15" s="276"/>
      <c r="BL15" s="276"/>
      <c r="BM15" s="276"/>
      <c r="BN15" s="276"/>
      <c r="BO15" s="276"/>
      <c r="BP15" s="276"/>
      <c r="BQ15" s="276"/>
      <c r="BR15" s="276"/>
      <c r="BS15" s="276"/>
      <c r="BT15" s="276"/>
      <c r="BU15" s="276"/>
      <c r="BV15" s="276"/>
      <c r="BW15" s="276"/>
      <c r="BX15" s="276"/>
      <c r="BY15" s="276"/>
      <c r="BZ15" s="277"/>
      <c r="CA15" s="277"/>
      <c r="CB15" s="277"/>
      <c r="CC15" s="277"/>
      <c r="CD15" s="277"/>
      <c r="CE15" s="278"/>
      <c r="CF15" s="278"/>
      <c r="CG15" s="278"/>
      <c r="CH15" s="278"/>
      <c r="CI15" s="278"/>
      <c r="CJ15" s="278"/>
      <c r="CK15" s="278"/>
      <c r="CL15" s="278"/>
      <c r="CM15" s="278"/>
      <c r="CN15" s="278"/>
      <c r="CO15" s="278"/>
      <c r="CP15" s="278"/>
      <c r="CQ15" s="278"/>
      <c r="CR15" s="278"/>
      <c r="CS15" s="278"/>
      <c r="CT15" s="278"/>
      <c r="CU15" s="278"/>
      <c r="CV15" s="241"/>
      <c r="CW15" s="241"/>
      <c r="CX15" s="241"/>
      <c r="CY15" s="241"/>
      <c r="CZ15" s="241"/>
      <c r="DA15" s="241"/>
      <c r="DB15" s="241"/>
      <c r="DC15" s="241"/>
      <c r="DD15" s="241"/>
      <c r="DE15" s="241"/>
      <c r="DF15" s="241"/>
      <c r="DG15" s="241"/>
      <c r="DH15" s="241"/>
      <c r="DI15" s="241"/>
      <c r="DJ15" s="241"/>
      <c r="DK15" s="241"/>
      <c r="DL15" s="241"/>
      <c r="DM15" s="241"/>
      <c r="DN15" s="241"/>
      <c r="DO15" s="241"/>
      <c r="DP15" s="241"/>
      <c r="DQ15" s="241"/>
      <c r="DR15" s="241"/>
      <c r="DS15" s="241"/>
      <c r="DT15" s="281"/>
      <c r="DU15" s="281"/>
    </row>
    <row r="16" spans="1:125" ht="15" customHeight="1">
      <c r="A16" s="329" t="s">
        <v>1151</v>
      </c>
      <c r="B16" s="271"/>
      <c r="C16" s="271"/>
      <c r="D16" s="271"/>
      <c r="E16" s="271"/>
      <c r="F16" s="271"/>
      <c r="G16" s="271"/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 t="s">
        <v>1142</v>
      </c>
      <c r="T16" s="271"/>
      <c r="U16" s="271"/>
      <c r="V16" s="271"/>
      <c r="W16" s="271"/>
      <c r="X16" s="272"/>
      <c r="Y16" s="272"/>
      <c r="Z16" s="272"/>
      <c r="AA16" s="272"/>
      <c r="AB16" s="272"/>
      <c r="AC16" s="272"/>
      <c r="AD16" s="272"/>
      <c r="AE16" s="272"/>
      <c r="AF16" s="272"/>
      <c r="AG16" s="272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274"/>
      <c r="AS16" s="274"/>
      <c r="AT16" s="274"/>
      <c r="AU16" s="274"/>
      <c r="AV16" s="274"/>
      <c r="AW16" s="274"/>
      <c r="AX16" s="274"/>
      <c r="AY16" s="274"/>
      <c r="AZ16" s="275"/>
      <c r="BA16" s="275"/>
      <c r="BB16" s="275"/>
      <c r="BC16" s="275"/>
      <c r="BD16" s="275"/>
      <c r="BE16" s="275"/>
      <c r="BF16" s="275"/>
      <c r="BG16" s="275"/>
      <c r="BH16" s="275"/>
      <c r="BI16" s="276"/>
      <c r="BJ16" s="276"/>
      <c r="BK16" s="276"/>
      <c r="BL16" s="276"/>
      <c r="BM16" s="276"/>
      <c r="BN16" s="276"/>
      <c r="BO16" s="276"/>
      <c r="BP16" s="276"/>
      <c r="BQ16" s="276"/>
      <c r="BR16" s="276"/>
      <c r="BS16" s="276"/>
      <c r="BT16" s="276"/>
      <c r="BU16" s="276"/>
      <c r="BV16" s="276"/>
      <c r="BW16" s="276"/>
      <c r="BX16" s="276"/>
      <c r="BY16" s="276"/>
      <c r="BZ16" s="277"/>
      <c r="CA16" s="277"/>
      <c r="CB16" s="277"/>
      <c r="CC16" s="277"/>
      <c r="CD16" s="277"/>
      <c r="CE16" s="278"/>
      <c r="CF16" s="278"/>
      <c r="CG16" s="278"/>
      <c r="CH16" s="278"/>
      <c r="CI16" s="278"/>
      <c r="CJ16" s="278"/>
      <c r="CK16" s="278"/>
      <c r="CL16" s="278"/>
      <c r="CM16" s="278"/>
      <c r="CN16" s="278"/>
      <c r="CO16" s="278"/>
      <c r="CP16" s="278"/>
      <c r="CQ16" s="278"/>
      <c r="CR16" s="278"/>
      <c r="CS16" s="278"/>
      <c r="CT16" s="278"/>
      <c r="CU16" s="278"/>
      <c r="CV16" s="241"/>
      <c r="CW16" s="241"/>
      <c r="CX16" s="241"/>
      <c r="CY16" s="241"/>
      <c r="CZ16" s="241"/>
      <c r="DA16" s="241"/>
      <c r="DB16" s="241"/>
      <c r="DC16" s="241"/>
      <c r="DD16" s="241"/>
      <c r="DE16" s="241"/>
      <c r="DF16" s="241"/>
      <c r="DG16" s="241"/>
      <c r="DH16" s="241"/>
      <c r="DI16" s="241"/>
      <c r="DJ16" s="241"/>
      <c r="DK16" s="241"/>
      <c r="DL16" s="241"/>
      <c r="DM16" s="241"/>
      <c r="DN16" s="241"/>
      <c r="DO16" s="241"/>
      <c r="DP16" s="241"/>
      <c r="DQ16" s="241"/>
      <c r="DR16" s="241"/>
      <c r="DS16" s="241"/>
      <c r="DT16" s="281" t="s">
        <v>1142</v>
      </c>
      <c r="DU16" s="281"/>
    </row>
    <row r="17" spans="1:125" ht="15" customHeight="1">
      <c r="A17" s="329" t="s">
        <v>1152</v>
      </c>
      <c r="B17" s="271"/>
      <c r="C17" s="271"/>
      <c r="D17" s="271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1" t="s">
        <v>1142</v>
      </c>
      <c r="S17" s="271"/>
      <c r="T17" s="271"/>
      <c r="U17" s="271"/>
      <c r="V17" s="271"/>
      <c r="W17" s="271"/>
      <c r="X17" s="272"/>
      <c r="Y17" s="272"/>
      <c r="Z17" s="272"/>
      <c r="AA17" s="272"/>
      <c r="AB17" s="272"/>
      <c r="AC17" s="272"/>
      <c r="AD17" s="272"/>
      <c r="AE17" s="272"/>
      <c r="AF17" s="272"/>
      <c r="AG17" s="272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4"/>
      <c r="AS17" s="274"/>
      <c r="AT17" s="274"/>
      <c r="AU17" s="274"/>
      <c r="AV17" s="274"/>
      <c r="AW17" s="274"/>
      <c r="AX17" s="274"/>
      <c r="AY17" s="274"/>
      <c r="AZ17" s="275"/>
      <c r="BA17" s="275"/>
      <c r="BB17" s="275"/>
      <c r="BC17" s="275"/>
      <c r="BD17" s="275"/>
      <c r="BE17" s="275"/>
      <c r="BF17" s="275"/>
      <c r="BG17" s="275"/>
      <c r="BH17" s="275"/>
      <c r="BI17" s="276"/>
      <c r="BJ17" s="276"/>
      <c r="BK17" s="276"/>
      <c r="BL17" s="276"/>
      <c r="BM17" s="276"/>
      <c r="BN17" s="276"/>
      <c r="BO17" s="276"/>
      <c r="BP17" s="276"/>
      <c r="BQ17" s="276"/>
      <c r="BR17" s="276"/>
      <c r="BS17" s="276"/>
      <c r="BT17" s="276"/>
      <c r="BU17" s="276"/>
      <c r="BV17" s="276"/>
      <c r="BW17" s="276"/>
      <c r="BX17" s="276"/>
      <c r="BY17" s="276"/>
      <c r="BZ17" s="277"/>
      <c r="CA17" s="277"/>
      <c r="CB17" s="277"/>
      <c r="CC17" s="277"/>
      <c r="CD17" s="277"/>
      <c r="CE17" s="278"/>
      <c r="CF17" s="278"/>
      <c r="CG17" s="278"/>
      <c r="CH17" s="278"/>
      <c r="CI17" s="278"/>
      <c r="CJ17" s="278"/>
      <c r="CK17" s="278"/>
      <c r="CL17" s="278"/>
      <c r="CM17" s="278"/>
      <c r="CN17" s="278"/>
      <c r="CO17" s="278"/>
      <c r="CP17" s="278"/>
      <c r="CQ17" s="278"/>
      <c r="CR17" s="278"/>
      <c r="CS17" s="278"/>
      <c r="CT17" s="278"/>
      <c r="CU17" s="278"/>
      <c r="CV17" s="241"/>
      <c r="CW17" s="241"/>
      <c r="CX17" s="241"/>
      <c r="CY17" s="241"/>
      <c r="CZ17" s="241"/>
      <c r="DA17" s="241"/>
      <c r="DB17" s="241"/>
      <c r="DC17" s="241"/>
      <c r="DD17" s="241"/>
      <c r="DE17" s="241"/>
      <c r="DF17" s="241"/>
      <c r="DG17" s="241"/>
      <c r="DH17" s="241"/>
      <c r="DI17" s="241"/>
      <c r="DJ17" s="241"/>
      <c r="DK17" s="241"/>
      <c r="DL17" s="241"/>
      <c r="DM17" s="241"/>
      <c r="DN17" s="241"/>
      <c r="DO17" s="241"/>
      <c r="DP17" s="241"/>
      <c r="DQ17" s="241"/>
      <c r="DR17" s="241"/>
      <c r="DS17" s="241"/>
      <c r="DT17" s="281"/>
      <c r="DU17" s="281"/>
    </row>
    <row r="18" spans="1:125" ht="15" customHeight="1">
      <c r="A18" s="329" t="s">
        <v>1153</v>
      </c>
      <c r="B18" s="271"/>
      <c r="C18" s="271"/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 t="s">
        <v>1142</v>
      </c>
      <c r="U18" s="271"/>
      <c r="V18" s="271"/>
      <c r="W18" s="271"/>
      <c r="X18" s="272"/>
      <c r="Y18" s="272"/>
      <c r="Z18" s="272"/>
      <c r="AA18" s="272"/>
      <c r="AB18" s="272"/>
      <c r="AC18" s="272"/>
      <c r="AD18" s="272"/>
      <c r="AE18" s="272"/>
      <c r="AF18" s="272"/>
      <c r="AG18" s="272"/>
      <c r="AH18" s="273"/>
      <c r="AI18" s="273"/>
      <c r="AJ18" s="273"/>
      <c r="AK18" s="273"/>
      <c r="AL18" s="273"/>
      <c r="AM18" s="273"/>
      <c r="AN18" s="273"/>
      <c r="AO18" s="273"/>
      <c r="AP18" s="273"/>
      <c r="AQ18" s="273"/>
      <c r="AR18" s="274"/>
      <c r="AS18" s="274"/>
      <c r="AT18" s="274"/>
      <c r="AU18" s="274"/>
      <c r="AV18" s="274"/>
      <c r="AW18" s="274"/>
      <c r="AX18" s="274"/>
      <c r="AY18" s="274"/>
      <c r="AZ18" s="275"/>
      <c r="BA18" s="275"/>
      <c r="BB18" s="275"/>
      <c r="BC18" s="275"/>
      <c r="BD18" s="275"/>
      <c r="BE18" s="275"/>
      <c r="BF18" s="275"/>
      <c r="BG18" s="275"/>
      <c r="BH18" s="275"/>
      <c r="BI18" s="276"/>
      <c r="BJ18" s="276"/>
      <c r="BK18" s="276"/>
      <c r="BL18" s="276"/>
      <c r="BM18" s="276"/>
      <c r="BN18" s="276"/>
      <c r="BO18" s="276"/>
      <c r="BP18" s="276"/>
      <c r="BQ18" s="276"/>
      <c r="BR18" s="276"/>
      <c r="BS18" s="276"/>
      <c r="BT18" s="276"/>
      <c r="BU18" s="276"/>
      <c r="BV18" s="276"/>
      <c r="BW18" s="276"/>
      <c r="BX18" s="276"/>
      <c r="BY18" s="276"/>
      <c r="BZ18" s="277"/>
      <c r="CA18" s="277"/>
      <c r="CB18" s="277"/>
      <c r="CC18" s="277"/>
      <c r="CD18" s="277"/>
      <c r="CE18" s="278"/>
      <c r="CF18" s="278"/>
      <c r="CG18" s="278"/>
      <c r="CH18" s="278"/>
      <c r="CI18" s="278"/>
      <c r="CJ18" s="278"/>
      <c r="CK18" s="278"/>
      <c r="CL18" s="278"/>
      <c r="CM18" s="278"/>
      <c r="CN18" s="278"/>
      <c r="CO18" s="278"/>
      <c r="CP18" s="278"/>
      <c r="CQ18" s="278"/>
      <c r="CR18" s="278"/>
      <c r="CS18" s="278"/>
      <c r="CT18" s="278"/>
      <c r="CU18" s="278"/>
      <c r="CV18" s="241"/>
      <c r="CW18" s="241"/>
      <c r="CX18" s="241"/>
      <c r="CY18" s="241"/>
      <c r="CZ18" s="241"/>
      <c r="DA18" s="241"/>
      <c r="DB18" s="241"/>
      <c r="DC18" s="241"/>
      <c r="DD18" s="241"/>
      <c r="DE18" s="241"/>
      <c r="DF18" s="241"/>
      <c r="DG18" s="241"/>
      <c r="DH18" s="241"/>
      <c r="DI18" s="241"/>
      <c r="DJ18" s="241"/>
      <c r="DK18" s="241"/>
      <c r="DL18" s="241"/>
      <c r="DM18" s="241"/>
      <c r="DN18" s="241"/>
      <c r="DO18" s="241"/>
      <c r="DP18" s="241"/>
      <c r="DQ18" s="241"/>
      <c r="DR18" s="241"/>
      <c r="DS18" s="241"/>
      <c r="DT18" s="281"/>
      <c r="DU18" s="281"/>
    </row>
    <row r="19" spans="1:125" ht="15" customHeight="1">
      <c r="A19" s="329" t="s">
        <v>1154</v>
      </c>
      <c r="B19" s="271"/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 t="s">
        <v>1142</v>
      </c>
      <c r="V19" s="271"/>
      <c r="W19" s="271"/>
      <c r="X19" s="272"/>
      <c r="Y19" s="272"/>
      <c r="Z19" s="272"/>
      <c r="AA19" s="272"/>
      <c r="AB19" s="272"/>
      <c r="AC19" s="272"/>
      <c r="AD19" s="272"/>
      <c r="AE19" s="272"/>
      <c r="AF19" s="272"/>
      <c r="AG19" s="272"/>
      <c r="AH19" s="273"/>
      <c r="AI19" s="273"/>
      <c r="AJ19" s="273"/>
      <c r="AK19" s="273"/>
      <c r="AL19" s="273"/>
      <c r="AM19" s="273"/>
      <c r="AN19" s="273"/>
      <c r="AO19" s="273"/>
      <c r="AP19" s="273"/>
      <c r="AQ19" s="273"/>
      <c r="AR19" s="274"/>
      <c r="AS19" s="274"/>
      <c r="AT19" s="274"/>
      <c r="AU19" s="274"/>
      <c r="AV19" s="274"/>
      <c r="AW19" s="274"/>
      <c r="AX19" s="274"/>
      <c r="AY19" s="274"/>
      <c r="AZ19" s="275"/>
      <c r="BA19" s="275"/>
      <c r="BB19" s="275"/>
      <c r="BC19" s="275"/>
      <c r="BD19" s="275"/>
      <c r="BE19" s="275"/>
      <c r="BF19" s="275"/>
      <c r="BG19" s="275"/>
      <c r="BH19" s="275"/>
      <c r="BI19" s="276"/>
      <c r="BJ19" s="276"/>
      <c r="BK19" s="276"/>
      <c r="BL19" s="276"/>
      <c r="BM19" s="276"/>
      <c r="BN19" s="276"/>
      <c r="BO19" s="276"/>
      <c r="BP19" s="276"/>
      <c r="BQ19" s="276"/>
      <c r="BR19" s="276"/>
      <c r="BS19" s="276"/>
      <c r="BT19" s="276"/>
      <c r="BU19" s="276"/>
      <c r="BV19" s="276"/>
      <c r="BW19" s="276"/>
      <c r="BX19" s="276"/>
      <c r="BY19" s="276"/>
      <c r="BZ19" s="277"/>
      <c r="CA19" s="277"/>
      <c r="CB19" s="277"/>
      <c r="CC19" s="277"/>
      <c r="CD19" s="277"/>
      <c r="CE19" s="278"/>
      <c r="CF19" s="278"/>
      <c r="CG19" s="278"/>
      <c r="CH19" s="278"/>
      <c r="CI19" s="278"/>
      <c r="CJ19" s="278"/>
      <c r="CK19" s="278"/>
      <c r="CL19" s="278"/>
      <c r="CM19" s="278"/>
      <c r="CN19" s="278"/>
      <c r="CO19" s="278"/>
      <c r="CP19" s="278"/>
      <c r="CQ19" s="278"/>
      <c r="CR19" s="278"/>
      <c r="CS19" s="278"/>
      <c r="CT19" s="278"/>
      <c r="CU19" s="278"/>
      <c r="CV19" s="241"/>
      <c r="CW19" s="241"/>
      <c r="CX19" s="241"/>
      <c r="CY19" s="241"/>
      <c r="CZ19" s="241"/>
      <c r="DA19" s="241"/>
      <c r="DB19" s="241"/>
      <c r="DC19" s="241"/>
      <c r="DD19" s="241"/>
      <c r="DE19" s="241"/>
      <c r="DF19" s="241"/>
      <c r="DG19" s="241"/>
      <c r="DH19" s="241"/>
      <c r="DI19" s="241"/>
      <c r="DJ19" s="241"/>
      <c r="DK19" s="241"/>
      <c r="DL19" s="241"/>
      <c r="DM19" s="241"/>
      <c r="DN19" s="241"/>
      <c r="DO19" s="241"/>
      <c r="DP19" s="241"/>
      <c r="DQ19" s="241"/>
      <c r="DR19" s="241"/>
      <c r="DS19" s="241"/>
      <c r="DT19" s="281"/>
      <c r="DU19" s="281"/>
    </row>
    <row r="20" spans="1:125" ht="15" customHeight="1">
      <c r="A20" s="329" t="s">
        <v>1155</v>
      </c>
      <c r="B20" s="271"/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 t="s">
        <v>1142</v>
      </c>
      <c r="W20" s="271"/>
      <c r="X20" s="272"/>
      <c r="Y20" s="272"/>
      <c r="Z20" s="272"/>
      <c r="AA20" s="272"/>
      <c r="AB20" s="272"/>
      <c r="AC20" s="272"/>
      <c r="AD20" s="272"/>
      <c r="AE20" s="272"/>
      <c r="AF20" s="272"/>
      <c r="AG20" s="272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4"/>
      <c r="AS20" s="274"/>
      <c r="AT20" s="274"/>
      <c r="AU20" s="274"/>
      <c r="AV20" s="274"/>
      <c r="AW20" s="274"/>
      <c r="AX20" s="274"/>
      <c r="AY20" s="274"/>
      <c r="AZ20" s="275"/>
      <c r="BA20" s="275"/>
      <c r="BB20" s="275"/>
      <c r="BC20" s="275"/>
      <c r="BD20" s="275"/>
      <c r="BE20" s="275"/>
      <c r="BF20" s="275"/>
      <c r="BG20" s="275"/>
      <c r="BH20" s="275"/>
      <c r="BI20" s="276"/>
      <c r="BJ20" s="276"/>
      <c r="BK20" s="276"/>
      <c r="BL20" s="276"/>
      <c r="BM20" s="276"/>
      <c r="BN20" s="276"/>
      <c r="BO20" s="276"/>
      <c r="BP20" s="276"/>
      <c r="BQ20" s="276"/>
      <c r="BR20" s="276"/>
      <c r="BS20" s="276"/>
      <c r="BT20" s="276"/>
      <c r="BU20" s="276"/>
      <c r="BV20" s="276"/>
      <c r="BW20" s="276"/>
      <c r="BX20" s="276"/>
      <c r="BY20" s="276"/>
      <c r="BZ20" s="277"/>
      <c r="CA20" s="277"/>
      <c r="CB20" s="277"/>
      <c r="CC20" s="277"/>
      <c r="CD20" s="277"/>
      <c r="CE20" s="278"/>
      <c r="CF20" s="278"/>
      <c r="CG20" s="278"/>
      <c r="CH20" s="278"/>
      <c r="CI20" s="278"/>
      <c r="CJ20" s="278"/>
      <c r="CK20" s="278"/>
      <c r="CL20" s="278"/>
      <c r="CM20" s="278"/>
      <c r="CN20" s="278"/>
      <c r="CO20" s="278"/>
      <c r="CP20" s="278"/>
      <c r="CQ20" s="278"/>
      <c r="CR20" s="278"/>
      <c r="CS20" s="278"/>
      <c r="CT20" s="278"/>
      <c r="CU20" s="278"/>
      <c r="CV20" s="241"/>
      <c r="CW20" s="241"/>
      <c r="CX20" s="241"/>
      <c r="CY20" s="241"/>
      <c r="CZ20" s="241"/>
      <c r="DA20" s="241"/>
      <c r="DB20" s="241"/>
      <c r="DC20" s="241"/>
      <c r="DD20" s="241"/>
      <c r="DE20" s="241"/>
      <c r="DF20" s="241"/>
      <c r="DG20" s="241"/>
      <c r="DH20" s="241"/>
      <c r="DI20" s="241"/>
      <c r="DJ20" s="241"/>
      <c r="DK20" s="241"/>
      <c r="DL20" s="241"/>
      <c r="DM20" s="241"/>
      <c r="DN20" s="241"/>
      <c r="DO20" s="241"/>
      <c r="DP20" s="241"/>
      <c r="DQ20" s="241"/>
      <c r="DR20" s="241"/>
      <c r="DS20" s="241"/>
      <c r="DT20" s="281" t="s">
        <v>1142</v>
      </c>
      <c r="DU20" s="281"/>
    </row>
    <row r="21" spans="1:125" ht="15" customHeight="1">
      <c r="A21" s="329" t="s">
        <v>1156</v>
      </c>
      <c r="B21" s="271"/>
      <c r="C21" s="271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 t="s">
        <v>1142</v>
      </c>
      <c r="X21" s="272"/>
      <c r="Y21" s="272"/>
      <c r="Z21" s="272"/>
      <c r="AA21" s="272"/>
      <c r="AB21" s="272"/>
      <c r="AC21" s="272"/>
      <c r="AD21" s="272"/>
      <c r="AE21" s="272"/>
      <c r="AF21" s="272"/>
      <c r="AG21" s="272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4"/>
      <c r="AS21" s="274"/>
      <c r="AT21" s="274"/>
      <c r="AU21" s="274"/>
      <c r="AV21" s="274"/>
      <c r="AW21" s="274"/>
      <c r="AX21" s="274"/>
      <c r="AY21" s="274"/>
      <c r="AZ21" s="275"/>
      <c r="BA21" s="275"/>
      <c r="BB21" s="275"/>
      <c r="BC21" s="275"/>
      <c r="BD21" s="275"/>
      <c r="BE21" s="275"/>
      <c r="BF21" s="275"/>
      <c r="BG21" s="275"/>
      <c r="BH21" s="275"/>
      <c r="BI21" s="276"/>
      <c r="BJ21" s="276"/>
      <c r="BK21" s="276"/>
      <c r="BL21" s="276"/>
      <c r="BM21" s="276"/>
      <c r="BN21" s="276"/>
      <c r="BO21" s="276"/>
      <c r="BP21" s="276"/>
      <c r="BQ21" s="276"/>
      <c r="BR21" s="276"/>
      <c r="BS21" s="276"/>
      <c r="BT21" s="276"/>
      <c r="BU21" s="276"/>
      <c r="BV21" s="276"/>
      <c r="BW21" s="276"/>
      <c r="BX21" s="276"/>
      <c r="BY21" s="276"/>
      <c r="BZ21" s="277"/>
      <c r="CA21" s="277"/>
      <c r="CB21" s="277"/>
      <c r="CC21" s="277"/>
      <c r="CD21" s="277"/>
      <c r="CE21" s="278"/>
      <c r="CF21" s="278"/>
      <c r="CG21" s="278"/>
      <c r="CH21" s="278"/>
      <c r="CI21" s="278"/>
      <c r="CJ21" s="278"/>
      <c r="CK21" s="278"/>
      <c r="CL21" s="278"/>
      <c r="CM21" s="278"/>
      <c r="CN21" s="278"/>
      <c r="CO21" s="278"/>
      <c r="CP21" s="278"/>
      <c r="CQ21" s="278"/>
      <c r="CR21" s="278"/>
      <c r="CS21" s="278"/>
      <c r="CT21" s="278"/>
      <c r="CU21" s="278"/>
      <c r="CV21" s="241"/>
      <c r="CW21" s="241"/>
      <c r="CX21" s="241"/>
      <c r="CY21" s="241"/>
      <c r="CZ21" s="241"/>
      <c r="DA21" s="241"/>
      <c r="DB21" s="241"/>
      <c r="DC21" s="241"/>
      <c r="DD21" s="241"/>
      <c r="DE21" s="241"/>
      <c r="DF21" s="241"/>
      <c r="DG21" s="241"/>
      <c r="DH21" s="241"/>
      <c r="DI21" s="241"/>
      <c r="DJ21" s="241"/>
      <c r="DK21" s="241"/>
      <c r="DL21" s="241"/>
      <c r="DM21" s="241"/>
      <c r="DN21" s="241"/>
      <c r="DO21" s="241"/>
      <c r="DP21" s="241"/>
      <c r="DQ21" s="241"/>
      <c r="DR21" s="241"/>
      <c r="DS21" s="241"/>
      <c r="DT21" s="281"/>
      <c r="DU21" s="281"/>
    </row>
    <row r="22" spans="1:125" ht="15" customHeight="1">
      <c r="A22" s="330" t="s">
        <v>1157</v>
      </c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2"/>
      <c r="Z22" s="272"/>
      <c r="AA22" s="272" t="s">
        <v>1142</v>
      </c>
      <c r="AB22" s="272"/>
      <c r="AC22" s="272"/>
      <c r="AD22" s="272"/>
      <c r="AE22" s="272"/>
      <c r="AF22" s="272"/>
      <c r="AG22" s="272"/>
      <c r="AH22" s="273"/>
      <c r="AI22" s="273"/>
      <c r="AJ22" s="273"/>
      <c r="AK22" s="273"/>
      <c r="AL22" s="273"/>
      <c r="AM22" s="273"/>
      <c r="AN22" s="273"/>
      <c r="AO22" s="273"/>
      <c r="AP22" s="273"/>
      <c r="AQ22" s="273"/>
      <c r="AR22" s="274"/>
      <c r="AS22" s="274"/>
      <c r="AT22" s="274"/>
      <c r="AU22" s="274"/>
      <c r="AV22" s="274"/>
      <c r="AW22" s="274"/>
      <c r="AX22" s="274"/>
      <c r="AY22" s="274"/>
      <c r="AZ22" s="275"/>
      <c r="BA22" s="275"/>
      <c r="BB22" s="275"/>
      <c r="BC22" s="275"/>
      <c r="BD22" s="275"/>
      <c r="BE22" s="275"/>
      <c r="BF22" s="275"/>
      <c r="BG22" s="275"/>
      <c r="BH22" s="275"/>
      <c r="BI22" s="276"/>
      <c r="BJ22" s="276"/>
      <c r="BK22" s="276"/>
      <c r="BL22" s="276"/>
      <c r="BM22" s="276"/>
      <c r="BN22" s="276"/>
      <c r="BO22" s="276"/>
      <c r="BP22" s="276"/>
      <c r="BQ22" s="276"/>
      <c r="BR22" s="276"/>
      <c r="BS22" s="276"/>
      <c r="BT22" s="276"/>
      <c r="BU22" s="276"/>
      <c r="BV22" s="276"/>
      <c r="BW22" s="276"/>
      <c r="BX22" s="276"/>
      <c r="BY22" s="276"/>
      <c r="BZ22" s="277"/>
      <c r="CA22" s="277"/>
      <c r="CB22" s="277"/>
      <c r="CC22" s="277"/>
      <c r="CD22" s="277"/>
      <c r="CE22" s="278"/>
      <c r="CF22" s="278"/>
      <c r="CG22" s="278"/>
      <c r="CH22" s="278"/>
      <c r="CI22" s="278"/>
      <c r="CJ22" s="278"/>
      <c r="CK22" s="278"/>
      <c r="CL22" s="278"/>
      <c r="CM22" s="278"/>
      <c r="CN22" s="278"/>
      <c r="CO22" s="278"/>
      <c r="CP22" s="278"/>
      <c r="CQ22" s="278"/>
      <c r="CR22" s="278"/>
      <c r="CS22" s="278"/>
      <c r="CT22" s="278"/>
      <c r="CU22" s="278"/>
      <c r="CV22" s="241"/>
      <c r="CW22" s="241"/>
      <c r="CX22" s="241"/>
      <c r="CY22" s="241"/>
      <c r="CZ22" s="241"/>
      <c r="DA22" s="241"/>
      <c r="DB22" s="241"/>
      <c r="DC22" s="241"/>
      <c r="DD22" s="241"/>
      <c r="DE22" s="241"/>
      <c r="DF22" s="241"/>
      <c r="DG22" s="241"/>
      <c r="DH22" s="241"/>
      <c r="DI22" s="241"/>
      <c r="DJ22" s="241"/>
      <c r="DK22" s="241"/>
      <c r="DL22" s="241"/>
      <c r="DM22" s="241"/>
      <c r="DN22" s="241"/>
      <c r="DO22" s="241"/>
      <c r="DP22" s="241"/>
      <c r="DQ22" s="241"/>
      <c r="DR22" s="241"/>
      <c r="DS22" s="241"/>
      <c r="DT22" s="281"/>
      <c r="DU22" s="281"/>
    </row>
    <row r="23" spans="1:125" ht="15" customHeight="1">
      <c r="A23" s="330" t="s">
        <v>1158</v>
      </c>
      <c r="B23" s="272"/>
      <c r="C23" s="272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  <c r="AA23" s="272"/>
      <c r="AB23" s="272"/>
      <c r="AC23" s="272"/>
      <c r="AD23" s="272" t="s">
        <v>1142</v>
      </c>
      <c r="AE23" s="272"/>
      <c r="AF23" s="272"/>
      <c r="AG23" s="272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4"/>
      <c r="AS23" s="274"/>
      <c r="AT23" s="274"/>
      <c r="AU23" s="274"/>
      <c r="AV23" s="274"/>
      <c r="AW23" s="274"/>
      <c r="AX23" s="274"/>
      <c r="AY23" s="274"/>
      <c r="AZ23" s="275"/>
      <c r="BA23" s="275"/>
      <c r="BB23" s="275"/>
      <c r="BC23" s="275"/>
      <c r="BD23" s="275"/>
      <c r="BE23" s="275"/>
      <c r="BF23" s="275"/>
      <c r="BG23" s="275"/>
      <c r="BH23" s="275"/>
      <c r="BI23" s="276"/>
      <c r="BJ23" s="276"/>
      <c r="BK23" s="276"/>
      <c r="BL23" s="276"/>
      <c r="BM23" s="276"/>
      <c r="BN23" s="276"/>
      <c r="BO23" s="276"/>
      <c r="BP23" s="276"/>
      <c r="BQ23" s="276"/>
      <c r="BR23" s="276"/>
      <c r="BS23" s="276"/>
      <c r="BT23" s="276"/>
      <c r="BU23" s="276"/>
      <c r="BV23" s="276"/>
      <c r="BW23" s="276"/>
      <c r="BX23" s="276"/>
      <c r="BY23" s="276"/>
      <c r="BZ23" s="277"/>
      <c r="CA23" s="277"/>
      <c r="CB23" s="277"/>
      <c r="CC23" s="277"/>
      <c r="CD23" s="277"/>
      <c r="CE23" s="278"/>
      <c r="CF23" s="278"/>
      <c r="CG23" s="278"/>
      <c r="CH23" s="278"/>
      <c r="CI23" s="278"/>
      <c r="CJ23" s="278"/>
      <c r="CK23" s="278"/>
      <c r="CL23" s="278"/>
      <c r="CM23" s="278"/>
      <c r="CN23" s="278"/>
      <c r="CO23" s="278"/>
      <c r="CP23" s="278"/>
      <c r="CQ23" s="278"/>
      <c r="CR23" s="278"/>
      <c r="CS23" s="278"/>
      <c r="CT23" s="278"/>
      <c r="CU23" s="278"/>
      <c r="CV23" s="241"/>
      <c r="CW23" s="241"/>
      <c r="CX23" s="241"/>
      <c r="CY23" s="241"/>
      <c r="CZ23" s="241"/>
      <c r="DA23" s="241"/>
      <c r="DB23" s="241"/>
      <c r="DC23" s="241"/>
      <c r="DD23" s="241"/>
      <c r="DE23" s="241"/>
      <c r="DF23" s="241"/>
      <c r="DG23" s="241"/>
      <c r="DH23" s="241"/>
      <c r="DI23" s="241"/>
      <c r="DJ23" s="241"/>
      <c r="DK23" s="241"/>
      <c r="DL23" s="241"/>
      <c r="DM23" s="241"/>
      <c r="DN23" s="241"/>
      <c r="DO23" s="241"/>
      <c r="DP23" s="241"/>
      <c r="DQ23" s="241"/>
      <c r="DR23" s="241"/>
      <c r="DS23" s="241"/>
      <c r="DT23" s="281"/>
      <c r="DU23" s="281"/>
    </row>
    <row r="24" spans="1:125" ht="15" customHeight="1">
      <c r="A24" s="330" t="s">
        <v>1159</v>
      </c>
      <c r="B24" s="272"/>
      <c r="C24" s="272"/>
      <c r="D24" s="272"/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2"/>
      <c r="Z24" s="272"/>
      <c r="AA24" s="272"/>
      <c r="AB24" s="272"/>
      <c r="AC24" s="272" t="s">
        <v>1142</v>
      </c>
      <c r="AD24" s="272"/>
      <c r="AE24" s="272"/>
      <c r="AF24" s="272"/>
      <c r="AG24" s="272"/>
      <c r="AH24" s="273"/>
      <c r="AI24" s="273"/>
      <c r="AJ24" s="273"/>
      <c r="AK24" s="273"/>
      <c r="AL24" s="273"/>
      <c r="AM24" s="273"/>
      <c r="AN24" s="273"/>
      <c r="AO24" s="273"/>
      <c r="AP24" s="273"/>
      <c r="AQ24" s="273"/>
      <c r="AR24" s="274"/>
      <c r="AS24" s="274"/>
      <c r="AT24" s="274"/>
      <c r="AU24" s="274"/>
      <c r="AV24" s="274"/>
      <c r="AW24" s="274"/>
      <c r="AX24" s="274"/>
      <c r="AY24" s="274"/>
      <c r="AZ24" s="275"/>
      <c r="BA24" s="275"/>
      <c r="BB24" s="275"/>
      <c r="BC24" s="275"/>
      <c r="BD24" s="275"/>
      <c r="BE24" s="275"/>
      <c r="BF24" s="275"/>
      <c r="BG24" s="275"/>
      <c r="BH24" s="275"/>
      <c r="BI24" s="276"/>
      <c r="BJ24" s="276"/>
      <c r="BK24" s="276"/>
      <c r="BL24" s="276"/>
      <c r="BM24" s="276"/>
      <c r="BN24" s="276"/>
      <c r="BO24" s="276"/>
      <c r="BP24" s="276"/>
      <c r="BQ24" s="276"/>
      <c r="BR24" s="276"/>
      <c r="BS24" s="276"/>
      <c r="BT24" s="276"/>
      <c r="BU24" s="276"/>
      <c r="BV24" s="276"/>
      <c r="BW24" s="276"/>
      <c r="BX24" s="276"/>
      <c r="BY24" s="276"/>
      <c r="BZ24" s="277"/>
      <c r="CA24" s="277"/>
      <c r="CB24" s="277"/>
      <c r="CC24" s="277"/>
      <c r="CD24" s="277"/>
      <c r="CE24" s="278"/>
      <c r="CF24" s="278"/>
      <c r="CG24" s="278"/>
      <c r="CH24" s="278"/>
      <c r="CI24" s="278"/>
      <c r="CJ24" s="278"/>
      <c r="CK24" s="278"/>
      <c r="CL24" s="278"/>
      <c r="CM24" s="278"/>
      <c r="CN24" s="278"/>
      <c r="CO24" s="278"/>
      <c r="CP24" s="278"/>
      <c r="CQ24" s="278"/>
      <c r="CR24" s="278"/>
      <c r="CS24" s="278"/>
      <c r="CT24" s="278"/>
      <c r="CU24" s="278"/>
      <c r="CV24" s="241"/>
      <c r="CW24" s="241"/>
      <c r="CX24" s="241"/>
      <c r="CY24" s="241"/>
      <c r="CZ24" s="241"/>
      <c r="DA24" s="241"/>
      <c r="DB24" s="241"/>
      <c r="DC24" s="241"/>
      <c r="DD24" s="241"/>
      <c r="DE24" s="241"/>
      <c r="DF24" s="241"/>
      <c r="DG24" s="241"/>
      <c r="DH24" s="241"/>
      <c r="DI24" s="241"/>
      <c r="DJ24" s="241"/>
      <c r="DK24" s="241"/>
      <c r="DL24" s="241"/>
      <c r="DM24" s="241"/>
      <c r="DN24" s="241"/>
      <c r="DO24" s="241"/>
      <c r="DP24" s="241"/>
      <c r="DQ24" s="241"/>
      <c r="DR24" s="241"/>
      <c r="DS24" s="241"/>
      <c r="DT24" s="281" t="s">
        <v>1142</v>
      </c>
      <c r="DU24" s="281"/>
    </row>
    <row r="25" spans="1:125" ht="15" customHeight="1">
      <c r="A25" s="330" t="s">
        <v>1160</v>
      </c>
      <c r="B25" s="272"/>
      <c r="C25" s="272"/>
      <c r="D25" s="272"/>
      <c r="E25" s="272"/>
      <c r="F25" s="272"/>
      <c r="G25" s="272"/>
      <c r="H25" s="272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  <c r="V25" s="272"/>
      <c r="W25" s="272"/>
      <c r="X25" s="272" t="s">
        <v>1142</v>
      </c>
      <c r="Y25" s="272"/>
      <c r="Z25" s="272"/>
      <c r="AA25" s="272"/>
      <c r="AB25" s="272"/>
      <c r="AC25" s="272"/>
      <c r="AD25" s="272"/>
      <c r="AE25" s="272"/>
      <c r="AF25" s="272"/>
      <c r="AG25" s="272"/>
      <c r="AH25" s="273"/>
      <c r="AI25" s="273"/>
      <c r="AJ25" s="273"/>
      <c r="AK25" s="273"/>
      <c r="AL25" s="273"/>
      <c r="AM25" s="273"/>
      <c r="AN25" s="273"/>
      <c r="AO25" s="273"/>
      <c r="AP25" s="273"/>
      <c r="AQ25" s="273"/>
      <c r="AR25" s="274"/>
      <c r="AS25" s="274"/>
      <c r="AT25" s="274"/>
      <c r="AU25" s="274"/>
      <c r="AV25" s="274"/>
      <c r="AW25" s="274"/>
      <c r="AX25" s="274"/>
      <c r="AY25" s="274"/>
      <c r="AZ25" s="275"/>
      <c r="BA25" s="275"/>
      <c r="BB25" s="275"/>
      <c r="BC25" s="275"/>
      <c r="BD25" s="275"/>
      <c r="BE25" s="275"/>
      <c r="BF25" s="275"/>
      <c r="BG25" s="275"/>
      <c r="BH25" s="275"/>
      <c r="BI25" s="276"/>
      <c r="BJ25" s="276"/>
      <c r="BK25" s="276"/>
      <c r="BL25" s="276"/>
      <c r="BM25" s="276"/>
      <c r="BN25" s="276"/>
      <c r="BO25" s="276"/>
      <c r="BP25" s="276"/>
      <c r="BQ25" s="276"/>
      <c r="BR25" s="276"/>
      <c r="BS25" s="276"/>
      <c r="BT25" s="276"/>
      <c r="BU25" s="276"/>
      <c r="BV25" s="276"/>
      <c r="BW25" s="276"/>
      <c r="BX25" s="276"/>
      <c r="BY25" s="276"/>
      <c r="BZ25" s="277"/>
      <c r="CA25" s="277"/>
      <c r="CB25" s="277"/>
      <c r="CC25" s="277"/>
      <c r="CD25" s="277"/>
      <c r="CE25" s="278"/>
      <c r="CF25" s="278"/>
      <c r="CG25" s="278"/>
      <c r="CH25" s="278"/>
      <c r="CI25" s="278"/>
      <c r="CJ25" s="278"/>
      <c r="CK25" s="278"/>
      <c r="CL25" s="278"/>
      <c r="CM25" s="278"/>
      <c r="CN25" s="278"/>
      <c r="CO25" s="278"/>
      <c r="CP25" s="278"/>
      <c r="CQ25" s="278"/>
      <c r="CR25" s="278"/>
      <c r="CS25" s="278"/>
      <c r="CT25" s="278"/>
      <c r="CU25" s="278"/>
      <c r="CV25" s="241"/>
      <c r="CW25" s="241"/>
      <c r="CX25" s="241"/>
      <c r="CY25" s="241"/>
      <c r="CZ25" s="241"/>
      <c r="DA25" s="241"/>
      <c r="DB25" s="241"/>
      <c r="DC25" s="241"/>
      <c r="DD25" s="241"/>
      <c r="DE25" s="241"/>
      <c r="DF25" s="241"/>
      <c r="DG25" s="241"/>
      <c r="DH25" s="241"/>
      <c r="DI25" s="241"/>
      <c r="DJ25" s="241"/>
      <c r="DK25" s="241"/>
      <c r="DL25" s="241"/>
      <c r="DM25" s="241"/>
      <c r="DN25" s="241"/>
      <c r="DO25" s="241"/>
      <c r="DP25" s="241"/>
      <c r="DQ25" s="241"/>
      <c r="DR25" s="241"/>
      <c r="DS25" s="241"/>
      <c r="DT25" s="281"/>
      <c r="DU25" s="281"/>
    </row>
    <row r="26" spans="1:125" ht="15" customHeight="1">
      <c r="A26" s="330" t="s">
        <v>1161</v>
      </c>
      <c r="B26" s="272"/>
      <c r="C26" s="272"/>
      <c r="D26" s="272"/>
      <c r="E26" s="272"/>
      <c r="F26" s="272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  <c r="AA26" s="272"/>
      <c r="AB26" s="272"/>
      <c r="AC26" s="272"/>
      <c r="AD26" s="272"/>
      <c r="AE26" s="272"/>
      <c r="AF26" s="272" t="s">
        <v>1142</v>
      </c>
      <c r="AG26" s="272"/>
      <c r="AH26" s="273"/>
      <c r="AI26" s="273"/>
      <c r="AJ26" s="273"/>
      <c r="AK26" s="273"/>
      <c r="AL26" s="273"/>
      <c r="AM26" s="273"/>
      <c r="AN26" s="273"/>
      <c r="AO26" s="273"/>
      <c r="AP26" s="273"/>
      <c r="AQ26" s="273"/>
      <c r="AR26" s="274"/>
      <c r="AS26" s="274"/>
      <c r="AT26" s="274"/>
      <c r="AU26" s="274"/>
      <c r="AV26" s="274"/>
      <c r="AW26" s="274"/>
      <c r="AX26" s="274"/>
      <c r="AY26" s="274"/>
      <c r="AZ26" s="275"/>
      <c r="BA26" s="275"/>
      <c r="BB26" s="275"/>
      <c r="BC26" s="275"/>
      <c r="BD26" s="275"/>
      <c r="BE26" s="275"/>
      <c r="BF26" s="275"/>
      <c r="BG26" s="275"/>
      <c r="BH26" s="275"/>
      <c r="BI26" s="276"/>
      <c r="BJ26" s="276"/>
      <c r="BK26" s="276"/>
      <c r="BL26" s="276"/>
      <c r="BM26" s="276"/>
      <c r="BN26" s="276"/>
      <c r="BO26" s="276"/>
      <c r="BP26" s="276"/>
      <c r="BQ26" s="276"/>
      <c r="BR26" s="276"/>
      <c r="BS26" s="276"/>
      <c r="BT26" s="276"/>
      <c r="BU26" s="276"/>
      <c r="BV26" s="276"/>
      <c r="BW26" s="276"/>
      <c r="BX26" s="276"/>
      <c r="BY26" s="276"/>
      <c r="BZ26" s="277"/>
      <c r="CA26" s="277"/>
      <c r="CB26" s="277"/>
      <c r="CC26" s="277"/>
      <c r="CD26" s="277"/>
      <c r="CE26" s="278"/>
      <c r="CF26" s="278"/>
      <c r="CG26" s="278"/>
      <c r="CH26" s="278"/>
      <c r="CI26" s="278"/>
      <c r="CJ26" s="278"/>
      <c r="CK26" s="278"/>
      <c r="CL26" s="278"/>
      <c r="CM26" s="278"/>
      <c r="CN26" s="278"/>
      <c r="CO26" s="278"/>
      <c r="CP26" s="278"/>
      <c r="CQ26" s="278"/>
      <c r="CR26" s="278"/>
      <c r="CS26" s="278"/>
      <c r="CT26" s="278"/>
      <c r="CU26" s="278"/>
      <c r="CV26" s="241"/>
      <c r="CW26" s="241"/>
      <c r="CX26" s="241"/>
      <c r="CY26" s="241"/>
      <c r="CZ26" s="241"/>
      <c r="DA26" s="241"/>
      <c r="DB26" s="241"/>
      <c r="DC26" s="241"/>
      <c r="DD26" s="241"/>
      <c r="DE26" s="241"/>
      <c r="DF26" s="241"/>
      <c r="DG26" s="241"/>
      <c r="DH26" s="241"/>
      <c r="DI26" s="241"/>
      <c r="DJ26" s="241"/>
      <c r="DK26" s="241"/>
      <c r="DL26" s="241"/>
      <c r="DM26" s="241"/>
      <c r="DN26" s="241"/>
      <c r="DO26" s="241"/>
      <c r="DP26" s="241"/>
      <c r="DQ26" s="241"/>
      <c r="DR26" s="241"/>
      <c r="DS26" s="241"/>
      <c r="DT26" s="281"/>
      <c r="DU26" s="281"/>
    </row>
    <row r="27" spans="1:125" ht="15" customHeight="1">
      <c r="A27" s="330" t="s">
        <v>1162</v>
      </c>
      <c r="B27" s="272"/>
      <c r="C27" s="272"/>
      <c r="D27" s="272"/>
      <c r="E27" s="272"/>
      <c r="F27" s="272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  <c r="AA27" s="272" t="s">
        <v>1142</v>
      </c>
      <c r="AB27" s="272"/>
      <c r="AC27" s="272"/>
      <c r="AD27" s="272"/>
      <c r="AE27" s="272"/>
      <c r="AF27" s="272"/>
      <c r="AG27" s="272"/>
      <c r="AH27" s="273"/>
      <c r="AI27" s="273"/>
      <c r="AJ27" s="273"/>
      <c r="AK27" s="273"/>
      <c r="AL27" s="273"/>
      <c r="AM27" s="273"/>
      <c r="AN27" s="273"/>
      <c r="AO27" s="273"/>
      <c r="AP27" s="273"/>
      <c r="AQ27" s="273"/>
      <c r="AR27" s="274"/>
      <c r="AS27" s="274"/>
      <c r="AT27" s="274"/>
      <c r="AU27" s="274"/>
      <c r="AV27" s="274"/>
      <c r="AW27" s="274"/>
      <c r="AX27" s="274"/>
      <c r="AY27" s="274"/>
      <c r="AZ27" s="275"/>
      <c r="BA27" s="275"/>
      <c r="BB27" s="275"/>
      <c r="BC27" s="275"/>
      <c r="BD27" s="275"/>
      <c r="BE27" s="275"/>
      <c r="BF27" s="275"/>
      <c r="BG27" s="275"/>
      <c r="BH27" s="275"/>
      <c r="BI27" s="276"/>
      <c r="BJ27" s="276"/>
      <c r="BK27" s="276"/>
      <c r="BL27" s="276"/>
      <c r="BM27" s="276"/>
      <c r="BN27" s="276"/>
      <c r="BO27" s="276"/>
      <c r="BP27" s="276"/>
      <c r="BQ27" s="276"/>
      <c r="BR27" s="276"/>
      <c r="BS27" s="276"/>
      <c r="BT27" s="276"/>
      <c r="BU27" s="276"/>
      <c r="BV27" s="276"/>
      <c r="BW27" s="276"/>
      <c r="BX27" s="276"/>
      <c r="BY27" s="276"/>
      <c r="BZ27" s="277"/>
      <c r="CA27" s="277"/>
      <c r="CB27" s="277"/>
      <c r="CC27" s="277"/>
      <c r="CD27" s="277"/>
      <c r="CE27" s="278"/>
      <c r="CF27" s="278"/>
      <c r="CG27" s="278"/>
      <c r="CH27" s="278"/>
      <c r="CI27" s="278"/>
      <c r="CJ27" s="278"/>
      <c r="CK27" s="278"/>
      <c r="CL27" s="278"/>
      <c r="CM27" s="278"/>
      <c r="CN27" s="278"/>
      <c r="CO27" s="278"/>
      <c r="CP27" s="278"/>
      <c r="CQ27" s="278"/>
      <c r="CR27" s="278"/>
      <c r="CS27" s="278"/>
      <c r="CT27" s="278"/>
      <c r="CU27" s="278"/>
      <c r="CV27" s="241"/>
      <c r="CW27" s="241"/>
      <c r="CX27" s="241"/>
      <c r="CY27" s="241"/>
      <c r="CZ27" s="241"/>
      <c r="DA27" s="241"/>
      <c r="DB27" s="241"/>
      <c r="DC27" s="241"/>
      <c r="DD27" s="241"/>
      <c r="DE27" s="241"/>
      <c r="DF27" s="241"/>
      <c r="DG27" s="241"/>
      <c r="DH27" s="241"/>
      <c r="DI27" s="241"/>
      <c r="DJ27" s="241"/>
      <c r="DK27" s="241"/>
      <c r="DL27" s="241"/>
      <c r="DM27" s="241"/>
      <c r="DN27" s="241"/>
      <c r="DO27" s="241"/>
      <c r="DP27" s="241"/>
      <c r="DQ27" s="241"/>
      <c r="DR27" s="241"/>
      <c r="DS27" s="241"/>
      <c r="DT27" s="281"/>
      <c r="DU27" s="281"/>
    </row>
    <row r="28" spans="1:125" ht="15" customHeight="1">
      <c r="A28" s="331" t="s">
        <v>1163</v>
      </c>
      <c r="B28" s="273"/>
      <c r="C28" s="273"/>
      <c r="D28" s="273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  <c r="AA28" s="273"/>
      <c r="AB28" s="273"/>
      <c r="AC28" s="273"/>
      <c r="AD28" s="273"/>
      <c r="AE28" s="273"/>
      <c r="AF28" s="273"/>
      <c r="AG28" s="273"/>
      <c r="AH28" s="273" t="s">
        <v>1142</v>
      </c>
      <c r="AI28" s="273"/>
      <c r="AJ28" s="273"/>
      <c r="AK28" s="273"/>
      <c r="AL28" s="273"/>
      <c r="AM28" s="273"/>
      <c r="AN28" s="273"/>
      <c r="AO28" s="273"/>
      <c r="AP28" s="273"/>
      <c r="AQ28" s="273"/>
      <c r="AR28" s="274"/>
      <c r="AS28" s="274"/>
      <c r="AT28" s="274"/>
      <c r="AU28" s="274"/>
      <c r="AV28" s="274"/>
      <c r="AW28" s="274"/>
      <c r="AX28" s="274"/>
      <c r="AY28" s="274"/>
      <c r="AZ28" s="275"/>
      <c r="BA28" s="275"/>
      <c r="BB28" s="275"/>
      <c r="BC28" s="275"/>
      <c r="BD28" s="275"/>
      <c r="BE28" s="275"/>
      <c r="BF28" s="275"/>
      <c r="BG28" s="275"/>
      <c r="BH28" s="275"/>
      <c r="BI28" s="276"/>
      <c r="BJ28" s="276"/>
      <c r="BK28" s="276"/>
      <c r="BL28" s="276"/>
      <c r="BM28" s="276"/>
      <c r="BN28" s="276"/>
      <c r="BO28" s="276"/>
      <c r="BP28" s="276"/>
      <c r="BQ28" s="276"/>
      <c r="BR28" s="276"/>
      <c r="BS28" s="276"/>
      <c r="BT28" s="276"/>
      <c r="BU28" s="276"/>
      <c r="BV28" s="276"/>
      <c r="BW28" s="276"/>
      <c r="BX28" s="276"/>
      <c r="BY28" s="276"/>
      <c r="BZ28" s="277"/>
      <c r="CA28" s="277"/>
      <c r="CB28" s="277"/>
      <c r="CC28" s="277"/>
      <c r="CD28" s="277"/>
      <c r="CE28" s="278"/>
      <c r="CF28" s="278"/>
      <c r="CG28" s="278"/>
      <c r="CH28" s="278"/>
      <c r="CI28" s="278"/>
      <c r="CJ28" s="278"/>
      <c r="CK28" s="278"/>
      <c r="CL28" s="278"/>
      <c r="CM28" s="278"/>
      <c r="CN28" s="278"/>
      <c r="CO28" s="278"/>
      <c r="CP28" s="278"/>
      <c r="CQ28" s="278"/>
      <c r="CR28" s="278"/>
      <c r="CS28" s="278"/>
      <c r="CT28" s="278"/>
      <c r="CU28" s="278"/>
      <c r="CV28" s="241"/>
      <c r="CW28" s="241"/>
      <c r="CX28" s="241"/>
      <c r="CY28" s="241"/>
      <c r="CZ28" s="241"/>
      <c r="DA28" s="241"/>
      <c r="DB28" s="241"/>
      <c r="DC28" s="241"/>
      <c r="DD28" s="241"/>
      <c r="DE28" s="241"/>
      <c r="DF28" s="241"/>
      <c r="DG28" s="241"/>
      <c r="DH28" s="241"/>
      <c r="DI28" s="241"/>
      <c r="DJ28" s="241"/>
      <c r="DK28" s="241"/>
      <c r="DL28" s="241"/>
      <c r="DM28" s="241"/>
      <c r="DN28" s="241"/>
      <c r="DO28" s="241"/>
      <c r="DP28" s="241"/>
      <c r="DQ28" s="241"/>
      <c r="DR28" s="241"/>
      <c r="DS28" s="241"/>
      <c r="DT28" s="281" t="s">
        <v>1142</v>
      </c>
      <c r="DU28" s="281"/>
    </row>
    <row r="29" spans="1:125" ht="15" customHeight="1">
      <c r="A29" s="331" t="s">
        <v>1164</v>
      </c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  <c r="AA29" s="273"/>
      <c r="AB29" s="273"/>
      <c r="AC29" s="273"/>
      <c r="AD29" s="273"/>
      <c r="AE29" s="273"/>
      <c r="AF29" s="273"/>
      <c r="AG29" s="273"/>
      <c r="AH29" s="273"/>
      <c r="AI29" s="273" t="s">
        <v>1142</v>
      </c>
      <c r="AJ29" s="273"/>
      <c r="AK29" s="273"/>
      <c r="AL29" s="273"/>
      <c r="AM29" s="273"/>
      <c r="AN29" s="273"/>
      <c r="AO29" s="273"/>
      <c r="AP29" s="273"/>
      <c r="AQ29" s="273"/>
      <c r="AR29" s="274"/>
      <c r="AS29" s="274"/>
      <c r="AT29" s="274"/>
      <c r="AU29" s="274"/>
      <c r="AV29" s="274"/>
      <c r="AW29" s="274"/>
      <c r="AX29" s="274"/>
      <c r="AY29" s="274"/>
      <c r="AZ29" s="275"/>
      <c r="BA29" s="275"/>
      <c r="BB29" s="275"/>
      <c r="BC29" s="275"/>
      <c r="BD29" s="275"/>
      <c r="BE29" s="275"/>
      <c r="BF29" s="275"/>
      <c r="BG29" s="275"/>
      <c r="BH29" s="275"/>
      <c r="BI29" s="276"/>
      <c r="BJ29" s="276"/>
      <c r="BK29" s="276"/>
      <c r="BL29" s="276"/>
      <c r="BM29" s="276"/>
      <c r="BN29" s="276"/>
      <c r="BO29" s="276"/>
      <c r="BP29" s="276"/>
      <c r="BQ29" s="276"/>
      <c r="BR29" s="276"/>
      <c r="BS29" s="276"/>
      <c r="BT29" s="276"/>
      <c r="BU29" s="276"/>
      <c r="BV29" s="276"/>
      <c r="BW29" s="276"/>
      <c r="BX29" s="276"/>
      <c r="BY29" s="276"/>
      <c r="BZ29" s="277"/>
      <c r="CA29" s="277"/>
      <c r="CB29" s="277"/>
      <c r="CC29" s="277"/>
      <c r="CD29" s="277"/>
      <c r="CE29" s="278"/>
      <c r="CF29" s="278"/>
      <c r="CG29" s="278"/>
      <c r="CH29" s="278"/>
      <c r="CI29" s="278"/>
      <c r="CJ29" s="278"/>
      <c r="CK29" s="278"/>
      <c r="CL29" s="278"/>
      <c r="CM29" s="278"/>
      <c r="CN29" s="278"/>
      <c r="CO29" s="278"/>
      <c r="CP29" s="278"/>
      <c r="CQ29" s="278"/>
      <c r="CR29" s="278"/>
      <c r="CS29" s="278"/>
      <c r="CT29" s="278"/>
      <c r="CU29" s="278"/>
      <c r="CV29" s="241"/>
      <c r="CW29" s="241"/>
      <c r="CX29" s="241"/>
      <c r="CY29" s="241"/>
      <c r="CZ29" s="241"/>
      <c r="DA29" s="241"/>
      <c r="DB29" s="241"/>
      <c r="DC29" s="241"/>
      <c r="DD29" s="241"/>
      <c r="DE29" s="241"/>
      <c r="DF29" s="241"/>
      <c r="DG29" s="241"/>
      <c r="DH29" s="241"/>
      <c r="DI29" s="241"/>
      <c r="DJ29" s="241"/>
      <c r="DK29" s="241"/>
      <c r="DL29" s="241"/>
      <c r="DM29" s="241"/>
      <c r="DN29" s="241"/>
      <c r="DO29" s="241"/>
      <c r="DP29" s="241"/>
      <c r="DQ29" s="241"/>
      <c r="DR29" s="241"/>
      <c r="DS29" s="241"/>
      <c r="DT29" s="281"/>
      <c r="DU29" s="281"/>
    </row>
    <row r="30" spans="1:125" ht="15" customHeight="1">
      <c r="A30" s="331" t="s">
        <v>1165</v>
      </c>
      <c r="B30" s="273"/>
      <c r="C30" s="273"/>
      <c r="D30" s="273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  <c r="AA30" s="273"/>
      <c r="AB30" s="273"/>
      <c r="AC30" s="273"/>
      <c r="AD30" s="273"/>
      <c r="AE30" s="273"/>
      <c r="AF30" s="273"/>
      <c r="AG30" s="273"/>
      <c r="AH30" s="273"/>
      <c r="AI30" s="273"/>
      <c r="AJ30" s="273" t="s">
        <v>1142</v>
      </c>
      <c r="AK30" s="273"/>
      <c r="AL30" s="273"/>
      <c r="AM30" s="273"/>
      <c r="AN30" s="273"/>
      <c r="AO30" s="273"/>
      <c r="AP30" s="273"/>
      <c r="AQ30" s="273"/>
      <c r="AR30" s="274"/>
      <c r="AS30" s="274"/>
      <c r="AT30" s="274"/>
      <c r="AU30" s="274"/>
      <c r="AV30" s="274"/>
      <c r="AW30" s="274"/>
      <c r="AX30" s="274"/>
      <c r="AY30" s="274"/>
      <c r="AZ30" s="275"/>
      <c r="BA30" s="275"/>
      <c r="BB30" s="275"/>
      <c r="BC30" s="275"/>
      <c r="BD30" s="275"/>
      <c r="BE30" s="275"/>
      <c r="BF30" s="275"/>
      <c r="BG30" s="275"/>
      <c r="BH30" s="275"/>
      <c r="BI30" s="276"/>
      <c r="BJ30" s="276"/>
      <c r="BK30" s="276"/>
      <c r="BL30" s="276"/>
      <c r="BM30" s="276"/>
      <c r="BN30" s="276"/>
      <c r="BO30" s="276"/>
      <c r="BP30" s="276"/>
      <c r="BQ30" s="276"/>
      <c r="BR30" s="276"/>
      <c r="BS30" s="276"/>
      <c r="BT30" s="276"/>
      <c r="BU30" s="276"/>
      <c r="BV30" s="276"/>
      <c r="BW30" s="276"/>
      <c r="BX30" s="276"/>
      <c r="BY30" s="276"/>
      <c r="BZ30" s="277"/>
      <c r="CA30" s="277"/>
      <c r="CB30" s="277"/>
      <c r="CC30" s="277"/>
      <c r="CD30" s="277"/>
      <c r="CE30" s="278"/>
      <c r="CF30" s="278"/>
      <c r="CG30" s="278"/>
      <c r="CH30" s="278"/>
      <c r="CI30" s="278"/>
      <c r="CJ30" s="278"/>
      <c r="CK30" s="278"/>
      <c r="CL30" s="278"/>
      <c r="CM30" s="278"/>
      <c r="CN30" s="278"/>
      <c r="CO30" s="278"/>
      <c r="CP30" s="278"/>
      <c r="CQ30" s="278"/>
      <c r="CR30" s="278"/>
      <c r="CS30" s="278"/>
      <c r="CT30" s="278"/>
      <c r="CU30" s="278"/>
      <c r="CV30" s="241"/>
      <c r="CW30" s="241"/>
      <c r="CX30" s="241"/>
      <c r="CY30" s="241"/>
      <c r="CZ30" s="241"/>
      <c r="DA30" s="241"/>
      <c r="DB30" s="241"/>
      <c r="DC30" s="241"/>
      <c r="DD30" s="241"/>
      <c r="DE30" s="241"/>
      <c r="DF30" s="241"/>
      <c r="DG30" s="241"/>
      <c r="DH30" s="241"/>
      <c r="DI30" s="241"/>
      <c r="DJ30" s="241"/>
      <c r="DK30" s="241"/>
      <c r="DL30" s="241"/>
      <c r="DM30" s="241"/>
      <c r="DN30" s="241"/>
      <c r="DO30" s="241"/>
      <c r="DP30" s="241"/>
      <c r="DQ30" s="241"/>
      <c r="DR30" s="241"/>
      <c r="DS30" s="241"/>
      <c r="DT30" s="281" t="s">
        <v>1142</v>
      </c>
      <c r="DU30" s="281"/>
    </row>
    <row r="31" spans="1:125" ht="15" customHeight="1">
      <c r="A31" s="331" t="s">
        <v>1166</v>
      </c>
      <c r="B31" s="273"/>
      <c r="C31" s="273"/>
      <c r="D31" s="273"/>
      <c r="E31" s="273"/>
      <c r="F31" s="273"/>
      <c r="G31" s="273"/>
      <c r="H31" s="273"/>
      <c r="I31" s="273"/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  <c r="AA31" s="273"/>
      <c r="AB31" s="273"/>
      <c r="AC31" s="273"/>
      <c r="AD31" s="273"/>
      <c r="AE31" s="273"/>
      <c r="AF31" s="273"/>
      <c r="AG31" s="273"/>
      <c r="AH31" s="273"/>
      <c r="AI31" s="273"/>
      <c r="AJ31" s="273"/>
      <c r="AK31" s="273" t="s">
        <v>1142</v>
      </c>
      <c r="AL31" s="273"/>
      <c r="AM31" s="273"/>
      <c r="AN31" s="273"/>
      <c r="AO31" s="273"/>
      <c r="AP31" s="273"/>
      <c r="AQ31" s="273"/>
      <c r="AR31" s="274"/>
      <c r="AS31" s="274"/>
      <c r="AT31" s="274"/>
      <c r="AU31" s="274"/>
      <c r="AV31" s="274"/>
      <c r="AW31" s="274"/>
      <c r="AX31" s="274"/>
      <c r="AY31" s="274"/>
      <c r="AZ31" s="275"/>
      <c r="BA31" s="275"/>
      <c r="BB31" s="275"/>
      <c r="BC31" s="275"/>
      <c r="BD31" s="275"/>
      <c r="BE31" s="275"/>
      <c r="BF31" s="275"/>
      <c r="BG31" s="275"/>
      <c r="BH31" s="275"/>
      <c r="BI31" s="276"/>
      <c r="BJ31" s="276"/>
      <c r="BK31" s="276"/>
      <c r="BL31" s="276"/>
      <c r="BM31" s="276"/>
      <c r="BN31" s="276"/>
      <c r="BO31" s="276"/>
      <c r="BP31" s="276"/>
      <c r="BQ31" s="276"/>
      <c r="BR31" s="276"/>
      <c r="BS31" s="276"/>
      <c r="BT31" s="276"/>
      <c r="BU31" s="276"/>
      <c r="BV31" s="276"/>
      <c r="BW31" s="276"/>
      <c r="BX31" s="276"/>
      <c r="BY31" s="276"/>
      <c r="BZ31" s="277"/>
      <c r="CA31" s="277"/>
      <c r="CB31" s="277"/>
      <c r="CC31" s="277"/>
      <c r="CD31" s="277"/>
      <c r="CE31" s="278"/>
      <c r="CF31" s="278"/>
      <c r="CG31" s="278"/>
      <c r="CH31" s="278"/>
      <c r="CI31" s="278"/>
      <c r="CJ31" s="278"/>
      <c r="CK31" s="278"/>
      <c r="CL31" s="278"/>
      <c r="CM31" s="278"/>
      <c r="CN31" s="278"/>
      <c r="CO31" s="278"/>
      <c r="CP31" s="278"/>
      <c r="CQ31" s="278"/>
      <c r="CR31" s="278"/>
      <c r="CS31" s="278"/>
      <c r="CT31" s="278"/>
      <c r="CU31" s="278"/>
      <c r="CV31" s="241"/>
      <c r="CW31" s="241"/>
      <c r="CX31" s="241"/>
      <c r="CY31" s="241"/>
      <c r="CZ31" s="241"/>
      <c r="DA31" s="241"/>
      <c r="DB31" s="241"/>
      <c r="DC31" s="241"/>
      <c r="DD31" s="241"/>
      <c r="DE31" s="241"/>
      <c r="DF31" s="241"/>
      <c r="DG31" s="241"/>
      <c r="DH31" s="241"/>
      <c r="DI31" s="241"/>
      <c r="DJ31" s="241"/>
      <c r="DK31" s="241"/>
      <c r="DL31" s="241"/>
      <c r="DM31" s="241"/>
      <c r="DN31" s="241"/>
      <c r="DO31" s="241"/>
      <c r="DP31" s="241"/>
      <c r="DQ31" s="241"/>
      <c r="DR31" s="241"/>
      <c r="DS31" s="241"/>
      <c r="DT31" s="281"/>
      <c r="DU31" s="281"/>
    </row>
    <row r="32" spans="1:125" ht="15" customHeight="1">
      <c r="A32" s="331" t="s">
        <v>1167</v>
      </c>
      <c r="B32" s="273"/>
      <c r="C32" s="273"/>
      <c r="D32" s="273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  <c r="AA32" s="273"/>
      <c r="AB32" s="273"/>
      <c r="AC32" s="273"/>
      <c r="AD32" s="273"/>
      <c r="AE32" s="273"/>
      <c r="AF32" s="273"/>
      <c r="AG32" s="273"/>
      <c r="AH32" s="273"/>
      <c r="AI32" s="273"/>
      <c r="AJ32" s="273"/>
      <c r="AK32" s="273"/>
      <c r="AL32" s="273"/>
      <c r="AM32" s="273"/>
      <c r="AN32" s="273"/>
      <c r="AO32" s="273"/>
      <c r="AP32" s="273"/>
      <c r="AQ32" s="273"/>
      <c r="AR32" s="274"/>
      <c r="AS32" s="274"/>
      <c r="AT32" s="274"/>
      <c r="AU32" s="274"/>
      <c r="AV32" s="274"/>
      <c r="AW32" s="274"/>
      <c r="AX32" s="274"/>
      <c r="AY32" s="274"/>
      <c r="AZ32" s="275"/>
      <c r="BA32" s="275"/>
      <c r="BB32" s="275"/>
      <c r="BC32" s="275"/>
      <c r="BD32" s="275"/>
      <c r="BE32" s="275"/>
      <c r="BF32" s="275"/>
      <c r="BG32" s="275"/>
      <c r="BH32" s="275"/>
      <c r="BI32" s="276"/>
      <c r="BJ32" s="276"/>
      <c r="BK32" s="276"/>
      <c r="BL32" s="276"/>
      <c r="BM32" s="276"/>
      <c r="BN32" s="276"/>
      <c r="BO32" s="276"/>
      <c r="BP32" s="276"/>
      <c r="BQ32" s="276"/>
      <c r="BR32" s="276"/>
      <c r="BS32" s="276"/>
      <c r="BT32" s="276"/>
      <c r="BU32" s="276"/>
      <c r="BV32" s="276"/>
      <c r="BW32" s="276"/>
      <c r="BX32" s="276"/>
      <c r="BY32" s="276"/>
      <c r="BZ32" s="277"/>
      <c r="CA32" s="277"/>
      <c r="CB32" s="277"/>
      <c r="CC32" s="277"/>
      <c r="CD32" s="277"/>
      <c r="CE32" s="278"/>
      <c r="CF32" s="278"/>
      <c r="CG32" s="278"/>
      <c r="CH32" s="278"/>
      <c r="CI32" s="278"/>
      <c r="CJ32" s="278"/>
      <c r="CK32" s="278"/>
      <c r="CL32" s="278"/>
      <c r="CM32" s="278"/>
      <c r="CN32" s="278"/>
      <c r="CO32" s="278"/>
      <c r="CP32" s="278"/>
      <c r="CQ32" s="278"/>
      <c r="CR32" s="278"/>
      <c r="CS32" s="278"/>
      <c r="CT32" s="278"/>
      <c r="CU32" s="278"/>
      <c r="CV32" s="241"/>
      <c r="CW32" s="241"/>
      <c r="CX32" s="241"/>
      <c r="CY32" s="241"/>
      <c r="CZ32" s="241"/>
      <c r="DA32" s="241"/>
      <c r="DB32" s="241"/>
      <c r="DC32" s="241"/>
      <c r="DD32" s="241"/>
      <c r="DE32" s="241"/>
      <c r="DF32" s="241"/>
      <c r="DG32" s="241"/>
      <c r="DH32" s="241"/>
      <c r="DI32" s="241"/>
      <c r="DJ32" s="241"/>
      <c r="DK32" s="241"/>
      <c r="DL32" s="241"/>
      <c r="DM32" s="241"/>
      <c r="DN32" s="241"/>
      <c r="DO32" s="241"/>
      <c r="DP32" s="241"/>
      <c r="DQ32" s="241"/>
      <c r="DR32" s="241"/>
      <c r="DS32" s="241"/>
      <c r="DT32" s="281" t="s">
        <v>1142</v>
      </c>
      <c r="DU32" s="281"/>
    </row>
    <row r="33" spans="1:125" ht="15" customHeight="1">
      <c r="A33" s="331" t="s">
        <v>1168</v>
      </c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  <c r="Z33" s="273"/>
      <c r="AA33" s="273"/>
      <c r="AB33" s="273"/>
      <c r="AC33" s="273"/>
      <c r="AD33" s="273"/>
      <c r="AE33" s="273"/>
      <c r="AF33" s="273"/>
      <c r="AG33" s="273"/>
      <c r="AH33" s="273"/>
      <c r="AI33" s="273"/>
      <c r="AJ33" s="273"/>
      <c r="AK33" s="273"/>
      <c r="AL33" s="273"/>
      <c r="AM33" s="273"/>
      <c r="AN33" s="273"/>
      <c r="AO33" s="273"/>
      <c r="AP33" s="273"/>
      <c r="AQ33" s="273"/>
      <c r="AR33" s="274"/>
      <c r="AS33" s="274"/>
      <c r="AT33" s="274"/>
      <c r="AU33" s="274"/>
      <c r="AV33" s="274"/>
      <c r="AW33" s="274"/>
      <c r="AX33" s="274"/>
      <c r="AY33" s="274"/>
      <c r="AZ33" s="275"/>
      <c r="BA33" s="275"/>
      <c r="BB33" s="275"/>
      <c r="BC33" s="275"/>
      <c r="BD33" s="275"/>
      <c r="BE33" s="275"/>
      <c r="BF33" s="275"/>
      <c r="BG33" s="275"/>
      <c r="BH33" s="275"/>
      <c r="BI33" s="276"/>
      <c r="BJ33" s="276"/>
      <c r="BK33" s="276"/>
      <c r="BL33" s="276"/>
      <c r="BM33" s="276"/>
      <c r="BN33" s="276"/>
      <c r="BO33" s="276"/>
      <c r="BP33" s="276"/>
      <c r="BQ33" s="276"/>
      <c r="BR33" s="276"/>
      <c r="BS33" s="276"/>
      <c r="BT33" s="276"/>
      <c r="BU33" s="276"/>
      <c r="BV33" s="276"/>
      <c r="BW33" s="276"/>
      <c r="BX33" s="276"/>
      <c r="BY33" s="276"/>
      <c r="BZ33" s="277"/>
      <c r="CA33" s="277"/>
      <c r="CB33" s="277"/>
      <c r="CC33" s="277"/>
      <c r="CD33" s="277"/>
      <c r="CE33" s="278"/>
      <c r="CF33" s="278"/>
      <c r="CG33" s="278"/>
      <c r="CH33" s="278"/>
      <c r="CI33" s="278"/>
      <c r="CJ33" s="278"/>
      <c r="CK33" s="278"/>
      <c r="CL33" s="278"/>
      <c r="CM33" s="278"/>
      <c r="CN33" s="278"/>
      <c r="CO33" s="278"/>
      <c r="CP33" s="278"/>
      <c r="CQ33" s="278"/>
      <c r="CR33" s="278"/>
      <c r="CS33" s="278"/>
      <c r="CT33" s="278"/>
      <c r="CU33" s="278"/>
      <c r="CV33" s="241"/>
      <c r="CW33" s="241"/>
      <c r="CX33" s="241"/>
      <c r="CY33" s="241"/>
      <c r="CZ33" s="241"/>
      <c r="DA33" s="241"/>
      <c r="DB33" s="241"/>
      <c r="DC33" s="241"/>
      <c r="DD33" s="241"/>
      <c r="DE33" s="241"/>
      <c r="DF33" s="241"/>
      <c r="DG33" s="241"/>
      <c r="DH33" s="241"/>
      <c r="DI33" s="241"/>
      <c r="DJ33" s="241"/>
      <c r="DK33" s="241"/>
      <c r="DL33" s="241"/>
      <c r="DM33" s="241"/>
      <c r="DN33" s="241"/>
      <c r="DO33" s="241"/>
      <c r="DP33" s="241"/>
      <c r="DQ33" s="241"/>
      <c r="DR33" s="241"/>
      <c r="DS33" s="241"/>
      <c r="DT33" s="281" t="s">
        <v>1142</v>
      </c>
      <c r="DU33" s="281"/>
    </row>
    <row r="34" spans="1:125" ht="15" customHeight="1">
      <c r="A34" s="332" t="s">
        <v>1169</v>
      </c>
      <c r="B34" s="274"/>
      <c r="C34" s="274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  <c r="AB34" s="274"/>
      <c r="AC34" s="274"/>
      <c r="AD34" s="274"/>
      <c r="AE34" s="274"/>
      <c r="AF34" s="274"/>
      <c r="AG34" s="274"/>
      <c r="AH34" s="274"/>
      <c r="AI34" s="274"/>
      <c r="AJ34" s="274"/>
      <c r="AK34" s="274"/>
      <c r="AL34" s="274"/>
      <c r="AM34" s="274"/>
      <c r="AN34" s="274"/>
      <c r="AO34" s="274"/>
      <c r="AP34" s="274"/>
      <c r="AQ34" s="274"/>
      <c r="AR34" s="274"/>
      <c r="AS34" s="274"/>
      <c r="AT34" s="274" t="s">
        <v>1142</v>
      </c>
      <c r="AU34" s="274"/>
      <c r="AV34" s="274"/>
      <c r="AW34" s="274"/>
      <c r="AX34" s="274"/>
      <c r="AY34" s="274"/>
      <c r="AZ34" s="275"/>
      <c r="BA34" s="275"/>
      <c r="BB34" s="275"/>
      <c r="BC34" s="275"/>
      <c r="BD34" s="275"/>
      <c r="BE34" s="275"/>
      <c r="BF34" s="275"/>
      <c r="BG34" s="275"/>
      <c r="BH34" s="275"/>
      <c r="BI34" s="276"/>
      <c r="BJ34" s="276"/>
      <c r="BK34" s="276"/>
      <c r="BL34" s="276"/>
      <c r="BM34" s="276"/>
      <c r="BN34" s="276"/>
      <c r="BO34" s="276"/>
      <c r="BP34" s="276"/>
      <c r="BQ34" s="276"/>
      <c r="BR34" s="276"/>
      <c r="BS34" s="276"/>
      <c r="BT34" s="276"/>
      <c r="BU34" s="276"/>
      <c r="BV34" s="276"/>
      <c r="BW34" s="276"/>
      <c r="BX34" s="276"/>
      <c r="BY34" s="276"/>
      <c r="BZ34" s="277"/>
      <c r="CA34" s="277"/>
      <c r="CB34" s="277"/>
      <c r="CC34" s="277"/>
      <c r="CD34" s="277"/>
      <c r="CE34" s="278"/>
      <c r="CF34" s="278"/>
      <c r="CG34" s="278"/>
      <c r="CH34" s="278"/>
      <c r="CI34" s="278"/>
      <c r="CJ34" s="278"/>
      <c r="CK34" s="278"/>
      <c r="CL34" s="278"/>
      <c r="CM34" s="278"/>
      <c r="CN34" s="278"/>
      <c r="CO34" s="278"/>
      <c r="CP34" s="278"/>
      <c r="CQ34" s="278"/>
      <c r="CR34" s="278"/>
      <c r="CS34" s="278"/>
      <c r="CT34" s="278"/>
      <c r="CU34" s="278"/>
      <c r="CV34" s="241"/>
      <c r="CW34" s="241"/>
      <c r="CX34" s="241"/>
      <c r="CY34" s="241"/>
      <c r="CZ34" s="241"/>
      <c r="DA34" s="241"/>
      <c r="DB34" s="241"/>
      <c r="DC34" s="241"/>
      <c r="DD34" s="241"/>
      <c r="DE34" s="241"/>
      <c r="DF34" s="241"/>
      <c r="DG34" s="241"/>
      <c r="DH34" s="241"/>
      <c r="DI34" s="241"/>
      <c r="DJ34" s="241"/>
      <c r="DK34" s="241"/>
      <c r="DL34" s="241"/>
      <c r="DM34" s="241"/>
      <c r="DN34" s="241"/>
      <c r="DO34" s="241"/>
      <c r="DP34" s="241"/>
      <c r="DQ34" s="241"/>
      <c r="DR34" s="241"/>
      <c r="DS34" s="241"/>
      <c r="DT34" s="281"/>
      <c r="DU34" s="281"/>
    </row>
    <row r="35" spans="1:125" ht="15" customHeight="1">
      <c r="A35" s="332" t="s">
        <v>1170</v>
      </c>
      <c r="B35" s="274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4"/>
      <c r="AF35" s="274"/>
      <c r="AG35" s="274"/>
      <c r="AH35" s="274"/>
      <c r="AI35" s="274"/>
      <c r="AJ35" s="274"/>
      <c r="AK35" s="274"/>
      <c r="AL35" s="274"/>
      <c r="AM35" s="274"/>
      <c r="AN35" s="274"/>
      <c r="AO35" s="274"/>
      <c r="AP35" s="274"/>
      <c r="AQ35" s="274"/>
      <c r="AR35" s="274"/>
      <c r="AS35" s="274"/>
      <c r="AT35" s="274"/>
      <c r="AU35" s="274"/>
      <c r="AV35" s="274"/>
      <c r="AW35" s="274"/>
      <c r="AX35" s="274"/>
      <c r="AY35" s="274"/>
      <c r="AZ35" s="275"/>
      <c r="BA35" s="275"/>
      <c r="BB35" s="275"/>
      <c r="BC35" s="275"/>
      <c r="BD35" s="275"/>
      <c r="BE35" s="275"/>
      <c r="BF35" s="275"/>
      <c r="BG35" s="275"/>
      <c r="BH35" s="275"/>
      <c r="BI35" s="276"/>
      <c r="BJ35" s="276"/>
      <c r="BK35" s="276"/>
      <c r="BL35" s="276"/>
      <c r="BM35" s="276"/>
      <c r="BN35" s="276"/>
      <c r="BO35" s="276"/>
      <c r="BP35" s="276"/>
      <c r="BQ35" s="276"/>
      <c r="BR35" s="276"/>
      <c r="BS35" s="276"/>
      <c r="BT35" s="276"/>
      <c r="BU35" s="276"/>
      <c r="BV35" s="276"/>
      <c r="BW35" s="276"/>
      <c r="BX35" s="276"/>
      <c r="BY35" s="276"/>
      <c r="BZ35" s="277"/>
      <c r="CA35" s="277"/>
      <c r="CB35" s="277"/>
      <c r="CC35" s="277"/>
      <c r="CD35" s="277"/>
      <c r="CE35" s="278"/>
      <c r="CF35" s="278"/>
      <c r="CG35" s="278"/>
      <c r="CH35" s="278"/>
      <c r="CI35" s="278"/>
      <c r="CJ35" s="278"/>
      <c r="CK35" s="278"/>
      <c r="CL35" s="278"/>
      <c r="CM35" s="278"/>
      <c r="CN35" s="278"/>
      <c r="CO35" s="278"/>
      <c r="CP35" s="278"/>
      <c r="CQ35" s="278"/>
      <c r="CR35" s="278"/>
      <c r="CS35" s="278"/>
      <c r="CT35" s="278"/>
      <c r="CU35" s="278"/>
      <c r="CV35" s="241"/>
      <c r="CW35" s="241"/>
      <c r="CX35" s="241"/>
      <c r="CY35" s="241"/>
      <c r="CZ35" s="241"/>
      <c r="DA35" s="241"/>
      <c r="DB35" s="241"/>
      <c r="DC35" s="241"/>
      <c r="DD35" s="241"/>
      <c r="DE35" s="241"/>
      <c r="DF35" s="241"/>
      <c r="DG35" s="241"/>
      <c r="DH35" s="241"/>
      <c r="DI35" s="241"/>
      <c r="DJ35" s="241"/>
      <c r="DK35" s="241"/>
      <c r="DL35" s="241"/>
      <c r="DM35" s="241"/>
      <c r="DN35" s="241"/>
      <c r="DO35" s="241"/>
      <c r="DP35" s="241"/>
      <c r="DQ35" s="241"/>
      <c r="DR35" s="241"/>
      <c r="DS35" s="241"/>
      <c r="DT35" s="281"/>
      <c r="DU35" s="281"/>
    </row>
    <row r="36" spans="1:125" ht="15" customHeight="1">
      <c r="A36" s="332" t="s">
        <v>1171</v>
      </c>
      <c r="B36" s="274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4"/>
      <c r="AD36" s="274"/>
      <c r="AE36" s="274"/>
      <c r="AF36" s="274"/>
      <c r="AG36" s="274"/>
      <c r="AH36" s="274"/>
      <c r="AI36" s="274"/>
      <c r="AJ36" s="274"/>
      <c r="AK36" s="274"/>
      <c r="AL36" s="274"/>
      <c r="AM36" s="274"/>
      <c r="AN36" s="274"/>
      <c r="AO36" s="274"/>
      <c r="AP36" s="274"/>
      <c r="AQ36" s="274"/>
      <c r="AR36" s="274"/>
      <c r="AS36" s="274"/>
      <c r="AT36" s="274"/>
      <c r="AU36" s="274"/>
      <c r="AV36" s="274" t="s">
        <v>1142</v>
      </c>
      <c r="AW36" s="274"/>
      <c r="AX36" s="274"/>
      <c r="AY36" s="274"/>
      <c r="AZ36" s="275"/>
      <c r="BA36" s="275"/>
      <c r="BB36" s="275"/>
      <c r="BC36" s="275"/>
      <c r="BD36" s="275"/>
      <c r="BE36" s="275"/>
      <c r="BF36" s="275"/>
      <c r="BG36" s="275"/>
      <c r="BH36" s="275"/>
      <c r="BI36" s="276"/>
      <c r="BJ36" s="276"/>
      <c r="BK36" s="276"/>
      <c r="BL36" s="276"/>
      <c r="BM36" s="276"/>
      <c r="BN36" s="276"/>
      <c r="BO36" s="276"/>
      <c r="BP36" s="276"/>
      <c r="BQ36" s="276"/>
      <c r="BR36" s="276"/>
      <c r="BS36" s="276"/>
      <c r="BT36" s="276"/>
      <c r="BU36" s="276"/>
      <c r="BV36" s="276"/>
      <c r="BW36" s="276"/>
      <c r="BX36" s="276"/>
      <c r="BY36" s="276"/>
      <c r="BZ36" s="277"/>
      <c r="CA36" s="277"/>
      <c r="CB36" s="277"/>
      <c r="CC36" s="277"/>
      <c r="CD36" s="277"/>
      <c r="CE36" s="278"/>
      <c r="CF36" s="278"/>
      <c r="CG36" s="278"/>
      <c r="CH36" s="278"/>
      <c r="CI36" s="278"/>
      <c r="CJ36" s="278"/>
      <c r="CK36" s="278"/>
      <c r="CL36" s="278"/>
      <c r="CM36" s="278"/>
      <c r="CN36" s="278"/>
      <c r="CO36" s="278"/>
      <c r="CP36" s="278"/>
      <c r="CQ36" s="278"/>
      <c r="CR36" s="278"/>
      <c r="CS36" s="278"/>
      <c r="CT36" s="278"/>
      <c r="CU36" s="278"/>
      <c r="CV36" s="241"/>
      <c r="CW36" s="241"/>
      <c r="CX36" s="241"/>
      <c r="CY36" s="241"/>
      <c r="CZ36" s="241"/>
      <c r="DA36" s="241"/>
      <c r="DB36" s="241"/>
      <c r="DC36" s="241"/>
      <c r="DD36" s="241"/>
      <c r="DE36" s="241"/>
      <c r="DF36" s="241"/>
      <c r="DG36" s="241"/>
      <c r="DH36" s="241"/>
      <c r="DI36" s="241"/>
      <c r="DJ36" s="241"/>
      <c r="DK36" s="241"/>
      <c r="DL36" s="241"/>
      <c r="DM36" s="241"/>
      <c r="DN36" s="241"/>
      <c r="DO36" s="241"/>
      <c r="DP36" s="241"/>
      <c r="DQ36" s="241"/>
      <c r="DR36" s="241"/>
      <c r="DS36" s="241"/>
      <c r="DT36" s="281"/>
      <c r="DU36" s="281"/>
    </row>
    <row r="37" spans="1:125" ht="15" customHeight="1">
      <c r="A37" s="332" t="s">
        <v>1172</v>
      </c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4"/>
      <c r="AD37" s="274"/>
      <c r="AE37" s="274"/>
      <c r="AF37" s="274"/>
      <c r="AG37" s="274"/>
      <c r="AH37" s="274"/>
      <c r="AI37" s="274"/>
      <c r="AJ37" s="274"/>
      <c r="AK37" s="274"/>
      <c r="AL37" s="274"/>
      <c r="AM37" s="274"/>
      <c r="AN37" s="274"/>
      <c r="AO37" s="274"/>
      <c r="AP37" s="274"/>
      <c r="AQ37" s="274"/>
      <c r="AR37" s="274" t="s">
        <v>1142</v>
      </c>
      <c r="AS37" s="274" t="s">
        <v>1142</v>
      </c>
      <c r="AT37" s="274"/>
      <c r="AU37" s="274"/>
      <c r="AV37" s="274"/>
      <c r="AW37" s="274"/>
      <c r="AX37" s="274"/>
      <c r="AY37" s="274"/>
      <c r="AZ37" s="275"/>
      <c r="BA37" s="275"/>
      <c r="BB37" s="275"/>
      <c r="BC37" s="275"/>
      <c r="BD37" s="275"/>
      <c r="BE37" s="275"/>
      <c r="BF37" s="275"/>
      <c r="BG37" s="275"/>
      <c r="BH37" s="275"/>
      <c r="BI37" s="276"/>
      <c r="BJ37" s="276"/>
      <c r="BK37" s="276"/>
      <c r="BL37" s="276"/>
      <c r="BM37" s="276"/>
      <c r="BN37" s="276"/>
      <c r="BO37" s="276"/>
      <c r="BP37" s="276"/>
      <c r="BQ37" s="276"/>
      <c r="BR37" s="276"/>
      <c r="BS37" s="276"/>
      <c r="BT37" s="276"/>
      <c r="BU37" s="276"/>
      <c r="BV37" s="276"/>
      <c r="BW37" s="276"/>
      <c r="BX37" s="276"/>
      <c r="BY37" s="276"/>
      <c r="BZ37" s="277"/>
      <c r="CA37" s="277"/>
      <c r="CB37" s="277"/>
      <c r="CC37" s="277"/>
      <c r="CD37" s="277"/>
      <c r="CE37" s="278"/>
      <c r="CF37" s="278"/>
      <c r="CG37" s="278"/>
      <c r="CH37" s="278"/>
      <c r="CI37" s="278"/>
      <c r="CJ37" s="278"/>
      <c r="CK37" s="278"/>
      <c r="CL37" s="278"/>
      <c r="CM37" s="278"/>
      <c r="CN37" s="278"/>
      <c r="CO37" s="278"/>
      <c r="CP37" s="278"/>
      <c r="CQ37" s="278"/>
      <c r="CR37" s="278"/>
      <c r="CS37" s="278"/>
      <c r="CT37" s="278"/>
      <c r="CU37" s="278"/>
      <c r="CV37" s="241"/>
      <c r="CW37" s="241"/>
      <c r="CX37" s="241"/>
      <c r="CY37" s="241"/>
      <c r="CZ37" s="241"/>
      <c r="DA37" s="241"/>
      <c r="DB37" s="241"/>
      <c r="DC37" s="241"/>
      <c r="DD37" s="241"/>
      <c r="DE37" s="241"/>
      <c r="DF37" s="241"/>
      <c r="DG37" s="241"/>
      <c r="DH37" s="241"/>
      <c r="DI37" s="241"/>
      <c r="DJ37" s="241"/>
      <c r="DK37" s="241"/>
      <c r="DL37" s="241"/>
      <c r="DM37" s="241"/>
      <c r="DN37" s="241"/>
      <c r="DO37" s="241"/>
      <c r="DP37" s="241"/>
      <c r="DQ37" s="241"/>
      <c r="DR37" s="241"/>
      <c r="DS37" s="241"/>
      <c r="DT37" s="281"/>
      <c r="DU37" s="281"/>
    </row>
    <row r="38" spans="1:125" ht="15" customHeight="1">
      <c r="A38" s="332" t="s">
        <v>1155</v>
      </c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4"/>
      <c r="AD38" s="274"/>
      <c r="AE38" s="274"/>
      <c r="AF38" s="274"/>
      <c r="AG38" s="274"/>
      <c r="AH38" s="274"/>
      <c r="AI38" s="274"/>
      <c r="AJ38" s="274"/>
      <c r="AK38" s="274"/>
      <c r="AL38" s="274"/>
      <c r="AM38" s="274"/>
      <c r="AN38" s="274"/>
      <c r="AO38" s="274"/>
      <c r="AP38" s="274"/>
      <c r="AQ38" s="274"/>
      <c r="AR38" s="274"/>
      <c r="AS38" s="274"/>
      <c r="AT38" s="274"/>
      <c r="AU38" s="274"/>
      <c r="AV38" s="274"/>
      <c r="AW38" s="274" t="s">
        <v>1142</v>
      </c>
      <c r="AX38" s="274"/>
      <c r="AY38" s="274"/>
      <c r="AZ38" s="275"/>
      <c r="BA38" s="275"/>
      <c r="BB38" s="275"/>
      <c r="BC38" s="275"/>
      <c r="BD38" s="275"/>
      <c r="BE38" s="275"/>
      <c r="BF38" s="275"/>
      <c r="BG38" s="275"/>
      <c r="BH38" s="275"/>
      <c r="BI38" s="276"/>
      <c r="BJ38" s="276"/>
      <c r="BK38" s="276"/>
      <c r="BL38" s="276"/>
      <c r="BM38" s="276"/>
      <c r="BN38" s="276"/>
      <c r="BO38" s="276"/>
      <c r="BP38" s="276"/>
      <c r="BQ38" s="276"/>
      <c r="BR38" s="276"/>
      <c r="BS38" s="276"/>
      <c r="BT38" s="276"/>
      <c r="BU38" s="276"/>
      <c r="BV38" s="276"/>
      <c r="BW38" s="276"/>
      <c r="BX38" s="276"/>
      <c r="BY38" s="276"/>
      <c r="BZ38" s="277"/>
      <c r="CA38" s="277"/>
      <c r="CB38" s="277"/>
      <c r="CC38" s="277"/>
      <c r="CD38" s="277"/>
      <c r="CE38" s="278"/>
      <c r="CF38" s="278"/>
      <c r="CG38" s="278"/>
      <c r="CH38" s="278"/>
      <c r="CI38" s="278"/>
      <c r="CJ38" s="278"/>
      <c r="CK38" s="278"/>
      <c r="CL38" s="278"/>
      <c r="CM38" s="278"/>
      <c r="CN38" s="278"/>
      <c r="CO38" s="278"/>
      <c r="CP38" s="278"/>
      <c r="CQ38" s="278"/>
      <c r="CR38" s="278"/>
      <c r="CS38" s="278"/>
      <c r="CT38" s="278"/>
      <c r="CU38" s="278"/>
      <c r="CV38" s="241"/>
      <c r="CW38" s="241"/>
      <c r="CX38" s="241"/>
      <c r="CY38" s="241"/>
      <c r="CZ38" s="241"/>
      <c r="DA38" s="241"/>
      <c r="DB38" s="241"/>
      <c r="DC38" s="241"/>
      <c r="DD38" s="241"/>
      <c r="DE38" s="241"/>
      <c r="DF38" s="241"/>
      <c r="DG38" s="241"/>
      <c r="DH38" s="241"/>
      <c r="DI38" s="241"/>
      <c r="DJ38" s="241"/>
      <c r="DK38" s="241"/>
      <c r="DL38" s="241"/>
      <c r="DM38" s="241"/>
      <c r="DN38" s="241"/>
      <c r="DO38" s="241"/>
      <c r="DP38" s="241"/>
      <c r="DQ38" s="241"/>
      <c r="DR38" s="241"/>
      <c r="DS38" s="241"/>
      <c r="DT38" s="281"/>
      <c r="DU38" s="281"/>
    </row>
    <row r="39" spans="1:125" ht="15" customHeight="1">
      <c r="A39" s="333" t="s">
        <v>1173</v>
      </c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  <c r="AA39" s="275"/>
      <c r="AB39" s="275"/>
      <c r="AC39" s="275"/>
      <c r="AD39" s="275"/>
      <c r="AE39" s="275"/>
      <c r="AF39" s="275"/>
      <c r="AG39" s="275"/>
      <c r="AH39" s="275"/>
      <c r="AI39" s="275"/>
      <c r="AJ39" s="275"/>
      <c r="AK39" s="275"/>
      <c r="AL39" s="275"/>
      <c r="AM39" s="275"/>
      <c r="AN39" s="275"/>
      <c r="AO39" s="275"/>
      <c r="AP39" s="275"/>
      <c r="AQ39" s="275"/>
      <c r="AR39" s="275"/>
      <c r="AS39" s="275"/>
      <c r="AT39" s="275"/>
      <c r="AU39" s="275"/>
      <c r="AV39" s="275"/>
      <c r="AW39" s="275"/>
      <c r="AX39" s="275"/>
      <c r="AY39" s="275"/>
      <c r="AZ39" s="275"/>
      <c r="BA39" s="275" t="s">
        <v>1142</v>
      </c>
      <c r="BB39" s="275" t="s">
        <v>1142</v>
      </c>
      <c r="BC39" s="275"/>
      <c r="BD39" s="275"/>
      <c r="BE39" s="275"/>
      <c r="BF39" s="275"/>
      <c r="BG39" s="275"/>
      <c r="BH39" s="275"/>
      <c r="BI39" s="276"/>
      <c r="BJ39" s="276"/>
      <c r="BK39" s="276"/>
      <c r="BL39" s="276"/>
      <c r="BM39" s="276"/>
      <c r="BN39" s="276"/>
      <c r="BO39" s="276"/>
      <c r="BP39" s="276"/>
      <c r="BQ39" s="276"/>
      <c r="BR39" s="276"/>
      <c r="BS39" s="276"/>
      <c r="BT39" s="276"/>
      <c r="BU39" s="276"/>
      <c r="BV39" s="276"/>
      <c r="BW39" s="276"/>
      <c r="BX39" s="276"/>
      <c r="BY39" s="276"/>
      <c r="BZ39" s="277"/>
      <c r="CA39" s="277"/>
      <c r="CB39" s="277"/>
      <c r="CC39" s="277"/>
      <c r="CD39" s="277"/>
      <c r="CE39" s="278"/>
      <c r="CF39" s="278"/>
      <c r="CG39" s="278"/>
      <c r="CH39" s="278"/>
      <c r="CI39" s="278"/>
      <c r="CJ39" s="278"/>
      <c r="CK39" s="278"/>
      <c r="CL39" s="278"/>
      <c r="CM39" s="278"/>
      <c r="CN39" s="278"/>
      <c r="CO39" s="278"/>
      <c r="CP39" s="278"/>
      <c r="CQ39" s="278"/>
      <c r="CR39" s="278"/>
      <c r="CS39" s="278"/>
      <c r="CT39" s="278"/>
      <c r="CU39" s="278"/>
      <c r="CV39" s="241"/>
      <c r="CW39" s="241"/>
      <c r="CX39" s="241"/>
      <c r="CY39" s="241"/>
      <c r="CZ39" s="241"/>
      <c r="DA39" s="241"/>
      <c r="DB39" s="241"/>
      <c r="DC39" s="241"/>
      <c r="DD39" s="241"/>
      <c r="DE39" s="241"/>
      <c r="DF39" s="241"/>
      <c r="DG39" s="241"/>
      <c r="DH39" s="241"/>
      <c r="DI39" s="241"/>
      <c r="DJ39" s="241"/>
      <c r="DK39" s="241"/>
      <c r="DL39" s="241"/>
      <c r="DM39" s="241"/>
      <c r="DN39" s="241"/>
      <c r="DO39" s="241"/>
      <c r="DP39" s="241"/>
      <c r="DQ39" s="241"/>
      <c r="DR39" s="241"/>
      <c r="DS39" s="241"/>
      <c r="DT39" s="281"/>
      <c r="DU39" s="281"/>
    </row>
    <row r="40" spans="1:125" ht="15" customHeight="1">
      <c r="A40" s="333" t="s">
        <v>1174</v>
      </c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5"/>
      <c r="AA40" s="275"/>
      <c r="AB40" s="275"/>
      <c r="AC40" s="275"/>
      <c r="AD40" s="275"/>
      <c r="AE40" s="275"/>
      <c r="AF40" s="275"/>
      <c r="AG40" s="275"/>
      <c r="AH40" s="275"/>
      <c r="AI40" s="275"/>
      <c r="AJ40" s="275"/>
      <c r="AK40" s="275"/>
      <c r="AL40" s="275"/>
      <c r="AM40" s="275"/>
      <c r="AN40" s="275"/>
      <c r="AO40" s="275"/>
      <c r="AP40" s="275"/>
      <c r="AQ40" s="275"/>
      <c r="AR40" s="275"/>
      <c r="AS40" s="275"/>
      <c r="AT40" s="275"/>
      <c r="AU40" s="275"/>
      <c r="AV40" s="275"/>
      <c r="AW40" s="275"/>
      <c r="AX40" s="275"/>
      <c r="AY40" s="275"/>
      <c r="AZ40" s="275" t="s">
        <v>1142</v>
      </c>
      <c r="BA40" s="275"/>
      <c r="BB40" s="275"/>
      <c r="BC40" s="275"/>
      <c r="BD40" s="275"/>
      <c r="BE40" s="275"/>
      <c r="BF40" s="275"/>
      <c r="BG40" s="275"/>
      <c r="BH40" s="275"/>
      <c r="BI40" s="276"/>
      <c r="BJ40" s="276"/>
      <c r="BK40" s="276"/>
      <c r="BL40" s="276"/>
      <c r="BM40" s="276"/>
      <c r="BN40" s="276"/>
      <c r="BO40" s="276"/>
      <c r="BP40" s="276"/>
      <c r="BQ40" s="276"/>
      <c r="BR40" s="276"/>
      <c r="BS40" s="276"/>
      <c r="BT40" s="276"/>
      <c r="BU40" s="276"/>
      <c r="BV40" s="276"/>
      <c r="BW40" s="276"/>
      <c r="BX40" s="276"/>
      <c r="BY40" s="276"/>
      <c r="BZ40" s="277"/>
      <c r="CA40" s="277"/>
      <c r="CB40" s="277"/>
      <c r="CC40" s="277"/>
      <c r="CD40" s="277"/>
      <c r="CE40" s="278"/>
      <c r="CF40" s="278"/>
      <c r="CG40" s="278"/>
      <c r="CH40" s="278"/>
      <c r="CI40" s="278"/>
      <c r="CJ40" s="278"/>
      <c r="CK40" s="278"/>
      <c r="CL40" s="278"/>
      <c r="CM40" s="278"/>
      <c r="CN40" s="278"/>
      <c r="CO40" s="278"/>
      <c r="CP40" s="278"/>
      <c r="CQ40" s="278"/>
      <c r="CR40" s="278"/>
      <c r="CS40" s="278"/>
      <c r="CT40" s="278"/>
      <c r="CU40" s="278"/>
      <c r="CV40" s="241"/>
      <c r="CW40" s="241"/>
      <c r="CX40" s="241"/>
      <c r="CY40" s="241"/>
      <c r="CZ40" s="241"/>
      <c r="DA40" s="241"/>
      <c r="DB40" s="241"/>
      <c r="DC40" s="241"/>
      <c r="DD40" s="241"/>
      <c r="DE40" s="241"/>
      <c r="DF40" s="241"/>
      <c r="DG40" s="241"/>
      <c r="DH40" s="241"/>
      <c r="DI40" s="241"/>
      <c r="DJ40" s="241"/>
      <c r="DK40" s="241"/>
      <c r="DL40" s="241"/>
      <c r="DM40" s="241"/>
      <c r="DN40" s="241"/>
      <c r="DO40" s="241"/>
      <c r="DP40" s="241"/>
      <c r="DQ40" s="241"/>
      <c r="DR40" s="241"/>
      <c r="DS40" s="241"/>
      <c r="DT40" s="281"/>
      <c r="DU40" s="281"/>
    </row>
    <row r="41" spans="1:125" ht="15" customHeight="1">
      <c r="A41" s="333" t="s">
        <v>1175</v>
      </c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  <c r="AA41" s="275"/>
      <c r="AB41" s="275"/>
      <c r="AC41" s="275"/>
      <c r="AD41" s="275"/>
      <c r="AE41" s="275"/>
      <c r="AF41" s="275"/>
      <c r="AG41" s="275"/>
      <c r="AH41" s="275"/>
      <c r="AI41" s="275"/>
      <c r="AJ41" s="275"/>
      <c r="AK41" s="275"/>
      <c r="AL41" s="275"/>
      <c r="AM41" s="275"/>
      <c r="AN41" s="275"/>
      <c r="AO41" s="275"/>
      <c r="AP41" s="275"/>
      <c r="AQ41" s="275"/>
      <c r="AR41" s="275"/>
      <c r="AS41" s="275"/>
      <c r="AT41" s="275"/>
      <c r="AU41" s="275"/>
      <c r="AV41" s="275"/>
      <c r="AW41" s="275"/>
      <c r="AX41" s="275"/>
      <c r="AY41" s="275"/>
      <c r="AZ41" s="275"/>
      <c r="BA41" s="275"/>
      <c r="BB41" s="275"/>
      <c r="BC41" s="275"/>
      <c r="BD41" s="275"/>
      <c r="BE41" s="275"/>
      <c r="BF41" s="275"/>
      <c r="BG41" s="275"/>
      <c r="BH41" s="275"/>
      <c r="BI41" s="276"/>
      <c r="BJ41" s="276"/>
      <c r="BK41" s="276"/>
      <c r="BL41" s="276"/>
      <c r="BM41" s="276"/>
      <c r="BN41" s="276"/>
      <c r="BO41" s="276"/>
      <c r="BP41" s="276"/>
      <c r="BQ41" s="276"/>
      <c r="BR41" s="276"/>
      <c r="BS41" s="276"/>
      <c r="BT41" s="276"/>
      <c r="BU41" s="276"/>
      <c r="BV41" s="276"/>
      <c r="BW41" s="276"/>
      <c r="BX41" s="276"/>
      <c r="BY41" s="276"/>
      <c r="BZ41" s="277"/>
      <c r="CA41" s="277"/>
      <c r="CB41" s="277"/>
      <c r="CC41" s="277"/>
      <c r="CD41" s="277"/>
      <c r="CE41" s="278"/>
      <c r="CF41" s="278"/>
      <c r="CG41" s="278"/>
      <c r="CH41" s="278"/>
      <c r="CI41" s="278"/>
      <c r="CJ41" s="278"/>
      <c r="CK41" s="278"/>
      <c r="CL41" s="278"/>
      <c r="CM41" s="278"/>
      <c r="CN41" s="278"/>
      <c r="CO41" s="278"/>
      <c r="CP41" s="278"/>
      <c r="CQ41" s="278"/>
      <c r="CR41" s="278"/>
      <c r="CS41" s="278"/>
      <c r="CT41" s="278"/>
      <c r="CU41" s="278"/>
      <c r="CV41" s="241"/>
      <c r="CW41" s="241"/>
      <c r="CX41" s="241"/>
      <c r="CY41" s="241"/>
      <c r="CZ41" s="241"/>
      <c r="DA41" s="241"/>
      <c r="DB41" s="241"/>
      <c r="DC41" s="241"/>
      <c r="DD41" s="241"/>
      <c r="DE41" s="241"/>
      <c r="DF41" s="241"/>
      <c r="DG41" s="241"/>
      <c r="DH41" s="241"/>
      <c r="DI41" s="241"/>
      <c r="DJ41" s="241"/>
      <c r="DK41" s="241"/>
      <c r="DL41" s="241"/>
      <c r="DM41" s="241"/>
      <c r="DN41" s="241"/>
      <c r="DO41" s="241"/>
      <c r="DP41" s="241"/>
      <c r="DQ41" s="241"/>
      <c r="DR41" s="241"/>
      <c r="DS41" s="241"/>
      <c r="DT41" s="281"/>
      <c r="DU41" s="281"/>
    </row>
    <row r="42" spans="1:125" ht="15" customHeight="1">
      <c r="A42" s="333" t="s">
        <v>1155</v>
      </c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5"/>
      <c r="AA42" s="275"/>
      <c r="AB42" s="275"/>
      <c r="AC42" s="275"/>
      <c r="AD42" s="275"/>
      <c r="AE42" s="275"/>
      <c r="AF42" s="275"/>
      <c r="AG42" s="275"/>
      <c r="AH42" s="275"/>
      <c r="AI42" s="275"/>
      <c r="AJ42" s="275"/>
      <c r="AK42" s="275"/>
      <c r="AL42" s="275"/>
      <c r="AM42" s="275"/>
      <c r="AN42" s="275"/>
      <c r="AO42" s="275"/>
      <c r="AP42" s="275"/>
      <c r="AQ42" s="275"/>
      <c r="AR42" s="275"/>
      <c r="AS42" s="275"/>
      <c r="AT42" s="275"/>
      <c r="AU42" s="275"/>
      <c r="AV42" s="275"/>
      <c r="AW42" s="275"/>
      <c r="AX42" s="275"/>
      <c r="AY42" s="275"/>
      <c r="AZ42" s="275"/>
      <c r="BA42" s="275"/>
      <c r="BB42" s="275"/>
      <c r="BC42" s="275" t="s">
        <v>1142</v>
      </c>
      <c r="BD42" s="275"/>
      <c r="BE42" s="275"/>
      <c r="BF42" s="275"/>
      <c r="BG42" s="275"/>
      <c r="BH42" s="275"/>
      <c r="BI42" s="276"/>
      <c r="BJ42" s="276"/>
      <c r="BK42" s="276"/>
      <c r="BL42" s="276"/>
      <c r="BM42" s="276"/>
      <c r="BN42" s="276"/>
      <c r="BO42" s="276"/>
      <c r="BP42" s="276"/>
      <c r="BQ42" s="276"/>
      <c r="BR42" s="276"/>
      <c r="BS42" s="276"/>
      <c r="BT42" s="276"/>
      <c r="BU42" s="276"/>
      <c r="BV42" s="276"/>
      <c r="BW42" s="276"/>
      <c r="BX42" s="276"/>
      <c r="BY42" s="276"/>
      <c r="BZ42" s="277"/>
      <c r="CA42" s="277"/>
      <c r="CB42" s="277"/>
      <c r="CC42" s="277"/>
      <c r="CD42" s="277"/>
      <c r="CE42" s="278"/>
      <c r="CF42" s="278"/>
      <c r="CG42" s="278"/>
      <c r="CH42" s="278"/>
      <c r="CI42" s="278"/>
      <c r="CJ42" s="278"/>
      <c r="CK42" s="278"/>
      <c r="CL42" s="278"/>
      <c r="CM42" s="278"/>
      <c r="CN42" s="278"/>
      <c r="CO42" s="278"/>
      <c r="CP42" s="278"/>
      <c r="CQ42" s="278"/>
      <c r="CR42" s="278"/>
      <c r="CS42" s="278"/>
      <c r="CT42" s="278"/>
      <c r="CU42" s="278"/>
      <c r="CV42" s="241"/>
      <c r="CW42" s="241"/>
      <c r="CX42" s="241"/>
      <c r="CY42" s="241"/>
      <c r="CZ42" s="241"/>
      <c r="DA42" s="241"/>
      <c r="DB42" s="241"/>
      <c r="DC42" s="241"/>
      <c r="DD42" s="241"/>
      <c r="DE42" s="241"/>
      <c r="DF42" s="241"/>
      <c r="DG42" s="241"/>
      <c r="DH42" s="241"/>
      <c r="DI42" s="241"/>
      <c r="DJ42" s="241"/>
      <c r="DK42" s="241"/>
      <c r="DL42" s="241"/>
      <c r="DM42" s="241"/>
      <c r="DN42" s="241"/>
      <c r="DO42" s="241"/>
      <c r="DP42" s="241"/>
      <c r="DQ42" s="241"/>
      <c r="DR42" s="241"/>
      <c r="DS42" s="241"/>
      <c r="DT42" s="281"/>
      <c r="DU42" s="281"/>
    </row>
    <row r="43" spans="1:125" ht="15" customHeight="1">
      <c r="A43" s="333" t="s">
        <v>1167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  <c r="AD43" s="275"/>
      <c r="AE43" s="275"/>
      <c r="AF43" s="275"/>
      <c r="AG43" s="275"/>
      <c r="AH43" s="275"/>
      <c r="AI43" s="275"/>
      <c r="AJ43" s="275"/>
      <c r="AK43" s="275"/>
      <c r="AL43" s="275"/>
      <c r="AM43" s="275"/>
      <c r="AN43" s="275"/>
      <c r="AO43" s="275"/>
      <c r="AP43" s="275"/>
      <c r="AQ43" s="275"/>
      <c r="AR43" s="275"/>
      <c r="AS43" s="275"/>
      <c r="AT43" s="275"/>
      <c r="AU43" s="275"/>
      <c r="AV43" s="275"/>
      <c r="AW43" s="275"/>
      <c r="AX43" s="275"/>
      <c r="AY43" s="275"/>
      <c r="AZ43" s="275"/>
      <c r="BA43" s="275"/>
      <c r="BB43" s="275"/>
      <c r="BC43" s="275"/>
      <c r="BD43" s="275"/>
      <c r="BE43" s="275"/>
      <c r="BF43" s="275"/>
      <c r="BG43" s="275"/>
      <c r="BH43" s="275"/>
      <c r="BI43" s="276"/>
      <c r="BJ43" s="276"/>
      <c r="BK43" s="276"/>
      <c r="BL43" s="276"/>
      <c r="BM43" s="276"/>
      <c r="BN43" s="276"/>
      <c r="BO43" s="276"/>
      <c r="BP43" s="276"/>
      <c r="BQ43" s="276"/>
      <c r="BR43" s="276"/>
      <c r="BS43" s="276"/>
      <c r="BT43" s="276"/>
      <c r="BU43" s="276"/>
      <c r="BV43" s="276"/>
      <c r="BW43" s="276"/>
      <c r="BX43" s="276"/>
      <c r="BY43" s="276"/>
      <c r="BZ43" s="277"/>
      <c r="CA43" s="277"/>
      <c r="CB43" s="277"/>
      <c r="CC43" s="277"/>
      <c r="CD43" s="277"/>
      <c r="CE43" s="278"/>
      <c r="CF43" s="278"/>
      <c r="CG43" s="278"/>
      <c r="CH43" s="278"/>
      <c r="CI43" s="278"/>
      <c r="CJ43" s="278"/>
      <c r="CK43" s="278"/>
      <c r="CL43" s="278"/>
      <c r="CM43" s="278"/>
      <c r="CN43" s="278"/>
      <c r="CO43" s="278"/>
      <c r="CP43" s="278"/>
      <c r="CQ43" s="278"/>
      <c r="CR43" s="278"/>
      <c r="CS43" s="278"/>
      <c r="CT43" s="278"/>
      <c r="CU43" s="278"/>
      <c r="CV43" s="241"/>
      <c r="CW43" s="241"/>
      <c r="CX43" s="241"/>
      <c r="CY43" s="241"/>
      <c r="CZ43" s="241"/>
      <c r="DA43" s="241"/>
      <c r="DB43" s="241"/>
      <c r="DC43" s="241"/>
      <c r="DD43" s="241"/>
      <c r="DE43" s="241"/>
      <c r="DF43" s="241"/>
      <c r="DG43" s="241"/>
      <c r="DH43" s="241"/>
      <c r="DI43" s="241"/>
      <c r="DJ43" s="241"/>
      <c r="DK43" s="241"/>
      <c r="DL43" s="241"/>
      <c r="DM43" s="241"/>
      <c r="DN43" s="241"/>
      <c r="DO43" s="241"/>
      <c r="DP43" s="241"/>
      <c r="DQ43" s="241"/>
      <c r="DR43" s="241"/>
      <c r="DS43" s="241"/>
      <c r="DT43" s="281"/>
      <c r="DU43" s="281"/>
    </row>
    <row r="44" spans="1:125" ht="15" customHeight="1">
      <c r="A44" s="334" t="s">
        <v>1176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6"/>
      <c r="AC44" s="276"/>
      <c r="AD44" s="276"/>
      <c r="AE44" s="276"/>
      <c r="AF44" s="276"/>
      <c r="AG44" s="276"/>
      <c r="AH44" s="276"/>
      <c r="AI44" s="276"/>
      <c r="AJ44" s="276"/>
      <c r="AK44" s="276"/>
      <c r="AL44" s="276"/>
      <c r="AM44" s="276"/>
      <c r="AN44" s="276"/>
      <c r="AO44" s="276"/>
      <c r="AP44" s="276"/>
      <c r="AQ44" s="276"/>
      <c r="AR44" s="276"/>
      <c r="AS44" s="276"/>
      <c r="AT44" s="276"/>
      <c r="AU44" s="276"/>
      <c r="AV44" s="276"/>
      <c r="AW44" s="276"/>
      <c r="AX44" s="276"/>
      <c r="AY44" s="276"/>
      <c r="AZ44" s="276"/>
      <c r="BA44" s="276"/>
      <c r="BB44" s="276"/>
      <c r="BC44" s="276"/>
      <c r="BD44" s="276"/>
      <c r="BE44" s="276"/>
      <c r="BF44" s="276"/>
      <c r="BG44" s="276"/>
      <c r="BH44" s="276"/>
      <c r="BI44" s="276"/>
      <c r="BJ44" s="276"/>
      <c r="BK44" s="276" t="s">
        <v>1142</v>
      </c>
      <c r="BL44" s="276"/>
      <c r="BM44" s="276"/>
      <c r="BN44" s="276"/>
      <c r="BO44" s="276"/>
      <c r="BP44" s="276"/>
      <c r="BQ44" s="276"/>
      <c r="BR44" s="276"/>
      <c r="BS44" s="276"/>
      <c r="BT44" s="276"/>
      <c r="BU44" s="276"/>
      <c r="BV44" s="276"/>
      <c r="BW44" s="276"/>
      <c r="BX44" s="276"/>
      <c r="BY44" s="276"/>
      <c r="BZ44" s="277"/>
      <c r="CA44" s="277"/>
      <c r="CB44" s="277"/>
      <c r="CC44" s="277"/>
      <c r="CD44" s="277"/>
      <c r="CE44" s="278"/>
      <c r="CF44" s="278"/>
      <c r="CG44" s="278"/>
      <c r="CH44" s="278"/>
      <c r="CI44" s="278"/>
      <c r="CJ44" s="278"/>
      <c r="CK44" s="278"/>
      <c r="CL44" s="278"/>
      <c r="CM44" s="278"/>
      <c r="CN44" s="278"/>
      <c r="CO44" s="278"/>
      <c r="CP44" s="278"/>
      <c r="CQ44" s="278"/>
      <c r="CR44" s="278"/>
      <c r="CS44" s="278"/>
      <c r="CT44" s="278"/>
      <c r="CU44" s="278"/>
      <c r="CV44" s="241"/>
      <c r="CW44" s="241"/>
      <c r="CX44" s="241"/>
      <c r="CY44" s="241"/>
      <c r="CZ44" s="241"/>
      <c r="DA44" s="241"/>
      <c r="DB44" s="241"/>
      <c r="DC44" s="241"/>
      <c r="DD44" s="241"/>
      <c r="DE44" s="241"/>
      <c r="DF44" s="241"/>
      <c r="DG44" s="241"/>
      <c r="DH44" s="241"/>
      <c r="DI44" s="241"/>
      <c r="DJ44" s="241"/>
      <c r="DK44" s="241"/>
      <c r="DL44" s="241"/>
      <c r="DM44" s="241"/>
      <c r="DN44" s="241"/>
      <c r="DO44" s="241"/>
      <c r="DP44" s="241"/>
      <c r="DQ44" s="241"/>
      <c r="DR44" s="241"/>
      <c r="DS44" s="241"/>
      <c r="DT44" s="281"/>
      <c r="DU44" s="281"/>
    </row>
    <row r="45" spans="1:125" ht="15" customHeight="1">
      <c r="A45" s="334" t="s">
        <v>1148</v>
      </c>
      <c r="B45" s="276"/>
      <c r="C45" s="276"/>
      <c r="D45" s="276"/>
      <c r="E45" s="276"/>
      <c r="F45" s="276"/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  <c r="AA45" s="276"/>
      <c r="AB45" s="276"/>
      <c r="AC45" s="276"/>
      <c r="AD45" s="276"/>
      <c r="AE45" s="276"/>
      <c r="AF45" s="276"/>
      <c r="AG45" s="276"/>
      <c r="AH45" s="276"/>
      <c r="AI45" s="276"/>
      <c r="AJ45" s="276"/>
      <c r="AK45" s="276"/>
      <c r="AL45" s="276"/>
      <c r="AM45" s="276"/>
      <c r="AN45" s="276"/>
      <c r="AO45" s="276"/>
      <c r="AP45" s="276"/>
      <c r="AQ45" s="276"/>
      <c r="AR45" s="276"/>
      <c r="AS45" s="276"/>
      <c r="AT45" s="276"/>
      <c r="AU45" s="276"/>
      <c r="AV45" s="276"/>
      <c r="AW45" s="276"/>
      <c r="AX45" s="276"/>
      <c r="AY45" s="276"/>
      <c r="AZ45" s="276"/>
      <c r="BA45" s="276"/>
      <c r="BB45" s="276"/>
      <c r="BC45" s="276"/>
      <c r="BD45" s="276"/>
      <c r="BE45" s="276"/>
      <c r="BF45" s="276"/>
      <c r="BG45" s="276"/>
      <c r="BH45" s="276"/>
      <c r="BI45" s="276" t="s">
        <v>1142</v>
      </c>
      <c r="BJ45" s="276"/>
      <c r="BK45" s="276"/>
      <c r="BL45" s="276"/>
      <c r="BM45" s="276"/>
      <c r="BN45" s="276"/>
      <c r="BO45" s="276"/>
      <c r="BP45" s="276"/>
      <c r="BQ45" s="276"/>
      <c r="BR45" s="276"/>
      <c r="BS45" s="276"/>
      <c r="BT45" s="276"/>
      <c r="BU45" s="276"/>
      <c r="BV45" s="276"/>
      <c r="BW45" s="276"/>
      <c r="BX45" s="276"/>
      <c r="BY45" s="276"/>
      <c r="BZ45" s="277"/>
      <c r="CA45" s="277"/>
      <c r="CB45" s="277"/>
      <c r="CC45" s="277"/>
      <c r="CD45" s="277"/>
      <c r="CE45" s="278"/>
      <c r="CF45" s="278"/>
      <c r="CG45" s="278"/>
      <c r="CH45" s="278"/>
      <c r="CI45" s="278"/>
      <c r="CJ45" s="278"/>
      <c r="CK45" s="278"/>
      <c r="CL45" s="278"/>
      <c r="CM45" s="278"/>
      <c r="CN45" s="278"/>
      <c r="CO45" s="278"/>
      <c r="CP45" s="278"/>
      <c r="CQ45" s="278"/>
      <c r="CR45" s="278"/>
      <c r="CS45" s="278"/>
      <c r="CT45" s="278"/>
      <c r="CU45" s="278"/>
      <c r="CV45" s="241"/>
      <c r="CW45" s="241"/>
      <c r="CX45" s="241"/>
      <c r="CY45" s="241"/>
      <c r="CZ45" s="241"/>
      <c r="DA45" s="241"/>
      <c r="DB45" s="241"/>
      <c r="DC45" s="241"/>
      <c r="DD45" s="241"/>
      <c r="DE45" s="241"/>
      <c r="DF45" s="241"/>
      <c r="DG45" s="241"/>
      <c r="DH45" s="241"/>
      <c r="DI45" s="241"/>
      <c r="DJ45" s="241"/>
      <c r="DK45" s="241"/>
      <c r="DL45" s="241"/>
      <c r="DM45" s="241"/>
      <c r="DN45" s="241"/>
      <c r="DO45" s="241"/>
      <c r="DP45" s="241"/>
      <c r="DQ45" s="241"/>
      <c r="DR45" s="241"/>
      <c r="DS45" s="241"/>
      <c r="DT45" s="281"/>
      <c r="DU45" s="281"/>
    </row>
    <row r="46" spans="1:125" ht="15" customHeight="1">
      <c r="A46" s="334" t="s">
        <v>1177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  <c r="AA46" s="276"/>
      <c r="AB46" s="276"/>
      <c r="AC46" s="276"/>
      <c r="AD46" s="276"/>
      <c r="AE46" s="276"/>
      <c r="AF46" s="276"/>
      <c r="AG46" s="276"/>
      <c r="AH46" s="276"/>
      <c r="AI46" s="276"/>
      <c r="AJ46" s="276"/>
      <c r="AK46" s="276"/>
      <c r="AL46" s="276"/>
      <c r="AM46" s="276"/>
      <c r="AN46" s="276"/>
      <c r="AO46" s="276"/>
      <c r="AP46" s="276"/>
      <c r="AQ46" s="276"/>
      <c r="AR46" s="276"/>
      <c r="AS46" s="276"/>
      <c r="AT46" s="276"/>
      <c r="AU46" s="276"/>
      <c r="AV46" s="276"/>
      <c r="AW46" s="276"/>
      <c r="AX46" s="276"/>
      <c r="AY46" s="276"/>
      <c r="AZ46" s="276"/>
      <c r="BA46" s="276"/>
      <c r="BB46" s="276"/>
      <c r="BC46" s="276"/>
      <c r="BD46" s="276"/>
      <c r="BE46" s="276"/>
      <c r="BF46" s="276"/>
      <c r="BG46" s="276"/>
      <c r="BH46" s="276"/>
      <c r="BI46" s="276"/>
      <c r="BJ46" s="276" t="s">
        <v>1142</v>
      </c>
      <c r="BK46" s="276"/>
      <c r="BL46" s="276"/>
      <c r="BM46" s="276"/>
      <c r="BN46" s="276"/>
      <c r="BO46" s="276"/>
      <c r="BP46" s="276"/>
      <c r="BQ46" s="276"/>
      <c r="BR46" s="276"/>
      <c r="BS46" s="276"/>
      <c r="BT46" s="276"/>
      <c r="BU46" s="276"/>
      <c r="BV46" s="276"/>
      <c r="BW46" s="276"/>
      <c r="BX46" s="276"/>
      <c r="BY46" s="276"/>
      <c r="BZ46" s="277"/>
      <c r="CA46" s="277"/>
      <c r="CB46" s="277"/>
      <c r="CC46" s="277"/>
      <c r="CD46" s="277"/>
      <c r="CE46" s="278"/>
      <c r="CF46" s="278"/>
      <c r="CG46" s="278"/>
      <c r="CH46" s="278"/>
      <c r="CI46" s="278"/>
      <c r="CJ46" s="278"/>
      <c r="CK46" s="278"/>
      <c r="CL46" s="278"/>
      <c r="CM46" s="278"/>
      <c r="CN46" s="278"/>
      <c r="CO46" s="278"/>
      <c r="CP46" s="278"/>
      <c r="CQ46" s="278"/>
      <c r="CR46" s="278"/>
      <c r="CS46" s="278"/>
      <c r="CT46" s="278"/>
      <c r="CU46" s="278"/>
      <c r="CV46" s="241"/>
      <c r="CW46" s="241"/>
      <c r="CX46" s="241"/>
      <c r="CY46" s="241"/>
      <c r="CZ46" s="241"/>
      <c r="DA46" s="241"/>
      <c r="DB46" s="241"/>
      <c r="DC46" s="241"/>
      <c r="DD46" s="241"/>
      <c r="DE46" s="241"/>
      <c r="DF46" s="241"/>
      <c r="DG46" s="241"/>
      <c r="DH46" s="241"/>
      <c r="DI46" s="241"/>
      <c r="DJ46" s="241"/>
      <c r="DK46" s="241"/>
      <c r="DL46" s="241"/>
      <c r="DM46" s="241"/>
      <c r="DN46" s="241"/>
      <c r="DO46" s="241"/>
      <c r="DP46" s="241"/>
      <c r="DQ46" s="241"/>
      <c r="DR46" s="241"/>
      <c r="DS46" s="241"/>
      <c r="DT46" s="281"/>
      <c r="DU46" s="281"/>
    </row>
    <row r="47" spans="1:125" ht="15" customHeight="1">
      <c r="A47" s="334" t="s">
        <v>1178</v>
      </c>
      <c r="B47" s="276"/>
      <c r="C47" s="276"/>
      <c r="D47" s="276"/>
      <c r="E47" s="276"/>
      <c r="F47" s="276"/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  <c r="AA47" s="276"/>
      <c r="AB47" s="276"/>
      <c r="AC47" s="276"/>
      <c r="AD47" s="276"/>
      <c r="AE47" s="276"/>
      <c r="AF47" s="276"/>
      <c r="AG47" s="276"/>
      <c r="AH47" s="276"/>
      <c r="AI47" s="276"/>
      <c r="AJ47" s="276"/>
      <c r="AK47" s="276"/>
      <c r="AL47" s="276"/>
      <c r="AM47" s="276"/>
      <c r="AN47" s="276"/>
      <c r="AO47" s="276"/>
      <c r="AP47" s="276"/>
      <c r="AQ47" s="276"/>
      <c r="AR47" s="276"/>
      <c r="AS47" s="276"/>
      <c r="AT47" s="276"/>
      <c r="AU47" s="276"/>
      <c r="AV47" s="276"/>
      <c r="AW47" s="276"/>
      <c r="AX47" s="276"/>
      <c r="AY47" s="276"/>
      <c r="AZ47" s="276"/>
      <c r="BA47" s="276"/>
      <c r="BB47" s="276"/>
      <c r="BC47" s="276"/>
      <c r="BD47" s="276"/>
      <c r="BE47" s="276"/>
      <c r="BF47" s="276"/>
      <c r="BG47" s="276"/>
      <c r="BH47" s="276"/>
      <c r="BI47" s="276"/>
      <c r="BJ47" s="276"/>
      <c r="BK47" s="276"/>
      <c r="BL47" s="276" t="s">
        <v>1142</v>
      </c>
      <c r="BM47" s="276"/>
      <c r="BN47" s="276"/>
      <c r="BO47" s="276"/>
      <c r="BP47" s="276"/>
      <c r="BQ47" s="276"/>
      <c r="BR47" s="276"/>
      <c r="BS47" s="276"/>
      <c r="BT47" s="276"/>
      <c r="BU47" s="276"/>
      <c r="BV47" s="276"/>
      <c r="BW47" s="276"/>
      <c r="BX47" s="276"/>
      <c r="BY47" s="276"/>
      <c r="BZ47" s="277"/>
      <c r="CA47" s="277"/>
      <c r="CB47" s="277"/>
      <c r="CC47" s="277"/>
      <c r="CD47" s="277"/>
      <c r="CE47" s="278"/>
      <c r="CF47" s="278"/>
      <c r="CG47" s="278"/>
      <c r="CH47" s="278"/>
      <c r="CI47" s="278"/>
      <c r="CJ47" s="278"/>
      <c r="CK47" s="278"/>
      <c r="CL47" s="278"/>
      <c r="CM47" s="278"/>
      <c r="CN47" s="278"/>
      <c r="CO47" s="278"/>
      <c r="CP47" s="278"/>
      <c r="CQ47" s="278"/>
      <c r="CR47" s="278"/>
      <c r="CS47" s="278"/>
      <c r="CT47" s="278"/>
      <c r="CU47" s="278"/>
      <c r="CV47" s="241"/>
      <c r="CW47" s="241"/>
      <c r="CX47" s="241"/>
      <c r="CY47" s="241"/>
      <c r="CZ47" s="241"/>
      <c r="DA47" s="241"/>
      <c r="DB47" s="241"/>
      <c r="DC47" s="241"/>
      <c r="DD47" s="241"/>
      <c r="DE47" s="241"/>
      <c r="DF47" s="241"/>
      <c r="DG47" s="241"/>
      <c r="DH47" s="241"/>
      <c r="DI47" s="241"/>
      <c r="DJ47" s="241"/>
      <c r="DK47" s="241"/>
      <c r="DL47" s="241"/>
      <c r="DM47" s="241"/>
      <c r="DN47" s="241"/>
      <c r="DO47" s="241"/>
      <c r="DP47" s="241"/>
      <c r="DQ47" s="241"/>
      <c r="DR47" s="241"/>
      <c r="DS47" s="241"/>
      <c r="DT47" s="281"/>
      <c r="DU47" s="281"/>
    </row>
    <row r="48" spans="1:125" ht="15" customHeight="1">
      <c r="A48" s="334" t="s">
        <v>1179</v>
      </c>
      <c r="B48" s="276"/>
      <c r="C48" s="276"/>
      <c r="D48" s="276"/>
      <c r="E48" s="276"/>
      <c r="F48" s="276"/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  <c r="AA48" s="276"/>
      <c r="AB48" s="276"/>
      <c r="AC48" s="276"/>
      <c r="AD48" s="276"/>
      <c r="AE48" s="276"/>
      <c r="AF48" s="276"/>
      <c r="AG48" s="276"/>
      <c r="AH48" s="276"/>
      <c r="AI48" s="276"/>
      <c r="AJ48" s="276"/>
      <c r="AK48" s="276"/>
      <c r="AL48" s="276"/>
      <c r="AM48" s="276"/>
      <c r="AN48" s="276"/>
      <c r="AO48" s="276"/>
      <c r="AP48" s="276"/>
      <c r="AQ48" s="276"/>
      <c r="AR48" s="276"/>
      <c r="AS48" s="276"/>
      <c r="AT48" s="276"/>
      <c r="AU48" s="276"/>
      <c r="AV48" s="276"/>
      <c r="AW48" s="276"/>
      <c r="AX48" s="276"/>
      <c r="AY48" s="276"/>
      <c r="AZ48" s="276"/>
      <c r="BA48" s="276"/>
      <c r="BB48" s="276"/>
      <c r="BC48" s="276"/>
      <c r="BD48" s="276"/>
      <c r="BE48" s="276"/>
      <c r="BF48" s="276"/>
      <c r="BG48" s="276"/>
      <c r="BH48" s="276"/>
      <c r="BI48" s="276"/>
      <c r="BJ48" s="276"/>
      <c r="BK48" s="276"/>
      <c r="BL48" s="276"/>
      <c r="BM48" s="276" t="s">
        <v>1142</v>
      </c>
      <c r="BN48" s="276"/>
      <c r="BO48" s="276"/>
      <c r="BP48" s="276"/>
      <c r="BQ48" s="276"/>
      <c r="BR48" s="276"/>
      <c r="BS48" s="276"/>
      <c r="BT48" s="276"/>
      <c r="BU48" s="276"/>
      <c r="BV48" s="276"/>
      <c r="BW48" s="276"/>
      <c r="BX48" s="276"/>
      <c r="BY48" s="276"/>
      <c r="BZ48" s="277"/>
      <c r="CA48" s="277"/>
      <c r="CB48" s="277"/>
      <c r="CC48" s="277"/>
      <c r="CD48" s="277"/>
      <c r="CE48" s="278"/>
      <c r="CF48" s="278"/>
      <c r="CG48" s="278"/>
      <c r="CH48" s="278"/>
      <c r="CI48" s="278"/>
      <c r="CJ48" s="278"/>
      <c r="CK48" s="278"/>
      <c r="CL48" s="278"/>
      <c r="CM48" s="278"/>
      <c r="CN48" s="278"/>
      <c r="CO48" s="278"/>
      <c r="CP48" s="278"/>
      <c r="CQ48" s="278"/>
      <c r="CR48" s="278"/>
      <c r="CS48" s="278"/>
      <c r="CT48" s="278"/>
      <c r="CU48" s="278"/>
      <c r="CV48" s="241"/>
      <c r="CW48" s="241"/>
      <c r="CX48" s="241"/>
      <c r="CY48" s="241"/>
      <c r="CZ48" s="241"/>
      <c r="DA48" s="241"/>
      <c r="DB48" s="241"/>
      <c r="DC48" s="241"/>
      <c r="DD48" s="241"/>
      <c r="DE48" s="241"/>
      <c r="DF48" s="241"/>
      <c r="DG48" s="241"/>
      <c r="DH48" s="241"/>
      <c r="DI48" s="241"/>
      <c r="DJ48" s="241"/>
      <c r="DK48" s="241"/>
      <c r="DL48" s="241"/>
      <c r="DM48" s="241"/>
      <c r="DN48" s="241"/>
      <c r="DO48" s="241"/>
      <c r="DP48" s="241"/>
      <c r="DQ48" s="241"/>
      <c r="DR48" s="241"/>
      <c r="DS48" s="241"/>
      <c r="DT48" s="281"/>
      <c r="DU48" s="281"/>
    </row>
    <row r="49" spans="1:125" ht="15" customHeight="1">
      <c r="A49" s="334" t="s">
        <v>1155</v>
      </c>
      <c r="B49" s="276"/>
      <c r="C49" s="276"/>
      <c r="D49" s="276"/>
      <c r="E49" s="276"/>
      <c r="F49" s="276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  <c r="AA49" s="276"/>
      <c r="AB49" s="276"/>
      <c r="AC49" s="276"/>
      <c r="AD49" s="276"/>
      <c r="AE49" s="276"/>
      <c r="AF49" s="276"/>
      <c r="AG49" s="276"/>
      <c r="AH49" s="276"/>
      <c r="AI49" s="276"/>
      <c r="AJ49" s="276"/>
      <c r="AK49" s="276"/>
      <c r="AL49" s="276"/>
      <c r="AM49" s="276"/>
      <c r="AN49" s="276"/>
      <c r="AO49" s="276"/>
      <c r="AP49" s="276"/>
      <c r="AQ49" s="276"/>
      <c r="AR49" s="276"/>
      <c r="AS49" s="276"/>
      <c r="AT49" s="276"/>
      <c r="AU49" s="276"/>
      <c r="AV49" s="276"/>
      <c r="AW49" s="276"/>
      <c r="AX49" s="276"/>
      <c r="AY49" s="276"/>
      <c r="AZ49" s="276"/>
      <c r="BA49" s="276"/>
      <c r="BB49" s="276"/>
      <c r="BC49" s="276"/>
      <c r="BD49" s="276"/>
      <c r="BE49" s="276"/>
      <c r="BF49" s="276"/>
      <c r="BG49" s="276"/>
      <c r="BH49" s="276"/>
      <c r="BI49" s="276"/>
      <c r="BJ49" s="276"/>
      <c r="BK49" s="276"/>
      <c r="BL49" s="276"/>
      <c r="BM49" s="276"/>
      <c r="BN49" s="276" t="s">
        <v>1142</v>
      </c>
      <c r="BO49" s="276"/>
      <c r="BP49" s="276"/>
      <c r="BQ49" s="276"/>
      <c r="BR49" s="276"/>
      <c r="BS49" s="276"/>
      <c r="BT49" s="276"/>
      <c r="BU49" s="276"/>
      <c r="BV49" s="276"/>
      <c r="BW49" s="276"/>
      <c r="BX49" s="276"/>
      <c r="BY49" s="276"/>
      <c r="BZ49" s="277"/>
      <c r="CA49" s="277"/>
      <c r="CB49" s="277"/>
      <c r="CC49" s="277"/>
      <c r="CD49" s="277"/>
      <c r="CE49" s="278"/>
      <c r="CF49" s="278"/>
      <c r="CG49" s="278"/>
      <c r="CH49" s="278"/>
      <c r="CI49" s="278"/>
      <c r="CJ49" s="278"/>
      <c r="CK49" s="278"/>
      <c r="CL49" s="278"/>
      <c r="CM49" s="278"/>
      <c r="CN49" s="278"/>
      <c r="CO49" s="278"/>
      <c r="CP49" s="278"/>
      <c r="CQ49" s="278"/>
      <c r="CR49" s="278"/>
      <c r="CS49" s="278"/>
      <c r="CT49" s="278"/>
      <c r="CU49" s="278"/>
      <c r="CV49" s="241"/>
      <c r="CW49" s="241"/>
      <c r="CX49" s="241"/>
      <c r="CY49" s="241"/>
      <c r="CZ49" s="241"/>
      <c r="DA49" s="241"/>
      <c r="DB49" s="241"/>
      <c r="DC49" s="241"/>
      <c r="DD49" s="241"/>
      <c r="DE49" s="241"/>
      <c r="DF49" s="241"/>
      <c r="DG49" s="241"/>
      <c r="DH49" s="241"/>
      <c r="DI49" s="241"/>
      <c r="DJ49" s="241"/>
      <c r="DK49" s="241"/>
      <c r="DL49" s="241"/>
      <c r="DM49" s="241"/>
      <c r="DN49" s="241"/>
      <c r="DO49" s="241"/>
      <c r="DP49" s="241"/>
      <c r="DQ49" s="241"/>
      <c r="DR49" s="241"/>
      <c r="DS49" s="241"/>
      <c r="DT49" s="281"/>
      <c r="DU49" s="281"/>
    </row>
    <row r="50" spans="1:125" ht="15" customHeight="1">
      <c r="A50" s="334" t="s">
        <v>1151</v>
      </c>
      <c r="B50" s="276"/>
      <c r="C50" s="276"/>
      <c r="D50" s="276"/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  <c r="AG50" s="276"/>
      <c r="AH50" s="276"/>
      <c r="AI50" s="276"/>
      <c r="AJ50" s="276"/>
      <c r="AK50" s="276"/>
      <c r="AL50" s="276"/>
      <c r="AM50" s="276"/>
      <c r="AN50" s="276"/>
      <c r="AO50" s="276"/>
      <c r="AP50" s="276"/>
      <c r="AQ50" s="276"/>
      <c r="AR50" s="276"/>
      <c r="AS50" s="276"/>
      <c r="AT50" s="276"/>
      <c r="AU50" s="276"/>
      <c r="AV50" s="276"/>
      <c r="AW50" s="276"/>
      <c r="AX50" s="276"/>
      <c r="AY50" s="276"/>
      <c r="AZ50" s="276"/>
      <c r="BA50" s="276"/>
      <c r="BB50" s="276"/>
      <c r="BC50" s="276"/>
      <c r="BD50" s="276"/>
      <c r="BE50" s="276"/>
      <c r="BF50" s="276"/>
      <c r="BG50" s="276"/>
      <c r="BH50" s="276"/>
      <c r="BI50" s="276"/>
      <c r="BJ50" s="276"/>
      <c r="BK50" s="276"/>
      <c r="BL50" s="276"/>
      <c r="BM50" s="276"/>
      <c r="BN50" s="276"/>
      <c r="BO50" s="276"/>
      <c r="BP50" s="276"/>
      <c r="BQ50" s="276" t="s">
        <v>1142</v>
      </c>
      <c r="BR50" s="276"/>
      <c r="BS50" s="276"/>
      <c r="BT50" s="276"/>
      <c r="BU50" s="276"/>
      <c r="BV50" s="276"/>
      <c r="BW50" s="276"/>
      <c r="BX50" s="276"/>
      <c r="BY50" s="276"/>
      <c r="BZ50" s="277"/>
      <c r="CA50" s="277"/>
      <c r="CB50" s="277"/>
      <c r="CC50" s="277"/>
      <c r="CD50" s="277"/>
      <c r="CE50" s="278"/>
      <c r="CF50" s="278"/>
      <c r="CG50" s="278"/>
      <c r="CH50" s="278"/>
      <c r="CI50" s="278"/>
      <c r="CJ50" s="278"/>
      <c r="CK50" s="278"/>
      <c r="CL50" s="278"/>
      <c r="CM50" s="278"/>
      <c r="CN50" s="278"/>
      <c r="CO50" s="278"/>
      <c r="CP50" s="278"/>
      <c r="CQ50" s="278"/>
      <c r="CR50" s="278"/>
      <c r="CS50" s="278"/>
      <c r="CT50" s="278"/>
      <c r="CU50" s="278"/>
      <c r="CV50" s="241"/>
      <c r="CW50" s="241"/>
      <c r="CX50" s="241"/>
      <c r="CY50" s="241"/>
      <c r="CZ50" s="241"/>
      <c r="DA50" s="241"/>
      <c r="DB50" s="241"/>
      <c r="DC50" s="241"/>
      <c r="DD50" s="241"/>
      <c r="DE50" s="241"/>
      <c r="DF50" s="241"/>
      <c r="DG50" s="241"/>
      <c r="DH50" s="241"/>
      <c r="DI50" s="241"/>
      <c r="DJ50" s="241"/>
      <c r="DK50" s="241"/>
      <c r="DL50" s="241"/>
      <c r="DM50" s="241"/>
      <c r="DN50" s="241"/>
      <c r="DO50" s="241"/>
      <c r="DP50" s="241"/>
      <c r="DQ50" s="241"/>
      <c r="DR50" s="241"/>
      <c r="DS50" s="241"/>
      <c r="DT50" s="281"/>
      <c r="DU50" s="281"/>
    </row>
    <row r="51" spans="1:125" ht="15" customHeight="1">
      <c r="A51" s="334" t="s">
        <v>1154</v>
      </c>
      <c r="B51" s="276"/>
      <c r="C51" s="276"/>
      <c r="D51" s="276"/>
      <c r="E51" s="276"/>
      <c r="F51" s="276"/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  <c r="AA51" s="276"/>
      <c r="AB51" s="276"/>
      <c r="AC51" s="276"/>
      <c r="AD51" s="276"/>
      <c r="AE51" s="276"/>
      <c r="AF51" s="276"/>
      <c r="AG51" s="276"/>
      <c r="AH51" s="276"/>
      <c r="AI51" s="276"/>
      <c r="AJ51" s="276"/>
      <c r="AK51" s="276"/>
      <c r="AL51" s="276"/>
      <c r="AM51" s="276"/>
      <c r="AN51" s="276"/>
      <c r="AO51" s="276"/>
      <c r="AP51" s="276"/>
      <c r="AQ51" s="276"/>
      <c r="AR51" s="276"/>
      <c r="AS51" s="276"/>
      <c r="AT51" s="276"/>
      <c r="AU51" s="276"/>
      <c r="AV51" s="276"/>
      <c r="AW51" s="276"/>
      <c r="AX51" s="276"/>
      <c r="AY51" s="276"/>
      <c r="AZ51" s="276"/>
      <c r="BA51" s="276"/>
      <c r="BB51" s="276"/>
      <c r="BC51" s="276"/>
      <c r="BD51" s="276"/>
      <c r="BE51" s="276"/>
      <c r="BF51" s="276"/>
      <c r="BG51" s="276"/>
      <c r="BH51" s="276"/>
      <c r="BI51" s="276"/>
      <c r="BJ51" s="276"/>
      <c r="BK51" s="276"/>
      <c r="BL51" s="276"/>
      <c r="BM51" s="276"/>
      <c r="BN51" s="276"/>
      <c r="BO51" s="276"/>
      <c r="BP51" s="276"/>
      <c r="BQ51" s="276"/>
      <c r="BR51" s="276" t="s">
        <v>1142</v>
      </c>
      <c r="BS51" s="276"/>
      <c r="BT51" s="276"/>
      <c r="BU51" s="276"/>
      <c r="BV51" s="276"/>
      <c r="BW51" s="276"/>
      <c r="BX51" s="276"/>
      <c r="BY51" s="276"/>
      <c r="BZ51" s="277"/>
      <c r="CA51" s="277"/>
      <c r="CB51" s="277"/>
      <c r="CC51" s="277"/>
      <c r="CD51" s="277"/>
      <c r="CE51" s="278"/>
      <c r="CF51" s="278"/>
      <c r="CG51" s="278"/>
      <c r="CH51" s="278"/>
      <c r="CI51" s="278"/>
      <c r="CJ51" s="278"/>
      <c r="CK51" s="278"/>
      <c r="CL51" s="278"/>
      <c r="CM51" s="278"/>
      <c r="CN51" s="278"/>
      <c r="CO51" s="278"/>
      <c r="CP51" s="278"/>
      <c r="CQ51" s="278"/>
      <c r="CR51" s="278"/>
      <c r="CS51" s="278"/>
      <c r="CT51" s="278"/>
      <c r="CU51" s="278"/>
      <c r="CV51" s="241"/>
      <c r="CW51" s="241"/>
      <c r="CX51" s="241"/>
      <c r="CY51" s="241"/>
      <c r="CZ51" s="241"/>
      <c r="DA51" s="241"/>
      <c r="DB51" s="241"/>
      <c r="DC51" s="241"/>
      <c r="DD51" s="241"/>
      <c r="DE51" s="241"/>
      <c r="DF51" s="241"/>
      <c r="DG51" s="241"/>
      <c r="DH51" s="241"/>
      <c r="DI51" s="241"/>
      <c r="DJ51" s="241"/>
      <c r="DK51" s="241"/>
      <c r="DL51" s="241"/>
      <c r="DM51" s="241"/>
      <c r="DN51" s="241"/>
      <c r="DO51" s="241"/>
      <c r="DP51" s="241"/>
      <c r="DQ51" s="241"/>
      <c r="DR51" s="241"/>
      <c r="DS51" s="241"/>
      <c r="DT51" s="281"/>
      <c r="DU51" s="281"/>
    </row>
    <row r="52" spans="1:125" ht="15" customHeight="1">
      <c r="A52" s="334" t="s">
        <v>1152</v>
      </c>
      <c r="B52" s="276"/>
      <c r="C52" s="276"/>
      <c r="D52" s="276"/>
      <c r="E52" s="276"/>
      <c r="F52" s="276"/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  <c r="AA52" s="276"/>
      <c r="AB52" s="276"/>
      <c r="AC52" s="276"/>
      <c r="AD52" s="276"/>
      <c r="AE52" s="276"/>
      <c r="AF52" s="276"/>
      <c r="AG52" s="276"/>
      <c r="AH52" s="276"/>
      <c r="AI52" s="276"/>
      <c r="AJ52" s="276"/>
      <c r="AK52" s="276"/>
      <c r="AL52" s="276"/>
      <c r="AM52" s="276"/>
      <c r="AN52" s="276"/>
      <c r="AO52" s="276"/>
      <c r="AP52" s="276"/>
      <c r="AQ52" s="276"/>
      <c r="AR52" s="276"/>
      <c r="AS52" s="276"/>
      <c r="AT52" s="276"/>
      <c r="AU52" s="276"/>
      <c r="AV52" s="276"/>
      <c r="AW52" s="276"/>
      <c r="AX52" s="276"/>
      <c r="AY52" s="276"/>
      <c r="AZ52" s="276"/>
      <c r="BA52" s="276"/>
      <c r="BB52" s="276"/>
      <c r="BC52" s="276"/>
      <c r="BD52" s="276"/>
      <c r="BE52" s="276"/>
      <c r="BF52" s="276"/>
      <c r="BG52" s="276"/>
      <c r="BH52" s="276"/>
      <c r="BI52" s="276"/>
      <c r="BJ52" s="276"/>
      <c r="BK52" s="276"/>
      <c r="BL52" s="276"/>
      <c r="BM52" s="276"/>
      <c r="BN52" s="276"/>
      <c r="BO52" s="276"/>
      <c r="BP52" s="276" t="s">
        <v>1142</v>
      </c>
      <c r="BQ52" s="276"/>
      <c r="BR52" s="276"/>
      <c r="BS52" s="276"/>
      <c r="BT52" s="276"/>
      <c r="BU52" s="276"/>
      <c r="BV52" s="276"/>
      <c r="BW52" s="276"/>
      <c r="BX52" s="276"/>
      <c r="BY52" s="276"/>
      <c r="BZ52" s="277"/>
      <c r="CA52" s="277"/>
      <c r="CB52" s="277"/>
      <c r="CC52" s="277"/>
      <c r="CD52" s="277"/>
      <c r="CE52" s="278"/>
      <c r="CF52" s="278"/>
      <c r="CG52" s="278"/>
      <c r="CH52" s="278"/>
      <c r="CI52" s="278"/>
      <c r="CJ52" s="278"/>
      <c r="CK52" s="278"/>
      <c r="CL52" s="278"/>
      <c r="CM52" s="278"/>
      <c r="CN52" s="278"/>
      <c r="CO52" s="278"/>
      <c r="CP52" s="278"/>
      <c r="CQ52" s="278"/>
      <c r="CR52" s="278"/>
      <c r="CS52" s="278"/>
      <c r="CT52" s="278"/>
      <c r="CU52" s="278"/>
      <c r="CV52" s="241"/>
      <c r="CW52" s="241"/>
      <c r="CX52" s="241"/>
      <c r="CY52" s="241"/>
      <c r="CZ52" s="241"/>
      <c r="DA52" s="241"/>
      <c r="DB52" s="241"/>
      <c r="DC52" s="241"/>
      <c r="DD52" s="241"/>
      <c r="DE52" s="241"/>
      <c r="DF52" s="241"/>
      <c r="DG52" s="241"/>
      <c r="DH52" s="241"/>
      <c r="DI52" s="241"/>
      <c r="DJ52" s="241"/>
      <c r="DK52" s="241"/>
      <c r="DL52" s="241"/>
      <c r="DM52" s="241"/>
      <c r="DN52" s="241"/>
      <c r="DO52" s="241"/>
      <c r="DP52" s="241"/>
      <c r="DQ52" s="241"/>
      <c r="DR52" s="241"/>
      <c r="DS52" s="241"/>
      <c r="DT52" s="281"/>
      <c r="DU52" s="281"/>
    </row>
    <row r="53" spans="1:125" ht="15" customHeight="1">
      <c r="A53" s="334" t="s">
        <v>1160</v>
      </c>
      <c r="B53" s="276"/>
      <c r="C53" s="276"/>
      <c r="D53" s="276"/>
      <c r="E53" s="276"/>
      <c r="F53" s="276"/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  <c r="AA53" s="276"/>
      <c r="AB53" s="276"/>
      <c r="AC53" s="276"/>
      <c r="AD53" s="276"/>
      <c r="AE53" s="276"/>
      <c r="AF53" s="276"/>
      <c r="AG53" s="276"/>
      <c r="AH53" s="276"/>
      <c r="AI53" s="276"/>
      <c r="AJ53" s="276"/>
      <c r="AK53" s="276"/>
      <c r="AL53" s="276"/>
      <c r="AM53" s="276"/>
      <c r="AN53" s="276"/>
      <c r="AO53" s="276"/>
      <c r="AP53" s="276"/>
      <c r="AQ53" s="276"/>
      <c r="AR53" s="276"/>
      <c r="AS53" s="276"/>
      <c r="AT53" s="276"/>
      <c r="AU53" s="276"/>
      <c r="AV53" s="276"/>
      <c r="AW53" s="276"/>
      <c r="AX53" s="276"/>
      <c r="AY53" s="276"/>
      <c r="AZ53" s="276"/>
      <c r="BA53" s="276"/>
      <c r="BB53" s="276"/>
      <c r="BC53" s="276"/>
      <c r="BD53" s="276"/>
      <c r="BE53" s="276"/>
      <c r="BF53" s="276"/>
      <c r="BG53" s="276"/>
      <c r="BH53" s="276"/>
      <c r="BI53" s="276"/>
      <c r="BJ53" s="276"/>
      <c r="BK53" s="276"/>
      <c r="BL53" s="276"/>
      <c r="BM53" s="276"/>
      <c r="BN53" s="276"/>
      <c r="BO53" s="276"/>
      <c r="BP53" s="276"/>
      <c r="BQ53" s="276"/>
      <c r="BR53" s="276"/>
      <c r="BS53" s="276" t="s">
        <v>1142</v>
      </c>
      <c r="BT53" s="276"/>
      <c r="BU53" s="276"/>
      <c r="BV53" s="276"/>
      <c r="BW53" s="276"/>
      <c r="BX53" s="276"/>
      <c r="BY53" s="276"/>
      <c r="BZ53" s="277"/>
      <c r="CA53" s="277"/>
      <c r="CB53" s="277"/>
      <c r="CC53" s="277"/>
      <c r="CD53" s="277"/>
      <c r="CE53" s="278"/>
      <c r="CF53" s="278"/>
      <c r="CG53" s="278"/>
      <c r="CH53" s="278"/>
      <c r="CI53" s="278"/>
      <c r="CJ53" s="278"/>
      <c r="CK53" s="278"/>
      <c r="CL53" s="278"/>
      <c r="CM53" s="278"/>
      <c r="CN53" s="278"/>
      <c r="CO53" s="278"/>
      <c r="CP53" s="278"/>
      <c r="CQ53" s="278"/>
      <c r="CR53" s="278"/>
      <c r="CS53" s="278"/>
      <c r="CT53" s="278"/>
      <c r="CU53" s="278"/>
      <c r="CV53" s="241"/>
      <c r="CW53" s="241"/>
      <c r="CX53" s="241"/>
      <c r="CY53" s="241"/>
      <c r="CZ53" s="241"/>
      <c r="DA53" s="241"/>
      <c r="DB53" s="241"/>
      <c r="DC53" s="241"/>
      <c r="DD53" s="241"/>
      <c r="DE53" s="241"/>
      <c r="DF53" s="241"/>
      <c r="DG53" s="241"/>
      <c r="DH53" s="241"/>
      <c r="DI53" s="241"/>
      <c r="DJ53" s="241"/>
      <c r="DK53" s="241"/>
      <c r="DL53" s="241"/>
      <c r="DM53" s="241"/>
      <c r="DN53" s="241"/>
      <c r="DO53" s="241"/>
      <c r="DP53" s="241"/>
      <c r="DQ53" s="241"/>
      <c r="DR53" s="241"/>
      <c r="DS53" s="241"/>
      <c r="DT53" s="281"/>
      <c r="DU53" s="281"/>
    </row>
    <row r="54" spans="1:125" ht="15" customHeight="1">
      <c r="A54" s="334" t="s">
        <v>1180</v>
      </c>
      <c r="B54" s="276"/>
      <c r="C54" s="276"/>
      <c r="D54" s="276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  <c r="AO54" s="276"/>
      <c r="AP54" s="276"/>
      <c r="AQ54" s="276"/>
      <c r="AR54" s="276"/>
      <c r="AS54" s="276"/>
      <c r="AT54" s="276"/>
      <c r="AU54" s="276"/>
      <c r="AV54" s="276"/>
      <c r="AW54" s="276"/>
      <c r="AX54" s="276"/>
      <c r="AY54" s="276"/>
      <c r="AZ54" s="276"/>
      <c r="BA54" s="276"/>
      <c r="BB54" s="276"/>
      <c r="BC54" s="276"/>
      <c r="BD54" s="276"/>
      <c r="BE54" s="276"/>
      <c r="BF54" s="276"/>
      <c r="BG54" s="276"/>
      <c r="BH54" s="276"/>
      <c r="BI54" s="276"/>
      <c r="BJ54" s="276"/>
      <c r="BK54" s="276"/>
      <c r="BL54" s="276"/>
      <c r="BM54" s="276"/>
      <c r="BN54" s="276"/>
      <c r="BO54" s="276"/>
      <c r="BP54" s="276"/>
      <c r="BQ54" s="276"/>
      <c r="BR54" s="276"/>
      <c r="BS54" s="276"/>
      <c r="BT54" s="276" t="s">
        <v>1142</v>
      </c>
      <c r="BU54" s="276"/>
      <c r="BV54" s="276"/>
      <c r="BW54" s="276"/>
      <c r="BX54" s="276"/>
      <c r="BY54" s="276"/>
      <c r="BZ54" s="277"/>
      <c r="CA54" s="277"/>
      <c r="CB54" s="277"/>
      <c r="CC54" s="277"/>
      <c r="CD54" s="277"/>
      <c r="CE54" s="278"/>
      <c r="CF54" s="278"/>
      <c r="CG54" s="278"/>
      <c r="CH54" s="278"/>
      <c r="CI54" s="278"/>
      <c r="CJ54" s="278"/>
      <c r="CK54" s="278"/>
      <c r="CL54" s="278"/>
      <c r="CM54" s="278"/>
      <c r="CN54" s="278"/>
      <c r="CO54" s="278"/>
      <c r="CP54" s="278"/>
      <c r="CQ54" s="278"/>
      <c r="CR54" s="278"/>
      <c r="CS54" s="278"/>
      <c r="CT54" s="278"/>
      <c r="CU54" s="278"/>
      <c r="CV54" s="241"/>
      <c r="CW54" s="241"/>
      <c r="CX54" s="241"/>
      <c r="CY54" s="241"/>
      <c r="CZ54" s="241"/>
      <c r="DA54" s="241"/>
      <c r="DB54" s="241"/>
      <c r="DC54" s="241"/>
      <c r="DD54" s="241"/>
      <c r="DE54" s="241"/>
      <c r="DF54" s="241"/>
      <c r="DG54" s="241"/>
      <c r="DH54" s="241"/>
      <c r="DI54" s="241"/>
      <c r="DJ54" s="241"/>
      <c r="DK54" s="241"/>
      <c r="DL54" s="241"/>
      <c r="DM54" s="241"/>
      <c r="DN54" s="241"/>
      <c r="DO54" s="241"/>
      <c r="DP54" s="241"/>
      <c r="DQ54" s="241"/>
      <c r="DR54" s="241"/>
      <c r="DS54" s="241"/>
      <c r="DT54" s="281"/>
      <c r="DU54" s="281"/>
    </row>
    <row r="55" spans="1:125" ht="15" customHeight="1">
      <c r="A55" s="334" t="s">
        <v>1181</v>
      </c>
      <c r="B55" s="276"/>
      <c r="C55" s="276"/>
      <c r="D55" s="276"/>
      <c r="E55" s="276"/>
      <c r="F55" s="276"/>
      <c r="G55" s="276"/>
      <c r="H55" s="276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Y55" s="276"/>
      <c r="Z55" s="276"/>
      <c r="AA55" s="276"/>
      <c r="AB55" s="276"/>
      <c r="AC55" s="276"/>
      <c r="AD55" s="276"/>
      <c r="AE55" s="276"/>
      <c r="AF55" s="276"/>
      <c r="AG55" s="276"/>
      <c r="AH55" s="276"/>
      <c r="AI55" s="276"/>
      <c r="AJ55" s="276"/>
      <c r="AK55" s="276"/>
      <c r="AL55" s="276"/>
      <c r="AM55" s="276"/>
      <c r="AN55" s="276"/>
      <c r="AO55" s="276"/>
      <c r="AP55" s="276"/>
      <c r="AQ55" s="276"/>
      <c r="AR55" s="276"/>
      <c r="AS55" s="276"/>
      <c r="AT55" s="276"/>
      <c r="AU55" s="276"/>
      <c r="AV55" s="276"/>
      <c r="AW55" s="276"/>
      <c r="AX55" s="276"/>
      <c r="AY55" s="276"/>
      <c r="AZ55" s="276"/>
      <c r="BA55" s="276"/>
      <c r="BB55" s="276"/>
      <c r="BC55" s="276"/>
      <c r="BD55" s="276"/>
      <c r="BE55" s="276"/>
      <c r="BF55" s="276"/>
      <c r="BG55" s="276"/>
      <c r="BH55" s="276"/>
      <c r="BI55" s="276"/>
      <c r="BJ55" s="276"/>
      <c r="BK55" s="276"/>
      <c r="BL55" s="276"/>
      <c r="BM55" s="276"/>
      <c r="BN55" s="276"/>
      <c r="BO55" s="276"/>
      <c r="BP55" s="276"/>
      <c r="BQ55" s="276"/>
      <c r="BR55" s="276"/>
      <c r="BS55" s="276"/>
      <c r="BT55" s="276"/>
      <c r="BU55" s="276"/>
      <c r="BV55" s="276"/>
      <c r="BW55" s="276"/>
      <c r="BX55" s="276" t="s">
        <v>1142</v>
      </c>
      <c r="BY55" s="276"/>
      <c r="BZ55" s="277"/>
      <c r="CA55" s="277"/>
      <c r="CB55" s="277"/>
      <c r="CC55" s="277"/>
      <c r="CD55" s="277"/>
      <c r="CE55" s="278"/>
      <c r="CF55" s="278"/>
      <c r="CG55" s="278"/>
      <c r="CH55" s="278"/>
      <c r="CI55" s="278"/>
      <c r="CJ55" s="278"/>
      <c r="CK55" s="278"/>
      <c r="CL55" s="278"/>
      <c r="CM55" s="278"/>
      <c r="CN55" s="278"/>
      <c r="CO55" s="278"/>
      <c r="CP55" s="278"/>
      <c r="CQ55" s="278"/>
      <c r="CR55" s="278"/>
      <c r="CS55" s="278"/>
      <c r="CT55" s="278"/>
      <c r="CU55" s="278"/>
      <c r="CV55" s="241"/>
      <c r="CW55" s="241"/>
      <c r="CX55" s="241"/>
      <c r="CY55" s="241"/>
      <c r="CZ55" s="241"/>
      <c r="DA55" s="241"/>
      <c r="DB55" s="241"/>
      <c r="DC55" s="241"/>
      <c r="DD55" s="241"/>
      <c r="DE55" s="241"/>
      <c r="DF55" s="241"/>
      <c r="DG55" s="241"/>
      <c r="DH55" s="241"/>
      <c r="DI55" s="241"/>
      <c r="DJ55" s="241"/>
      <c r="DK55" s="241"/>
      <c r="DL55" s="241"/>
      <c r="DM55" s="241"/>
      <c r="DN55" s="241"/>
      <c r="DO55" s="241"/>
      <c r="DP55" s="241"/>
      <c r="DQ55" s="241"/>
      <c r="DR55" s="241"/>
      <c r="DS55" s="241"/>
      <c r="DT55" s="281"/>
      <c r="DU55" s="281"/>
    </row>
    <row r="56" spans="1:125" ht="15" customHeight="1">
      <c r="A56" s="334" t="s">
        <v>1182</v>
      </c>
      <c r="B56" s="276"/>
      <c r="C56" s="276"/>
      <c r="D56" s="276"/>
      <c r="E56" s="276"/>
      <c r="F56" s="276"/>
      <c r="G56" s="276"/>
      <c r="H56" s="276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Y56" s="276"/>
      <c r="Z56" s="276"/>
      <c r="AA56" s="276"/>
      <c r="AB56" s="276"/>
      <c r="AC56" s="276"/>
      <c r="AD56" s="276"/>
      <c r="AE56" s="276"/>
      <c r="AF56" s="276"/>
      <c r="AG56" s="276"/>
      <c r="AH56" s="276"/>
      <c r="AI56" s="276"/>
      <c r="AJ56" s="276"/>
      <c r="AK56" s="276"/>
      <c r="AL56" s="276"/>
      <c r="AM56" s="276"/>
      <c r="AN56" s="276"/>
      <c r="AO56" s="276"/>
      <c r="AP56" s="276"/>
      <c r="AQ56" s="276"/>
      <c r="AR56" s="276"/>
      <c r="AS56" s="276"/>
      <c r="AT56" s="276"/>
      <c r="AU56" s="276"/>
      <c r="AV56" s="276"/>
      <c r="AW56" s="276"/>
      <c r="AX56" s="276"/>
      <c r="AY56" s="276"/>
      <c r="AZ56" s="276"/>
      <c r="BA56" s="276"/>
      <c r="BB56" s="276"/>
      <c r="BC56" s="276"/>
      <c r="BD56" s="276"/>
      <c r="BE56" s="276"/>
      <c r="BF56" s="276"/>
      <c r="BG56" s="276"/>
      <c r="BH56" s="276"/>
      <c r="BI56" s="276"/>
      <c r="BJ56" s="276"/>
      <c r="BK56" s="276"/>
      <c r="BL56" s="276"/>
      <c r="BM56" s="276"/>
      <c r="BN56" s="276" t="s">
        <v>1142</v>
      </c>
      <c r="BO56" s="276"/>
      <c r="BP56" s="276"/>
      <c r="BQ56" s="276"/>
      <c r="BR56" s="276"/>
      <c r="BS56" s="276"/>
      <c r="BT56" s="276"/>
      <c r="BU56" s="276"/>
      <c r="BV56" s="276"/>
      <c r="BW56" s="276"/>
      <c r="BX56" s="276"/>
      <c r="BY56" s="276"/>
      <c r="BZ56" s="277"/>
      <c r="CA56" s="277"/>
      <c r="CB56" s="277"/>
      <c r="CC56" s="277"/>
      <c r="CD56" s="277"/>
      <c r="CE56" s="278"/>
      <c r="CF56" s="278"/>
      <c r="CG56" s="278"/>
      <c r="CH56" s="278"/>
      <c r="CI56" s="278"/>
      <c r="CJ56" s="278"/>
      <c r="CK56" s="278"/>
      <c r="CL56" s="278"/>
      <c r="CM56" s="278"/>
      <c r="CN56" s="278"/>
      <c r="CO56" s="278"/>
      <c r="CP56" s="278"/>
      <c r="CQ56" s="278"/>
      <c r="CR56" s="278"/>
      <c r="CS56" s="278"/>
      <c r="CT56" s="278"/>
      <c r="CU56" s="278"/>
      <c r="CV56" s="241"/>
      <c r="CW56" s="241"/>
      <c r="CX56" s="241"/>
      <c r="CY56" s="241"/>
      <c r="CZ56" s="241"/>
      <c r="DA56" s="241"/>
      <c r="DB56" s="241"/>
      <c r="DC56" s="241"/>
      <c r="DD56" s="241"/>
      <c r="DE56" s="241"/>
      <c r="DF56" s="241"/>
      <c r="DG56" s="241"/>
      <c r="DH56" s="241"/>
      <c r="DI56" s="241"/>
      <c r="DJ56" s="241"/>
      <c r="DK56" s="241"/>
      <c r="DL56" s="241"/>
      <c r="DM56" s="241"/>
      <c r="DN56" s="241"/>
      <c r="DO56" s="241"/>
      <c r="DP56" s="241"/>
      <c r="DQ56" s="241"/>
      <c r="DR56" s="241"/>
      <c r="DS56" s="241"/>
      <c r="DT56" s="281"/>
      <c r="DU56" s="281"/>
    </row>
    <row r="57" spans="1:125" ht="15" customHeight="1">
      <c r="A57" s="334" t="s">
        <v>1156</v>
      </c>
      <c r="B57" s="276"/>
      <c r="C57" s="276"/>
      <c r="D57" s="276"/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  <c r="AA57" s="276"/>
      <c r="AB57" s="276"/>
      <c r="AC57" s="276"/>
      <c r="AD57" s="276"/>
      <c r="AE57" s="276"/>
      <c r="AF57" s="276"/>
      <c r="AG57" s="276"/>
      <c r="AH57" s="276"/>
      <c r="AI57" s="276"/>
      <c r="AJ57" s="276"/>
      <c r="AK57" s="276"/>
      <c r="AL57" s="276"/>
      <c r="AM57" s="276"/>
      <c r="AN57" s="276"/>
      <c r="AO57" s="276"/>
      <c r="AP57" s="276"/>
      <c r="AQ57" s="276"/>
      <c r="AR57" s="276"/>
      <c r="AS57" s="276"/>
      <c r="AT57" s="276"/>
      <c r="AU57" s="276"/>
      <c r="AV57" s="276"/>
      <c r="AW57" s="276"/>
      <c r="AX57" s="276"/>
      <c r="AY57" s="276"/>
      <c r="AZ57" s="276"/>
      <c r="BA57" s="276"/>
      <c r="BB57" s="276"/>
      <c r="BC57" s="276"/>
      <c r="BD57" s="276"/>
      <c r="BE57" s="276"/>
      <c r="BF57" s="276"/>
      <c r="BG57" s="276"/>
      <c r="BH57" s="276"/>
      <c r="BI57" s="276"/>
      <c r="BJ57" s="276"/>
      <c r="BK57" s="276"/>
      <c r="BL57" s="276"/>
      <c r="BM57" s="276"/>
      <c r="BN57" s="276"/>
      <c r="BO57" s="276"/>
      <c r="BP57" s="276"/>
      <c r="BQ57" s="276"/>
      <c r="BR57" s="276"/>
      <c r="BS57" s="276"/>
      <c r="BT57" s="276"/>
      <c r="BU57" s="276"/>
      <c r="BV57" s="276" t="s">
        <v>1142</v>
      </c>
      <c r="BW57" s="276"/>
      <c r="BX57" s="276"/>
      <c r="BY57" s="276"/>
      <c r="BZ57" s="277"/>
      <c r="CA57" s="277"/>
      <c r="CB57" s="277"/>
      <c r="CC57" s="277"/>
      <c r="CD57" s="277"/>
      <c r="CE57" s="278"/>
      <c r="CF57" s="278"/>
      <c r="CG57" s="278"/>
      <c r="CH57" s="278"/>
      <c r="CI57" s="278"/>
      <c r="CJ57" s="278"/>
      <c r="CK57" s="278"/>
      <c r="CL57" s="278"/>
      <c r="CM57" s="278"/>
      <c r="CN57" s="278"/>
      <c r="CO57" s="278"/>
      <c r="CP57" s="278"/>
      <c r="CQ57" s="278"/>
      <c r="CR57" s="278"/>
      <c r="CS57" s="278"/>
      <c r="CT57" s="278"/>
      <c r="CU57" s="278"/>
      <c r="CV57" s="241"/>
      <c r="CW57" s="241"/>
      <c r="CX57" s="241"/>
      <c r="CY57" s="241"/>
      <c r="CZ57" s="241"/>
      <c r="DA57" s="241"/>
      <c r="DB57" s="241"/>
      <c r="DC57" s="241"/>
      <c r="DD57" s="241"/>
      <c r="DE57" s="241"/>
      <c r="DF57" s="241"/>
      <c r="DG57" s="241"/>
      <c r="DH57" s="241"/>
      <c r="DI57" s="241"/>
      <c r="DJ57" s="241"/>
      <c r="DK57" s="241"/>
      <c r="DL57" s="241"/>
      <c r="DM57" s="241"/>
      <c r="DN57" s="241"/>
      <c r="DO57" s="241"/>
      <c r="DP57" s="241"/>
      <c r="DQ57" s="241"/>
      <c r="DR57" s="241"/>
      <c r="DS57" s="241"/>
      <c r="DT57" s="281"/>
      <c r="DU57" s="281"/>
    </row>
    <row r="58" spans="1:125" ht="15" customHeight="1">
      <c r="A58" s="335" t="s">
        <v>1173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  <c r="AF58" s="277"/>
      <c r="AG58" s="277"/>
      <c r="AH58" s="277"/>
      <c r="AI58" s="277"/>
      <c r="AJ58" s="277"/>
      <c r="AK58" s="277"/>
      <c r="AL58" s="277"/>
      <c r="AM58" s="277"/>
      <c r="AN58" s="277"/>
      <c r="AO58" s="277"/>
      <c r="AP58" s="277"/>
      <c r="AQ58" s="277"/>
      <c r="AR58" s="277"/>
      <c r="AS58" s="277"/>
      <c r="AT58" s="277"/>
      <c r="AU58" s="277"/>
      <c r="AV58" s="277"/>
      <c r="AW58" s="277"/>
      <c r="AX58" s="277"/>
      <c r="AY58" s="277"/>
      <c r="AZ58" s="277"/>
      <c r="BA58" s="277"/>
      <c r="BB58" s="277"/>
      <c r="BC58" s="277"/>
      <c r="BD58" s="277"/>
      <c r="BE58" s="277"/>
      <c r="BF58" s="277"/>
      <c r="BG58" s="277"/>
      <c r="BH58" s="277"/>
      <c r="BI58" s="277"/>
      <c r="BJ58" s="277"/>
      <c r="BK58" s="277"/>
      <c r="BL58" s="277"/>
      <c r="BM58" s="277"/>
      <c r="BN58" s="277"/>
      <c r="BO58" s="277"/>
      <c r="BP58" s="277"/>
      <c r="BQ58" s="277"/>
      <c r="BR58" s="277"/>
      <c r="BS58" s="277"/>
      <c r="BT58" s="277"/>
      <c r="BU58" s="277"/>
      <c r="BV58" s="277"/>
      <c r="BW58" s="277"/>
      <c r="BX58" s="277"/>
      <c r="BY58" s="277"/>
      <c r="BZ58" s="277"/>
      <c r="CA58" s="277" t="s">
        <v>1142</v>
      </c>
      <c r="CB58" s="277"/>
      <c r="CC58" s="277"/>
      <c r="CD58" s="277"/>
      <c r="CE58" s="278"/>
      <c r="CF58" s="278"/>
      <c r="CG58" s="278"/>
      <c r="CH58" s="278"/>
      <c r="CI58" s="278"/>
      <c r="CJ58" s="278"/>
      <c r="CK58" s="278"/>
      <c r="CL58" s="278"/>
      <c r="CM58" s="278"/>
      <c r="CN58" s="278"/>
      <c r="CO58" s="278"/>
      <c r="CP58" s="278"/>
      <c r="CQ58" s="278"/>
      <c r="CR58" s="278"/>
      <c r="CS58" s="278"/>
      <c r="CT58" s="278"/>
      <c r="CU58" s="278"/>
      <c r="CV58" s="241"/>
      <c r="CW58" s="241"/>
      <c r="CX58" s="241"/>
      <c r="CY58" s="241"/>
      <c r="CZ58" s="241"/>
      <c r="DA58" s="241"/>
      <c r="DB58" s="241"/>
      <c r="DC58" s="241"/>
      <c r="DD58" s="241"/>
      <c r="DE58" s="241"/>
      <c r="DF58" s="241"/>
      <c r="DG58" s="241"/>
      <c r="DH58" s="241"/>
      <c r="DI58" s="241"/>
      <c r="DJ58" s="241"/>
      <c r="DK58" s="241"/>
      <c r="DL58" s="241"/>
      <c r="DM58" s="241"/>
      <c r="DN58" s="241"/>
      <c r="DO58" s="241"/>
      <c r="DP58" s="241"/>
      <c r="DQ58" s="241"/>
      <c r="DR58" s="241"/>
      <c r="DS58" s="241"/>
      <c r="DT58" s="281"/>
      <c r="DU58" s="281"/>
    </row>
    <row r="59" spans="1:125" ht="15" customHeight="1">
      <c r="A59" s="335" t="s">
        <v>1174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77"/>
      <c r="AB59" s="277"/>
      <c r="AC59" s="277"/>
      <c r="AD59" s="277"/>
      <c r="AE59" s="277"/>
      <c r="AF59" s="277"/>
      <c r="AG59" s="277"/>
      <c r="AH59" s="277"/>
      <c r="AI59" s="277"/>
      <c r="AJ59" s="277"/>
      <c r="AK59" s="277"/>
      <c r="AL59" s="277"/>
      <c r="AM59" s="277"/>
      <c r="AN59" s="277"/>
      <c r="AO59" s="277"/>
      <c r="AP59" s="277"/>
      <c r="AQ59" s="277"/>
      <c r="AR59" s="277"/>
      <c r="AS59" s="277"/>
      <c r="AT59" s="277"/>
      <c r="AU59" s="277"/>
      <c r="AV59" s="277"/>
      <c r="AW59" s="277"/>
      <c r="AX59" s="277"/>
      <c r="AY59" s="277"/>
      <c r="AZ59" s="277"/>
      <c r="BA59" s="277"/>
      <c r="BB59" s="277"/>
      <c r="BC59" s="277"/>
      <c r="BD59" s="277"/>
      <c r="BE59" s="277"/>
      <c r="BF59" s="277"/>
      <c r="BG59" s="277"/>
      <c r="BH59" s="277"/>
      <c r="BI59" s="277"/>
      <c r="BJ59" s="277"/>
      <c r="BK59" s="277"/>
      <c r="BL59" s="277"/>
      <c r="BM59" s="277"/>
      <c r="BN59" s="277"/>
      <c r="BO59" s="277"/>
      <c r="BP59" s="277"/>
      <c r="BQ59" s="277"/>
      <c r="BR59" s="277"/>
      <c r="BS59" s="277"/>
      <c r="BT59" s="277"/>
      <c r="BU59" s="277"/>
      <c r="BV59" s="277"/>
      <c r="BW59" s="277"/>
      <c r="BX59" s="277"/>
      <c r="BY59" s="277"/>
      <c r="BZ59" s="277" t="s">
        <v>1142</v>
      </c>
      <c r="CA59" s="277"/>
      <c r="CB59" s="277"/>
      <c r="CC59" s="277"/>
      <c r="CD59" s="277"/>
      <c r="CE59" s="278"/>
      <c r="CF59" s="278"/>
      <c r="CG59" s="278"/>
      <c r="CH59" s="278"/>
      <c r="CI59" s="278"/>
      <c r="CJ59" s="278"/>
      <c r="CK59" s="278"/>
      <c r="CL59" s="278"/>
      <c r="CM59" s="278"/>
      <c r="CN59" s="278"/>
      <c r="CO59" s="278"/>
      <c r="CP59" s="278"/>
      <c r="CQ59" s="278"/>
      <c r="CR59" s="278"/>
      <c r="CS59" s="278"/>
      <c r="CT59" s="278"/>
      <c r="CU59" s="278"/>
      <c r="CV59" s="241"/>
      <c r="CW59" s="241"/>
      <c r="CX59" s="241"/>
      <c r="CY59" s="241"/>
      <c r="CZ59" s="241"/>
      <c r="DA59" s="241"/>
      <c r="DB59" s="241"/>
      <c r="DC59" s="241"/>
      <c r="DD59" s="241"/>
      <c r="DE59" s="241"/>
      <c r="DF59" s="241"/>
      <c r="DG59" s="241"/>
      <c r="DH59" s="241"/>
      <c r="DI59" s="241"/>
      <c r="DJ59" s="241"/>
      <c r="DK59" s="241"/>
      <c r="DL59" s="241"/>
      <c r="DM59" s="241"/>
      <c r="DN59" s="241"/>
      <c r="DO59" s="241"/>
      <c r="DP59" s="241"/>
      <c r="DQ59" s="241"/>
      <c r="DR59" s="241"/>
      <c r="DS59" s="241"/>
      <c r="DT59" s="281"/>
      <c r="DU59" s="281"/>
    </row>
    <row r="60" spans="1:125" ht="15" customHeight="1">
      <c r="A60" s="335" t="s">
        <v>1183</v>
      </c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7"/>
      <c r="AG60" s="277"/>
      <c r="AH60" s="277"/>
      <c r="AI60" s="277"/>
      <c r="AJ60" s="277"/>
      <c r="AK60" s="277"/>
      <c r="AL60" s="277"/>
      <c r="AM60" s="277"/>
      <c r="AN60" s="277"/>
      <c r="AO60" s="277"/>
      <c r="AP60" s="277"/>
      <c r="AQ60" s="277"/>
      <c r="AR60" s="277"/>
      <c r="AS60" s="277"/>
      <c r="AT60" s="277"/>
      <c r="AU60" s="277"/>
      <c r="AV60" s="277"/>
      <c r="AW60" s="277"/>
      <c r="AX60" s="277"/>
      <c r="AY60" s="277"/>
      <c r="AZ60" s="277"/>
      <c r="BA60" s="277"/>
      <c r="BB60" s="277"/>
      <c r="BC60" s="277"/>
      <c r="BD60" s="277"/>
      <c r="BE60" s="277"/>
      <c r="BF60" s="277"/>
      <c r="BG60" s="277"/>
      <c r="BH60" s="277"/>
      <c r="BI60" s="277"/>
      <c r="BJ60" s="277"/>
      <c r="BK60" s="277"/>
      <c r="BL60" s="277"/>
      <c r="BM60" s="277"/>
      <c r="BN60" s="277"/>
      <c r="BO60" s="277"/>
      <c r="BP60" s="277"/>
      <c r="BQ60" s="277"/>
      <c r="BR60" s="277"/>
      <c r="BS60" s="277"/>
      <c r="BT60" s="277"/>
      <c r="BU60" s="277"/>
      <c r="BV60" s="277"/>
      <c r="BW60" s="277"/>
      <c r="BX60" s="277"/>
      <c r="BY60" s="277"/>
      <c r="BZ60" s="277"/>
      <c r="CA60" s="277"/>
      <c r="CB60" s="277"/>
      <c r="CC60" s="277"/>
      <c r="CD60" s="277"/>
      <c r="CE60" s="278"/>
      <c r="CF60" s="278"/>
      <c r="CG60" s="278"/>
      <c r="CH60" s="278"/>
      <c r="CI60" s="278"/>
      <c r="CJ60" s="278"/>
      <c r="CK60" s="278"/>
      <c r="CL60" s="278"/>
      <c r="CM60" s="278"/>
      <c r="CN60" s="278"/>
      <c r="CO60" s="278"/>
      <c r="CP60" s="278"/>
      <c r="CQ60" s="278"/>
      <c r="CR60" s="278"/>
      <c r="CS60" s="278"/>
      <c r="CT60" s="278"/>
      <c r="CU60" s="278"/>
      <c r="CV60" s="241"/>
      <c r="CW60" s="241"/>
      <c r="CX60" s="241"/>
      <c r="CY60" s="241"/>
      <c r="CZ60" s="241"/>
      <c r="DA60" s="241"/>
      <c r="DB60" s="241"/>
      <c r="DC60" s="241"/>
      <c r="DD60" s="241"/>
      <c r="DE60" s="241"/>
      <c r="DF60" s="241"/>
      <c r="DG60" s="241"/>
      <c r="DH60" s="241"/>
      <c r="DI60" s="241"/>
      <c r="DJ60" s="241"/>
      <c r="DK60" s="241"/>
      <c r="DL60" s="241"/>
      <c r="DM60" s="241"/>
      <c r="DN60" s="241"/>
      <c r="DO60" s="241"/>
      <c r="DP60" s="241"/>
      <c r="DQ60" s="241"/>
      <c r="DR60" s="241"/>
      <c r="DS60" s="241"/>
      <c r="DT60" s="281"/>
      <c r="DU60" s="281"/>
    </row>
    <row r="61" spans="1:125" ht="15" customHeight="1">
      <c r="A61" s="335" t="s">
        <v>1155</v>
      </c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  <c r="AF61" s="277"/>
      <c r="AG61" s="277"/>
      <c r="AH61" s="277"/>
      <c r="AI61" s="277"/>
      <c r="AJ61" s="277"/>
      <c r="AK61" s="277"/>
      <c r="AL61" s="277"/>
      <c r="AM61" s="277"/>
      <c r="AN61" s="277"/>
      <c r="AO61" s="277"/>
      <c r="AP61" s="277"/>
      <c r="AQ61" s="277"/>
      <c r="AR61" s="277"/>
      <c r="AS61" s="277"/>
      <c r="AT61" s="277"/>
      <c r="AU61" s="277"/>
      <c r="AV61" s="277"/>
      <c r="AW61" s="277"/>
      <c r="AX61" s="277"/>
      <c r="AY61" s="277"/>
      <c r="AZ61" s="277"/>
      <c r="BA61" s="277"/>
      <c r="BB61" s="277"/>
      <c r="BC61" s="277"/>
      <c r="BD61" s="277"/>
      <c r="BE61" s="277"/>
      <c r="BF61" s="277"/>
      <c r="BG61" s="277"/>
      <c r="BH61" s="277"/>
      <c r="BI61" s="277"/>
      <c r="BJ61" s="277"/>
      <c r="BK61" s="277"/>
      <c r="BL61" s="277"/>
      <c r="BM61" s="277"/>
      <c r="BN61" s="277"/>
      <c r="BO61" s="277"/>
      <c r="BP61" s="277"/>
      <c r="BQ61" s="277"/>
      <c r="BR61" s="277"/>
      <c r="BS61" s="277"/>
      <c r="BT61" s="277"/>
      <c r="BU61" s="277"/>
      <c r="BV61" s="277"/>
      <c r="BW61" s="277"/>
      <c r="BX61" s="277"/>
      <c r="BY61" s="277"/>
      <c r="BZ61" s="277"/>
      <c r="CA61" s="277"/>
      <c r="CB61" s="277" t="s">
        <v>1142</v>
      </c>
      <c r="CC61" s="277"/>
      <c r="CD61" s="277"/>
      <c r="CE61" s="278"/>
      <c r="CF61" s="278"/>
      <c r="CG61" s="278"/>
      <c r="CH61" s="278"/>
      <c r="CI61" s="278"/>
      <c r="CJ61" s="278"/>
      <c r="CK61" s="278"/>
      <c r="CL61" s="278"/>
      <c r="CM61" s="278"/>
      <c r="CN61" s="278"/>
      <c r="CO61" s="278"/>
      <c r="CP61" s="278"/>
      <c r="CQ61" s="278"/>
      <c r="CR61" s="278"/>
      <c r="CS61" s="278"/>
      <c r="CT61" s="278"/>
      <c r="CU61" s="278"/>
      <c r="CV61" s="241"/>
      <c r="CW61" s="241"/>
      <c r="CX61" s="241"/>
      <c r="CY61" s="241"/>
      <c r="CZ61" s="241"/>
      <c r="DA61" s="241"/>
      <c r="DB61" s="241"/>
      <c r="DC61" s="241"/>
      <c r="DD61" s="241"/>
      <c r="DE61" s="241"/>
      <c r="DF61" s="241"/>
      <c r="DG61" s="241"/>
      <c r="DH61" s="241"/>
      <c r="DI61" s="241"/>
      <c r="DJ61" s="241"/>
      <c r="DK61" s="241"/>
      <c r="DL61" s="241"/>
      <c r="DM61" s="241"/>
      <c r="DN61" s="241"/>
      <c r="DO61" s="241"/>
      <c r="DP61" s="241"/>
      <c r="DQ61" s="241"/>
      <c r="DR61" s="241"/>
      <c r="DS61" s="241"/>
      <c r="DT61" s="281"/>
      <c r="DU61" s="281"/>
    </row>
    <row r="62" spans="1:125" ht="15" customHeight="1">
      <c r="A62" s="335" t="s">
        <v>1184</v>
      </c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  <c r="AG62" s="277"/>
      <c r="AH62" s="277"/>
      <c r="AI62" s="277"/>
      <c r="AJ62" s="277"/>
      <c r="AK62" s="277"/>
      <c r="AL62" s="277"/>
      <c r="AM62" s="277"/>
      <c r="AN62" s="277"/>
      <c r="AO62" s="277"/>
      <c r="AP62" s="277"/>
      <c r="AQ62" s="277"/>
      <c r="AR62" s="277"/>
      <c r="AS62" s="277"/>
      <c r="AT62" s="277"/>
      <c r="AU62" s="277"/>
      <c r="AV62" s="277"/>
      <c r="AW62" s="277"/>
      <c r="AX62" s="277"/>
      <c r="AY62" s="277"/>
      <c r="AZ62" s="277"/>
      <c r="BA62" s="277"/>
      <c r="BB62" s="277"/>
      <c r="BC62" s="277"/>
      <c r="BD62" s="277"/>
      <c r="BE62" s="277"/>
      <c r="BF62" s="277"/>
      <c r="BG62" s="277"/>
      <c r="BH62" s="277"/>
      <c r="BI62" s="277"/>
      <c r="BJ62" s="277"/>
      <c r="BK62" s="277"/>
      <c r="BL62" s="277"/>
      <c r="BM62" s="277"/>
      <c r="BN62" s="277"/>
      <c r="BO62" s="277"/>
      <c r="BP62" s="277"/>
      <c r="BQ62" s="277"/>
      <c r="BR62" s="277"/>
      <c r="BS62" s="277"/>
      <c r="BT62" s="277"/>
      <c r="BU62" s="277"/>
      <c r="BV62" s="277"/>
      <c r="BW62" s="277"/>
      <c r="BX62" s="277"/>
      <c r="BY62" s="277"/>
      <c r="BZ62" s="277"/>
      <c r="CA62" s="277"/>
      <c r="CB62" s="277"/>
      <c r="CC62" s="277" t="s">
        <v>1142</v>
      </c>
      <c r="CD62" s="277" t="s">
        <v>1142</v>
      </c>
      <c r="CE62" s="278"/>
      <c r="CF62" s="278"/>
      <c r="CG62" s="278"/>
      <c r="CH62" s="278"/>
      <c r="CI62" s="278"/>
      <c r="CJ62" s="278"/>
      <c r="CK62" s="278"/>
      <c r="CL62" s="278"/>
      <c r="CM62" s="278"/>
      <c r="CN62" s="278"/>
      <c r="CO62" s="278"/>
      <c r="CP62" s="278"/>
      <c r="CQ62" s="278"/>
      <c r="CR62" s="278"/>
      <c r="CS62" s="278"/>
      <c r="CT62" s="278"/>
      <c r="CU62" s="278"/>
      <c r="CV62" s="241"/>
      <c r="CW62" s="241"/>
      <c r="CX62" s="241"/>
      <c r="CY62" s="241"/>
      <c r="CZ62" s="241"/>
      <c r="DA62" s="241"/>
      <c r="DB62" s="241"/>
      <c r="DC62" s="241"/>
      <c r="DD62" s="241"/>
      <c r="DE62" s="241"/>
      <c r="DF62" s="241"/>
      <c r="DG62" s="241"/>
      <c r="DH62" s="241"/>
      <c r="DI62" s="241"/>
      <c r="DJ62" s="241"/>
      <c r="DK62" s="241"/>
      <c r="DL62" s="241"/>
      <c r="DM62" s="241"/>
      <c r="DN62" s="241"/>
      <c r="DO62" s="241"/>
      <c r="DP62" s="241"/>
      <c r="DQ62" s="241"/>
      <c r="DR62" s="241"/>
      <c r="DS62" s="241"/>
      <c r="DT62" s="281"/>
      <c r="DU62" s="281"/>
    </row>
    <row r="63" spans="1:125" ht="15" customHeight="1">
      <c r="A63" s="336" t="s">
        <v>1185</v>
      </c>
      <c r="B63" s="278"/>
      <c r="C63" s="278"/>
      <c r="D63" s="278"/>
      <c r="E63" s="278"/>
      <c r="F63" s="278"/>
      <c r="G63" s="278"/>
      <c r="H63" s="278"/>
      <c r="I63" s="278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  <c r="AB63" s="278"/>
      <c r="AC63" s="278"/>
      <c r="AD63" s="278"/>
      <c r="AE63" s="278"/>
      <c r="AF63" s="278"/>
      <c r="AG63" s="278"/>
      <c r="AH63" s="278"/>
      <c r="AI63" s="278"/>
      <c r="AJ63" s="278"/>
      <c r="AK63" s="278"/>
      <c r="AL63" s="278"/>
      <c r="AM63" s="278"/>
      <c r="AN63" s="278"/>
      <c r="AO63" s="278"/>
      <c r="AP63" s="278"/>
      <c r="AQ63" s="278"/>
      <c r="AR63" s="278"/>
      <c r="AS63" s="278"/>
      <c r="AT63" s="278"/>
      <c r="AU63" s="278"/>
      <c r="AV63" s="278"/>
      <c r="AW63" s="278"/>
      <c r="AX63" s="278"/>
      <c r="AY63" s="278"/>
      <c r="AZ63" s="278"/>
      <c r="BA63" s="278"/>
      <c r="BB63" s="278"/>
      <c r="BC63" s="278"/>
      <c r="BD63" s="278"/>
      <c r="BE63" s="278"/>
      <c r="BF63" s="278"/>
      <c r="BG63" s="278"/>
      <c r="BH63" s="278"/>
      <c r="BI63" s="278"/>
      <c r="BJ63" s="278"/>
      <c r="BK63" s="278"/>
      <c r="BL63" s="278"/>
      <c r="BM63" s="278"/>
      <c r="BN63" s="278"/>
      <c r="BO63" s="278"/>
      <c r="BP63" s="278"/>
      <c r="BQ63" s="278"/>
      <c r="BR63" s="278"/>
      <c r="BS63" s="278"/>
      <c r="BT63" s="278"/>
      <c r="BU63" s="278"/>
      <c r="BV63" s="278"/>
      <c r="BW63" s="278"/>
      <c r="BX63" s="278"/>
      <c r="BY63" s="278"/>
      <c r="BZ63" s="278"/>
      <c r="CA63" s="278"/>
      <c r="CB63" s="278"/>
      <c r="CC63" s="278"/>
      <c r="CD63" s="278"/>
      <c r="CE63" s="278" t="s">
        <v>1142</v>
      </c>
      <c r="CF63" s="278" t="s">
        <v>1142</v>
      </c>
      <c r="CG63" s="278" t="s">
        <v>1142</v>
      </c>
      <c r="CH63" s="278" t="s">
        <v>1142</v>
      </c>
      <c r="CI63" s="278" t="s">
        <v>1142</v>
      </c>
      <c r="CJ63" s="278" t="s">
        <v>1142</v>
      </c>
      <c r="CK63" s="278" t="s">
        <v>1142</v>
      </c>
      <c r="CL63" s="278" t="s">
        <v>1142</v>
      </c>
      <c r="CM63" s="278" t="s">
        <v>1142</v>
      </c>
      <c r="CN63" s="278" t="s">
        <v>1142</v>
      </c>
      <c r="CO63" s="278" t="s">
        <v>1142</v>
      </c>
      <c r="CP63" s="278" t="s">
        <v>1142</v>
      </c>
      <c r="CQ63" s="278" t="s">
        <v>1142</v>
      </c>
      <c r="CR63" s="278" t="s">
        <v>1142</v>
      </c>
      <c r="CS63" s="278" t="s">
        <v>1142</v>
      </c>
      <c r="CT63" s="278"/>
      <c r="CU63" s="278"/>
      <c r="CV63" s="241"/>
      <c r="CW63" s="241"/>
      <c r="CX63" s="241"/>
      <c r="CY63" s="241"/>
      <c r="CZ63" s="241"/>
      <c r="DA63" s="241"/>
      <c r="DB63" s="241"/>
      <c r="DC63" s="241"/>
      <c r="DD63" s="241"/>
      <c r="DE63" s="241"/>
      <c r="DF63" s="241"/>
      <c r="DG63" s="241"/>
      <c r="DH63" s="241"/>
      <c r="DI63" s="241"/>
      <c r="DJ63" s="241"/>
      <c r="DK63" s="241"/>
      <c r="DL63" s="241"/>
      <c r="DM63" s="241"/>
      <c r="DN63" s="241"/>
      <c r="DO63" s="241"/>
      <c r="DP63" s="241"/>
      <c r="DQ63" s="241"/>
      <c r="DR63" s="241"/>
      <c r="DS63" s="241"/>
      <c r="DT63" s="281"/>
      <c r="DU63" s="281"/>
    </row>
    <row r="64" spans="1:125" ht="15" customHeight="1">
      <c r="A64" s="337" t="s">
        <v>853</v>
      </c>
      <c r="B64" s="323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4"/>
      <c r="X64" s="324"/>
      <c r="Y64" s="324"/>
      <c r="Z64" s="324"/>
      <c r="AA64" s="324"/>
      <c r="AB64" s="324"/>
      <c r="AC64" s="324"/>
      <c r="AD64" s="324"/>
      <c r="AE64" s="324"/>
      <c r="AF64" s="324"/>
      <c r="AG64" s="324"/>
      <c r="AH64" s="324"/>
      <c r="AI64" s="324"/>
      <c r="AJ64" s="324"/>
      <c r="AK64" s="324"/>
      <c r="AL64" s="324"/>
      <c r="AM64" s="324"/>
      <c r="AN64" s="324"/>
      <c r="AO64" s="324"/>
      <c r="AP64" s="324"/>
      <c r="AQ64" s="324"/>
      <c r="AR64" s="324"/>
      <c r="AS64" s="324"/>
      <c r="AT64" s="324"/>
      <c r="AU64" s="324"/>
      <c r="AV64" s="324"/>
      <c r="AW64" s="324"/>
      <c r="AX64" s="324"/>
      <c r="AY64" s="324"/>
      <c r="AZ64" s="324"/>
      <c r="BA64" s="324"/>
      <c r="BB64" s="324"/>
      <c r="BC64" s="324"/>
      <c r="BD64" s="324"/>
      <c r="BE64" s="324"/>
      <c r="BF64" s="324"/>
      <c r="BG64" s="324"/>
      <c r="BH64" s="324"/>
      <c r="BI64" s="324"/>
      <c r="BJ64" s="324"/>
      <c r="BK64" s="324"/>
      <c r="BL64" s="324"/>
      <c r="BM64" s="324"/>
      <c r="BN64" s="324"/>
      <c r="BO64" s="324"/>
      <c r="BP64" s="324"/>
      <c r="BQ64" s="324"/>
      <c r="BR64" s="324"/>
      <c r="BS64" s="324"/>
      <c r="BT64" s="324"/>
      <c r="BU64" s="324"/>
      <c r="BV64" s="324"/>
      <c r="BW64" s="324"/>
      <c r="BX64" s="324"/>
      <c r="BY64" s="324"/>
      <c r="BZ64" s="324"/>
      <c r="CA64" s="324"/>
      <c r="CB64" s="324"/>
      <c r="CC64" s="324"/>
      <c r="CD64" s="324"/>
      <c r="CE64" s="324"/>
      <c r="CF64" s="324"/>
      <c r="CG64" s="324"/>
      <c r="CH64" s="324"/>
      <c r="CI64" s="324"/>
      <c r="CJ64" s="324"/>
      <c r="CK64" s="324"/>
      <c r="CL64" s="324"/>
      <c r="CM64" s="324"/>
      <c r="CN64" s="324"/>
      <c r="CO64" s="324"/>
      <c r="CP64" s="324"/>
      <c r="CQ64" s="324"/>
      <c r="CR64" s="324"/>
      <c r="CS64" s="324"/>
      <c r="CT64" s="324" t="s">
        <v>1142</v>
      </c>
      <c r="CU64" s="324" t="s">
        <v>1142</v>
      </c>
      <c r="CV64" s="241"/>
      <c r="CW64" s="241"/>
      <c r="CX64" s="241"/>
      <c r="CY64" s="241"/>
      <c r="CZ64" s="241"/>
      <c r="DA64" s="241"/>
      <c r="DB64" s="241"/>
      <c r="DC64" s="241"/>
      <c r="DD64" s="241"/>
      <c r="DE64" s="241"/>
      <c r="DF64" s="241"/>
      <c r="DG64" s="241"/>
      <c r="DH64" s="241"/>
      <c r="DI64" s="241"/>
      <c r="DJ64" s="241"/>
      <c r="DK64" s="241"/>
      <c r="DL64" s="241"/>
      <c r="DM64" s="241"/>
      <c r="DN64" s="241"/>
      <c r="DO64" s="241"/>
      <c r="DP64" s="241"/>
      <c r="DQ64" s="241"/>
      <c r="DR64" s="241"/>
      <c r="DS64" s="241"/>
      <c r="DT64" s="325"/>
      <c r="DU64" s="325"/>
    </row>
    <row r="65" spans="1:125" ht="18.75">
      <c r="A65" s="327" t="s">
        <v>1186</v>
      </c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241"/>
      <c r="Q65" s="241"/>
      <c r="R65" s="241"/>
      <c r="S65" s="241"/>
      <c r="T65" s="241"/>
      <c r="U65" s="241"/>
      <c r="V65" s="241"/>
      <c r="W65" s="241"/>
      <c r="X65" s="241"/>
      <c r="Y65" s="241"/>
      <c r="Z65" s="241"/>
      <c r="AA65" s="241"/>
      <c r="AB65" s="241"/>
      <c r="AC65" s="241"/>
      <c r="AD65" s="241"/>
      <c r="AE65" s="241"/>
      <c r="AF65" s="241"/>
      <c r="AG65" s="241"/>
      <c r="AH65" s="241"/>
      <c r="AI65" s="241"/>
      <c r="AJ65" s="241"/>
      <c r="AK65" s="241"/>
      <c r="AL65" s="241"/>
      <c r="AM65" s="241"/>
      <c r="AN65" s="241"/>
      <c r="AO65" s="241"/>
      <c r="AP65" s="241"/>
      <c r="AQ65" s="241"/>
      <c r="AR65" s="241"/>
      <c r="AS65" s="241"/>
      <c r="AT65" s="241"/>
      <c r="AU65" s="241"/>
      <c r="AV65" s="241"/>
      <c r="AW65" s="241"/>
      <c r="AX65" s="241"/>
      <c r="AY65" s="241"/>
      <c r="AZ65" s="241"/>
      <c r="BA65" s="241"/>
      <c r="BB65" s="241"/>
      <c r="BC65" s="241"/>
      <c r="BD65" s="241"/>
      <c r="BE65" s="241"/>
      <c r="BF65" s="241"/>
      <c r="BG65" s="241"/>
      <c r="BH65" s="241"/>
      <c r="BI65" s="241"/>
      <c r="BJ65" s="241"/>
      <c r="BK65" s="241"/>
      <c r="BL65" s="241"/>
      <c r="BM65" s="241"/>
      <c r="BN65" s="241"/>
      <c r="BO65" s="241"/>
      <c r="BP65" s="241"/>
      <c r="BQ65" s="241"/>
      <c r="BR65" s="241"/>
      <c r="BS65" s="241"/>
      <c r="BT65" s="241"/>
      <c r="BU65" s="241"/>
      <c r="BV65" s="241"/>
      <c r="BW65" s="241"/>
      <c r="BX65" s="241"/>
      <c r="BY65" s="241"/>
      <c r="BZ65" s="241"/>
      <c r="CA65" s="241"/>
      <c r="CB65" s="241"/>
      <c r="CC65" s="241"/>
      <c r="CD65" s="241"/>
      <c r="CE65" s="241"/>
      <c r="CF65" s="241"/>
      <c r="CG65" s="241"/>
      <c r="CH65" s="241"/>
      <c r="CI65" s="241"/>
      <c r="CJ65" s="241"/>
      <c r="CK65" s="241"/>
      <c r="CL65" s="241"/>
      <c r="CM65" s="241"/>
      <c r="CN65" s="241"/>
      <c r="CO65" s="241"/>
      <c r="CP65" s="241"/>
      <c r="CQ65" s="241"/>
      <c r="CR65" s="241"/>
      <c r="CS65" s="241"/>
      <c r="CT65" s="241"/>
      <c r="CU65" s="241"/>
      <c r="CV65" s="327" t="s">
        <v>1142</v>
      </c>
      <c r="CW65" s="327" t="s">
        <v>1142</v>
      </c>
      <c r="CX65" s="327" t="s">
        <v>1142</v>
      </c>
      <c r="CY65" s="327" t="s">
        <v>1142</v>
      </c>
      <c r="CZ65" s="327" t="s">
        <v>1142</v>
      </c>
      <c r="DA65" s="327" t="s">
        <v>1142</v>
      </c>
      <c r="DB65" s="327" t="s">
        <v>1142</v>
      </c>
      <c r="DC65" s="327" t="s">
        <v>1142</v>
      </c>
      <c r="DD65" s="327"/>
      <c r="DE65" s="327"/>
      <c r="DF65" s="327"/>
      <c r="DG65" s="327"/>
      <c r="DH65" s="327"/>
      <c r="DI65" s="327"/>
      <c r="DJ65" s="327"/>
      <c r="DK65" s="327"/>
      <c r="DL65" s="327"/>
      <c r="DM65" s="327"/>
      <c r="DN65" s="327"/>
      <c r="DO65" s="327"/>
      <c r="DP65" s="327"/>
      <c r="DQ65" s="327"/>
      <c r="DR65" s="327"/>
      <c r="DS65" s="327"/>
      <c r="DT65" s="325"/>
      <c r="DU65" s="325"/>
    </row>
    <row r="66" spans="1:125" ht="18.75">
      <c r="A66" s="327" t="s">
        <v>1187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1"/>
      <c r="Q66" s="241"/>
      <c r="R66" s="241"/>
      <c r="S66" s="241"/>
      <c r="T66" s="241"/>
      <c r="U66" s="241"/>
      <c r="V66" s="241"/>
      <c r="W66" s="241"/>
      <c r="X66" s="241"/>
      <c r="Y66" s="241"/>
      <c r="Z66" s="241"/>
      <c r="AA66" s="241"/>
      <c r="AB66" s="241"/>
      <c r="AC66" s="241"/>
      <c r="AD66" s="241"/>
      <c r="AE66" s="241"/>
      <c r="AF66" s="241"/>
      <c r="AG66" s="241"/>
      <c r="AH66" s="241"/>
      <c r="AI66" s="241"/>
      <c r="AJ66" s="241"/>
      <c r="AK66" s="241"/>
      <c r="AL66" s="241"/>
      <c r="AM66" s="241"/>
      <c r="AN66" s="241"/>
      <c r="AO66" s="241"/>
      <c r="AP66" s="241"/>
      <c r="AQ66" s="241"/>
      <c r="AR66" s="241"/>
      <c r="AS66" s="241"/>
      <c r="AT66" s="241"/>
      <c r="AU66" s="241"/>
      <c r="AV66" s="241"/>
      <c r="AW66" s="241"/>
      <c r="AX66" s="241"/>
      <c r="AY66" s="241"/>
      <c r="AZ66" s="241"/>
      <c r="BA66" s="241"/>
      <c r="BB66" s="241"/>
      <c r="BC66" s="241"/>
      <c r="BD66" s="241"/>
      <c r="BE66" s="241"/>
      <c r="BF66" s="241"/>
      <c r="BG66" s="241"/>
      <c r="BH66" s="241"/>
      <c r="BI66" s="241"/>
      <c r="BJ66" s="241"/>
      <c r="BK66" s="241"/>
      <c r="BL66" s="241"/>
      <c r="BM66" s="241"/>
      <c r="BN66" s="241"/>
      <c r="BO66" s="241"/>
      <c r="BP66" s="241"/>
      <c r="BQ66" s="241"/>
      <c r="BR66" s="241"/>
      <c r="BS66" s="241"/>
      <c r="BT66" s="241"/>
      <c r="BU66" s="241"/>
      <c r="BV66" s="241"/>
      <c r="BW66" s="241"/>
      <c r="BX66" s="241"/>
      <c r="BY66" s="241"/>
      <c r="BZ66" s="241"/>
      <c r="CA66" s="241"/>
      <c r="CB66" s="241"/>
      <c r="CC66" s="241"/>
      <c r="CD66" s="241"/>
      <c r="CE66" s="241"/>
      <c r="CF66" s="241"/>
      <c r="CG66" s="241"/>
      <c r="CH66" s="241"/>
      <c r="CI66" s="241"/>
      <c r="CJ66" s="241"/>
      <c r="CK66" s="241"/>
      <c r="CL66" s="241"/>
      <c r="CM66" s="241"/>
      <c r="CN66" s="241"/>
      <c r="CO66" s="241"/>
      <c r="CP66" s="241"/>
      <c r="CQ66" s="241"/>
      <c r="CR66" s="241"/>
      <c r="CS66" s="241"/>
      <c r="CT66" s="241"/>
      <c r="CU66" s="241"/>
      <c r="CV66" s="327"/>
      <c r="CW66" s="327"/>
      <c r="CX66" s="327"/>
      <c r="CY66" s="327" t="s">
        <v>1142</v>
      </c>
      <c r="CZ66" s="327"/>
      <c r="DA66" s="327"/>
      <c r="DB66" s="327"/>
      <c r="DC66" s="327" t="s">
        <v>1142</v>
      </c>
      <c r="DD66" s="327" t="s">
        <v>1142</v>
      </c>
      <c r="DE66" s="327" t="s">
        <v>1142</v>
      </c>
      <c r="DF66" s="327" t="s">
        <v>1142</v>
      </c>
      <c r="DG66" s="327" t="s">
        <v>1142</v>
      </c>
      <c r="DH66" s="327" t="s">
        <v>1142</v>
      </c>
      <c r="DI66" s="327" t="s">
        <v>1142</v>
      </c>
      <c r="DJ66" s="327" t="s">
        <v>1142</v>
      </c>
      <c r="DK66" s="327" t="s">
        <v>1142</v>
      </c>
      <c r="DL66" s="327" t="s">
        <v>1142</v>
      </c>
      <c r="DM66" s="327"/>
      <c r="DN66" s="327"/>
      <c r="DO66" s="327"/>
      <c r="DP66" s="327"/>
      <c r="DQ66" s="327"/>
      <c r="DR66" s="327"/>
      <c r="DS66" s="327"/>
      <c r="DT66" s="325"/>
      <c r="DU66" s="325"/>
    </row>
    <row r="67" spans="1:125" ht="18.75">
      <c r="A67" s="327" t="s">
        <v>1188</v>
      </c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1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  <c r="AI67" s="241"/>
      <c r="AJ67" s="241"/>
      <c r="AK67" s="241"/>
      <c r="AL67" s="241"/>
      <c r="AM67" s="241"/>
      <c r="AN67" s="241"/>
      <c r="AO67" s="241"/>
      <c r="AP67" s="241"/>
      <c r="AQ67" s="241"/>
      <c r="AR67" s="241"/>
      <c r="AS67" s="241"/>
      <c r="AT67" s="241"/>
      <c r="AU67" s="241"/>
      <c r="AV67" s="241"/>
      <c r="AW67" s="241"/>
      <c r="AX67" s="241"/>
      <c r="AY67" s="241"/>
      <c r="AZ67" s="241"/>
      <c r="BA67" s="241"/>
      <c r="BB67" s="241"/>
      <c r="BC67" s="241"/>
      <c r="BD67" s="241"/>
      <c r="BE67" s="241"/>
      <c r="BF67" s="241"/>
      <c r="BG67" s="241"/>
      <c r="BH67" s="241"/>
      <c r="BI67" s="241"/>
      <c r="BJ67" s="241"/>
      <c r="BK67" s="241"/>
      <c r="BL67" s="241"/>
      <c r="BM67" s="241"/>
      <c r="BN67" s="241"/>
      <c r="BO67" s="241"/>
      <c r="BP67" s="241"/>
      <c r="BQ67" s="241"/>
      <c r="BR67" s="241"/>
      <c r="BS67" s="241"/>
      <c r="BT67" s="241"/>
      <c r="BU67" s="241"/>
      <c r="BV67" s="241"/>
      <c r="BW67" s="241"/>
      <c r="BX67" s="241"/>
      <c r="BY67" s="241"/>
      <c r="BZ67" s="241"/>
      <c r="CA67" s="241"/>
      <c r="CB67" s="241"/>
      <c r="CC67" s="241"/>
      <c r="CD67" s="241"/>
      <c r="CE67" s="241"/>
      <c r="CF67" s="241"/>
      <c r="CG67" s="241"/>
      <c r="CH67" s="241"/>
      <c r="CI67" s="241"/>
      <c r="CJ67" s="241"/>
      <c r="CK67" s="241"/>
      <c r="CL67" s="241"/>
      <c r="CM67" s="241"/>
      <c r="CN67" s="241"/>
      <c r="CO67" s="241"/>
      <c r="CP67" s="241"/>
      <c r="CQ67" s="241"/>
      <c r="CR67" s="241"/>
      <c r="CS67" s="241"/>
      <c r="CT67" s="241"/>
      <c r="CU67" s="241"/>
      <c r="CV67" s="327"/>
      <c r="CW67" s="327"/>
      <c r="CX67" s="327"/>
      <c r="CY67" s="327" t="s">
        <v>1142</v>
      </c>
      <c r="CZ67" s="327"/>
      <c r="DA67" s="327"/>
      <c r="DB67" s="327"/>
      <c r="DC67" s="327" t="s">
        <v>1142</v>
      </c>
      <c r="DD67" s="327"/>
      <c r="DE67" s="327"/>
      <c r="DF67" s="327"/>
      <c r="DG67" s="327"/>
      <c r="DH67" s="327"/>
      <c r="DI67" s="327"/>
      <c r="DJ67" s="327"/>
      <c r="DK67" s="327"/>
      <c r="DL67" s="327"/>
      <c r="DM67" s="327" t="s">
        <v>1142</v>
      </c>
      <c r="DN67" s="327" t="s">
        <v>1142</v>
      </c>
      <c r="DO67" s="327" t="s">
        <v>1142</v>
      </c>
      <c r="DP67" s="327" t="s">
        <v>1142</v>
      </c>
      <c r="DQ67" s="327" t="s">
        <v>1142</v>
      </c>
      <c r="DR67" s="327" t="s">
        <v>1142</v>
      </c>
      <c r="DS67" s="327"/>
      <c r="DT67" s="325"/>
      <c r="DU67" s="325"/>
    </row>
    <row r="68" spans="1:125" ht="18.75">
      <c r="A68" s="327" t="s">
        <v>1189</v>
      </c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  <c r="AR68" s="241"/>
      <c r="AS68" s="241"/>
      <c r="AT68" s="241"/>
      <c r="AU68" s="241"/>
      <c r="AV68" s="241"/>
      <c r="AW68" s="241"/>
      <c r="AX68" s="241"/>
      <c r="AY68" s="241"/>
      <c r="AZ68" s="241"/>
      <c r="BA68" s="241"/>
      <c r="BB68" s="241"/>
      <c r="BC68" s="241"/>
      <c r="BD68" s="241"/>
      <c r="BE68" s="241"/>
      <c r="BF68" s="241"/>
      <c r="BG68" s="241"/>
      <c r="BH68" s="241"/>
      <c r="BI68" s="241"/>
      <c r="BJ68" s="241"/>
      <c r="BK68" s="241"/>
      <c r="BL68" s="241"/>
      <c r="BM68" s="241"/>
      <c r="BN68" s="241"/>
      <c r="BO68" s="241"/>
      <c r="BP68" s="241"/>
      <c r="BQ68" s="241"/>
      <c r="BR68" s="241"/>
      <c r="BS68" s="241"/>
      <c r="BT68" s="241"/>
      <c r="BU68" s="241"/>
      <c r="BV68" s="241"/>
      <c r="BW68" s="241"/>
      <c r="BX68" s="241"/>
      <c r="BY68" s="241"/>
      <c r="BZ68" s="241"/>
      <c r="CA68" s="241"/>
      <c r="CB68" s="241"/>
      <c r="CC68" s="241"/>
      <c r="CD68" s="241"/>
      <c r="CE68" s="241"/>
      <c r="CF68" s="241"/>
      <c r="CG68" s="241"/>
      <c r="CH68" s="241"/>
      <c r="CI68" s="241"/>
      <c r="CJ68" s="241"/>
      <c r="CK68" s="241"/>
      <c r="CL68" s="241"/>
      <c r="CM68" s="241"/>
      <c r="CN68" s="241"/>
      <c r="CO68" s="241"/>
      <c r="CP68" s="241"/>
      <c r="CQ68" s="241"/>
      <c r="CR68" s="241"/>
      <c r="CS68" s="241"/>
      <c r="CT68" s="241"/>
      <c r="CU68" s="241"/>
      <c r="CV68" s="327"/>
      <c r="CW68" s="327"/>
      <c r="CX68" s="327"/>
      <c r="CY68" s="327"/>
      <c r="CZ68" s="327"/>
      <c r="DA68" s="327"/>
      <c r="DB68" s="327"/>
      <c r="DC68" s="327"/>
      <c r="DD68" s="327"/>
      <c r="DE68" s="327"/>
      <c r="DF68" s="327"/>
      <c r="DG68" s="327"/>
      <c r="DH68" s="327"/>
      <c r="DI68" s="327"/>
      <c r="DJ68" s="327"/>
      <c r="DK68" s="327"/>
      <c r="DL68" s="327"/>
      <c r="DM68" s="327"/>
      <c r="DN68" s="327"/>
      <c r="DO68" s="327"/>
      <c r="DP68" s="327"/>
      <c r="DQ68" s="327"/>
      <c r="DR68" s="327"/>
      <c r="DS68" s="327" t="s">
        <v>1142</v>
      </c>
      <c r="DT68" s="325"/>
      <c r="DU68" s="325"/>
    </row>
  </sheetData>
  <mergeCells count="11">
    <mergeCell ref="DT4:DU4"/>
    <mergeCell ref="BI4:BY4"/>
    <mergeCell ref="BZ4:CD4"/>
    <mergeCell ref="CE4:CU4"/>
    <mergeCell ref="B4:K4"/>
    <mergeCell ref="L4:W4"/>
    <mergeCell ref="X4:AG4"/>
    <mergeCell ref="AH4:AQ4"/>
    <mergeCell ref="AR4:AY4"/>
    <mergeCell ref="AZ4:BH4"/>
    <mergeCell ref="CV4:DS4"/>
  </mergeCells>
  <pageMargins left="0.16" right="0.16" top="0.16" bottom="0.3" header="0.17" footer="0.3"/>
  <pageSetup paperSize="9" scale="3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4B7F-A9CB-4936-8117-D7C12EBE609D}">
  <sheetPr>
    <tabColor theme="0" tint="-0.14999847407452621"/>
  </sheetPr>
  <dimension ref="A1:V73"/>
  <sheetViews>
    <sheetView showGridLines="0" zoomScale="90" zoomScaleNormal="90" zoomScaleSheetLayoutView="70" workbookViewId="0">
      <pane xSplit="7" ySplit="6" topLeftCell="H7" activePane="bottomRight" state="frozen"/>
      <selection pane="bottomRight" activeCell="N78" sqref="N78"/>
      <selection pane="bottomLeft" activeCell="A8" sqref="A8"/>
      <selection pane="topRight" activeCell="H1" sqref="H1"/>
    </sheetView>
  </sheetViews>
  <sheetFormatPr defaultRowHeight="15"/>
  <cols>
    <col min="1" max="1" width="6" style="257" customWidth="1"/>
    <col min="2" max="2" width="8.5703125" style="257" customWidth="1"/>
    <col min="3" max="3" width="22.85546875" style="257" bestFit="1" customWidth="1"/>
    <col min="4" max="4" width="24.42578125" style="257" bestFit="1" customWidth="1"/>
    <col min="5" max="5" width="15.7109375" style="257" bestFit="1" customWidth="1"/>
    <col min="6" max="6" width="14.28515625" style="257" hidden="1" customWidth="1"/>
    <col min="7" max="7" width="12.7109375" style="288" customWidth="1"/>
    <col min="8" max="8" width="9.7109375" style="237" bestFit="1" customWidth="1"/>
    <col min="9" max="9" width="9.5703125" style="237" bestFit="1" customWidth="1"/>
    <col min="10" max="10" width="10.5703125" style="237" bestFit="1" customWidth="1"/>
    <col min="11" max="11" width="8.7109375" style="237" bestFit="1" customWidth="1"/>
    <col min="12" max="12" width="6" style="237" bestFit="1" customWidth="1"/>
    <col min="13" max="13" width="7.42578125" style="237" bestFit="1" customWidth="1"/>
    <col min="14" max="14" width="7.85546875" style="237" bestFit="1" customWidth="1"/>
    <col min="15" max="15" width="6.140625" style="237" bestFit="1" customWidth="1"/>
    <col min="16" max="16" width="12.7109375" style="237" customWidth="1"/>
    <col min="17" max="17" width="11.42578125" style="237" bestFit="1" customWidth="1"/>
    <col min="18" max="18" width="12.5703125" style="237" bestFit="1" customWidth="1"/>
    <col min="19" max="19" width="12.140625" style="237" bestFit="1" customWidth="1"/>
    <col min="20" max="20" width="17.85546875" style="283" bestFit="1" customWidth="1"/>
    <col min="21" max="21" width="18.42578125" style="283" bestFit="1" customWidth="1"/>
    <col min="22" max="22" width="14.28515625" style="288" bestFit="1" customWidth="1"/>
    <col min="23" max="16384" width="9.140625" style="257"/>
  </cols>
  <sheetData>
    <row r="1" spans="1:22">
      <c r="H1" s="257"/>
      <c r="I1" s="257"/>
      <c r="J1" s="257"/>
      <c r="K1" s="257"/>
      <c r="L1" s="257"/>
      <c r="M1" s="257"/>
      <c r="N1" s="257"/>
      <c r="O1" s="257"/>
      <c r="P1" s="291" t="s">
        <v>1</v>
      </c>
      <c r="Q1" s="292"/>
      <c r="R1" s="292"/>
      <c r="S1" s="293"/>
    </row>
    <row r="2" spans="1:22">
      <c r="A2" s="367" t="s">
        <v>0</v>
      </c>
      <c r="B2" s="367"/>
      <c r="C2" s="367"/>
      <c r="D2" s="367"/>
      <c r="E2" s="367"/>
      <c r="F2" s="367"/>
      <c r="G2" s="367"/>
      <c r="H2" s="257"/>
      <c r="I2" s="257"/>
      <c r="J2" s="257"/>
      <c r="K2" s="257"/>
      <c r="L2" s="257"/>
      <c r="M2" s="257"/>
      <c r="N2" s="257"/>
      <c r="O2" s="257"/>
      <c r="P2" s="291" t="s">
        <v>2</v>
      </c>
      <c r="Q2" s="292"/>
      <c r="R2" s="292"/>
      <c r="S2" s="293"/>
    </row>
    <row r="3" spans="1:22">
      <c r="A3" s="367"/>
      <c r="B3" s="367"/>
      <c r="C3" s="367"/>
      <c r="D3" s="367"/>
      <c r="E3" s="367"/>
      <c r="F3" s="367"/>
      <c r="G3" s="367"/>
      <c r="H3" s="257"/>
      <c r="I3" s="257"/>
      <c r="J3" s="257"/>
      <c r="K3" s="257"/>
      <c r="L3" s="257"/>
      <c r="M3" s="257"/>
      <c r="N3" s="257"/>
      <c r="O3" s="257"/>
      <c r="P3" s="291" t="s">
        <v>3</v>
      </c>
      <c r="Q3" s="292"/>
      <c r="R3" s="292"/>
      <c r="S3" s="293"/>
    </row>
    <row r="4" spans="1:22">
      <c r="H4" s="257"/>
      <c r="I4" s="257"/>
      <c r="J4" s="257"/>
      <c r="K4" s="257"/>
      <c r="L4" s="257"/>
      <c r="M4" s="257"/>
      <c r="N4" s="257"/>
      <c r="O4" s="257"/>
      <c r="P4" s="291" t="s">
        <v>4</v>
      </c>
      <c r="Q4" s="292"/>
      <c r="R4" s="292"/>
      <c r="S4" s="293"/>
    </row>
    <row r="5" spans="1:22" s="285" customFormat="1" ht="15" customHeight="1">
      <c r="A5" s="368" t="s">
        <v>5</v>
      </c>
      <c r="B5" s="368" t="s">
        <v>6</v>
      </c>
      <c r="C5" s="368" t="s">
        <v>1190</v>
      </c>
      <c r="D5" s="368" t="s">
        <v>1191</v>
      </c>
      <c r="E5" s="372" t="s">
        <v>1192</v>
      </c>
      <c r="F5" s="368" t="s">
        <v>8</v>
      </c>
      <c r="G5" s="370" t="s">
        <v>1193</v>
      </c>
      <c r="H5" s="364" t="s">
        <v>1194</v>
      </c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6"/>
      <c r="T5" s="284"/>
      <c r="U5" s="284"/>
      <c r="V5" s="305"/>
    </row>
    <row r="6" spans="1:22" s="284" customFormat="1" ht="30">
      <c r="A6" s="369"/>
      <c r="B6" s="369"/>
      <c r="C6" s="369"/>
      <c r="D6" s="369"/>
      <c r="E6" s="373"/>
      <c r="F6" s="369"/>
      <c r="G6" s="371"/>
      <c r="H6" s="294" t="s">
        <v>1195</v>
      </c>
      <c r="I6" s="294" t="s">
        <v>1048</v>
      </c>
      <c r="J6" s="294" t="s">
        <v>1049</v>
      </c>
      <c r="K6" s="294" t="s">
        <v>1196</v>
      </c>
      <c r="L6" s="294" t="s">
        <v>1051</v>
      </c>
      <c r="M6" s="294" t="s">
        <v>1052</v>
      </c>
      <c r="N6" s="286" t="s">
        <v>39</v>
      </c>
      <c r="O6" s="294" t="s">
        <v>1197</v>
      </c>
      <c r="P6" s="294" t="s">
        <v>1054</v>
      </c>
      <c r="Q6" s="294" t="s">
        <v>1198</v>
      </c>
      <c r="R6" s="294" t="s">
        <v>1199</v>
      </c>
      <c r="S6" s="294" t="s">
        <v>1200</v>
      </c>
      <c r="T6" s="286" t="s">
        <v>1201</v>
      </c>
      <c r="U6" s="286" t="s">
        <v>1202</v>
      </c>
      <c r="V6" s="315" t="s">
        <v>1203</v>
      </c>
    </row>
    <row r="7" spans="1:22">
      <c r="A7" s="256">
        <f>ROWS($B$5:B5)</f>
        <v>1</v>
      </c>
      <c r="B7" s="256" t="s">
        <v>343</v>
      </c>
      <c r="C7" s="256" t="s">
        <v>344</v>
      </c>
      <c r="D7" s="256" t="s">
        <v>1204</v>
      </c>
      <c r="E7" s="256"/>
      <c r="F7" s="256" t="s">
        <v>336</v>
      </c>
      <c r="G7" s="290"/>
      <c r="H7" s="236" t="b">
        <v>1</v>
      </c>
      <c r="I7" s="236" t="b">
        <v>1</v>
      </c>
      <c r="J7" s="236" t="b">
        <v>1</v>
      </c>
      <c r="K7" s="236" t="b">
        <v>1</v>
      </c>
      <c r="L7" s="236" t="b">
        <v>1</v>
      </c>
      <c r="M7" s="236" t="b">
        <v>1</v>
      </c>
      <c r="N7" s="236" t="b">
        <v>1</v>
      </c>
      <c r="O7" s="236" t="b">
        <v>0</v>
      </c>
      <c r="P7" s="236" t="b">
        <v>1</v>
      </c>
      <c r="Q7" s="236" t="b">
        <v>1</v>
      </c>
      <c r="R7" s="236" t="b">
        <v>1</v>
      </c>
      <c r="S7" s="236" t="b">
        <v>1</v>
      </c>
      <c r="T7" s="287" t="str" cm="1">
        <f t="array" ref="T7">IF(SUMPRODUCT((Cert_Matrix!$A$6:$A$11=E7)*(Cert_Matrix!$B$6:$K$11="X")*(H7:Q7=TRUE))&lt;SUMPRODUCT((Cert_Matrix!$A$6:$A$11=E7)*(Cert_Matrix!$B$6:$K$11="X")),"Thiếu chứng nhận","Đủ điều kiện")</f>
        <v>Đủ điều kiện</v>
      </c>
      <c r="U7" s="287"/>
      <c r="V7" s="290"/>
    </row>
    <row r="8" spans="1:22">
      <c r="A8" s="256">
        <f>ROWS($B$5:B6)</f>
        <v>2</v>
      </c>
      <c r="B8" s="256" t="s">
        <v>1205</v>
      </c>
      <c r="C8" s="256" t="s">
        <v>768</v>
      </c>
      <c r="D8" s="256" t="s">
        <v>1204</v>
      </c>
      <c r="E8" s="256"/>
      <c r="F8" s="256" t="s">
        <v>336</v>
      </c>
      <c r="G8" s="290"/>
      <c r="H8" s="236" t="b">
        <v>1</v>
      </c>
      <c r="I8" s="236" t="b">
        <v>1</v>
      </c>
      <c r="J8" s="236" t="b">
        <v>1</v>
      </c>
      <c r="K8" s="236" t="b">
        <v>1</v>
      </c>
      <c r="L8" s="236" t="b">
        <v>1</v>
      </c>
      <c r="M8" s="236" t="b">
        <v>1</v>
      </c>
      <c r="N8" s="236" t="b">
        <v>1</v>
      </c>
      <c r="O8" s="236" t="b">
        <v>0</v>
      </c>
      <c r="P8" s="236" t="b">
        <v>1</v>
      </c>
      <c r="Q8" s="236" t="b">
        <v>1</v>
      </c>
      <c r="R8" s="236" t="b">
        <v>1</v>
      </c>
      <c r="S8" s="236" t="b">
        <v>1</v>
      </c>
      <c r="T8" s="287" t="str" cm="1">
        <f t="array" ref="T8">IF(SUMPRODUCT((Cert_Matrix!$A$6:$A$11=E8)*(Cert_Matrix!$B$6:$K$11="X")*(H8:Q8=TRUE))&lt;SUMPRODUCT((Cert_Matrix!$A$6:$A$11=E8)*(Cert_Matrix!$B$6:$K$11="X")),"Thiếu chứng nhận","Đủ điều kiện")</f>
        <v>Đủ điều kiện</v>
      </c>
      <c r="U8" s="287"/>
      <c r="V8" s="290"/>
    </row>
    <row r="9" spans="1:22">
      <c r="A9" s="256">
        <f>ROWS($B$5:B7)</f>
        <v>3</v>
      </c>
      <c r="B9" s="256" t="s">
        <v>349</v>
      </c>
      <c r="C9" s="256" t="s">
        <v>350</v>
      </c>
      <c r="D9" s="256" t="s">
        <v>1206</v>
      </c>
      <c r="E9" s="256" t="s">
        <v>1144</v>
      </c>
      <c r="F9" s="256" t="s">
        <v>336</v>
      </c>
      <c r="G9" s="290"/>
      <c r="H9" s="236" t="b">
        <v>0</v>
      </c>
      <c r="I9" s="236" t="b">
        <v>0</v>
      </c>
      <c r="J9" s="236" t="b">
        <v>0</v>
      </c>
      <c r="K9" s="236" t="b">
        <v>0</v>
      </c>
      <c r="L9" s="236" t="b">
        <v>0</v>
      </c>
      <c r="M9" s="236" t="b">
        <v>0</v>
      </c>
      <c r="N9" s="236" t="b">
        <v>1</v>
      </c>
      <c r="O9" s="236" t="b">
        <v>0</v>
      </c>
      <c r="P9" s="236" t="b">
        <v>0</v>
      </c>
      <c r="Q9" s="236" t="b">
        <v>1</v>
      </c>
      <c r="R9" s="236" t="b">
        <v>1</v>
      </c>
      <c r="S9" s="236" t="b">
        <v>0</v>
      </c>
      <c r="T9" s="287" t="str" cm="1">
        <f t="array" ref="T9">IF(SUMPRODUCT((Cert_Matrix!$A$6:$A$11=E9)*(Cert_Matrix!$B$6:$K$11="X")*(H9:Q9=TRUE))&lt;SUMPRODUCT((Cert_Matrix!$A$6:$A$11=E9)*(Cert_Matrix!$B$6:$K$11="X")),"Thiếu chứng nhận","Đủ điều kiện")</f>
        <v>Đủ điều kiện</v>
      </c>
      <c r="U9" s="287"/>
      <c r="V9" s="290"/>
    </row>
    <row r="10" spans="1:22">
      <c r="A10" s="256">
        <f>ROWS($B$5:B8)</f>
        <v>4</v>
      </c>
      <c r="B10" s="256" t="s">
        <v>389</v>
      </c>
      <c r="C10" s="256" t="s">
        <v>390</v>
      </c>
      <c r="D10" s="256" t="s">
        <v>1207</v>
      </c>
      <c r="E10" s="256" t="s">
        <v>1143</v>
      </c>
      <c r="F10" s="256" t="s">
        <v>336</v>
      </c>
      <c r="G10" s="290"/>
      <c r="H10" s="236" t="b">
        <v>1</v>
      </c>
      <c r="I10" s="236" t="b">
        <v>1</v>
      </c>
      <c r="J10" s="236" t="b">
        <v>1</v>
      </c>
      <c r="K10" s="236" t="b">
        <v>1</v>
      </c>
      <c r="L10" s="236" t="b">
        <v>1</v>
      </c>
      <c r="M10" s="236" t="b">
        <v>1</v>
      </c>
      <c r="N10" s="236" t="b">
        <v>1</v>
      </c>
      <c r="O10" s="236" t="b">
        <v>0</v>
      </c>
      <c r="P10" s="236" t="b">
        <v>1</v>
      </c>
      <c r="Q10" s="236" t="b">
        <v>1</v>
      </c>
      <c r="R10" s="236" t="b">
        <v>1</v>
      </c>
      <c r="S10" s="236" t="b">
        <v>0</v>
      </c>
      <c r="T10" s="287" t="str" cm="1">
        <f t="array" ref="T10">IF(SUMPRODUCT((Cert_Matrix!$A$6:$A$11=E10)*(Cert_Matrix!$B$6:$K$11="X")*(H10:Q10=TRUE))&lt;SUMPRODUCT((Cert_Matrix!$A$6:$A$11=E10)*(Cert_Matrix!$B$6:$K$11="X")),"Thiếu chứng nhận","Đủ điều kiện")</f>
        <v>Đủ điều kiện</v>
      </c>
      <c r="U10" s="287"/>
      <c r="V10" s="290"/>
    </row>
    <row r="11" spans="1:22">
      <c r="A11" s="256">
        <f>ROWS($B$5:B9)</f>
        <v>5</v>
      </c>
      <c r="B11" s="256" t="s">
        <v>334</v>
      </c>
      <c r="C11" s="256" t="s">
        <v>335</v>
      </c>
      <c r="D11" s="256" t="s">
        <v>1207</v>
      </c>
      <c r="E11" s="256" t="s">
        <v>1143</v>
      </c>
      <c r="F11" s="256" t="s">
        <v>336</v>
      </c>
      <c r="G11" s="290">
        <v>46135</v>
      </c>
      <c r="H11" s="236" t="b">
        <v>1</v>
      </c>
      <c r="I11" s="236" t="b">
        <v>1</v>
      </c>
      <c r="J11" s="236" t="b">
        <v>1</v>
      </c>
      <c r="K11" s="236" t="b">
        <v>1</v>
      </c>
      <c r="L11" s="236" t="b">
        <v>1</v>
      </c>
      <c r="M11" s="236" t="b">
        <v>1</v>
      </c>
      <c r="N11" s="236" t="b">
        <v>1</v>
      </c>
      <c r="O11" s="236" t="b">
        <v>1</v>
      </c>
      <c r="P11" s="236" t="b">
        <v>1</v>
      </c>
      <c r="Q11" s="236" t="b">
        <v>1</v>
      </c>
      <c r="R11" s="236" t="b">
        <v>1</v>
      </c>
      <c r="S11" s="236" t="b">
        <v>1</v>
      </c>
      <c r="T11" s="287" t="str" cm="1">
        <f t="array" ref="T11">IF(SUMPRODUCT((Cert_Matrix!$A$6:$A$11=E11)*(Cert_Matrix!$B$6:$K$11="X")*(H11:Q11=TRUE))&lt;SUMPRODUCT((Cert_Matrix!$A$6:$A$11=E11)*(Cert_Matrix!$B$6:$K$11="X")),"Thiếu chứng nhận","Đủ điều kiện")</f>
        <v>Đủ điều kiện</v>
      </c>
      <c r="U11" s="287"/>
      <c r="V11" s="290"/>
    </row>
    <row r="12" spans="1:22">
      <c r="A12" s="256">
        <f>ROWS($B$5:B10)</f>
        <v>6</v>
      </c>
      <c r="B12" s="256" t="s">
        <v>339</v>
      </c>
      <c r="C12" s="256" t="s">
        <v>340</v>
      </c>
      <c r="D12" s="256" t="s">
        <v>1208</v>
      </c>
      <c r="E12" s="256" t="s">
        <v>1143</v>
      </c>
      <c r="F12" s="256" t="s">
        <v>336</v>
      </c>
      <c r="G12" s="290"/>
      <c r="H12" s="236" t="b">
        <v>1</v>
      </c>
      <c r="I12" s="236" t="b">
        <v>1</v>
      </c>
      <c r="J12" s="236" t="b">
        <v>1</v>
      </c>
      <c r="K12" s="236" t="b">
        <v>1</v>
      </c>
      <c r="L12" s="236" t="b">
        <v>1</v>
      </c>
      <c r="M12" s="236" t="b">
        <v>0</v>
      </c>
      <c r="N12" s="236" t="b">
        <v>1</v>
      </c>
      <c r="O12" s="236" t="b">
        <v>0</v>
      </c>
      <c r="P12" s="236" t="b">
        <v>0</v>
      </c>
      <c r="Q12" s="236" t="b">
        <v>1</v>
      </c>
      <c r="R12" s="236" t="b">
        <v>1</v>
      </c>
      <c r="S12" s="236" t="b">
        <v>0</v>
      </c>
      <c r="T12" s="287" t="str" cm="1">
        <f t="array" ref="T12">IF(SUMPRODUCT((Cert_Matrix!$A$6:$A$11=E12)*(Cert_Matrix!$B$6:$K$11="X")*(H12:Q12=TRUE))&lt;SUMPRODUCT((Cert_Matrix!$A$6:$A$11=E12)*(Cert_Matrix!$B$6:$K$11="X")),"Thiếu chứng nhận","Đủ điều kiện")</f>
        <v>Đủ điều kiện</v>
      </c>
      <c r="U12" s="287"/>
      <c r="V12" s="290"/>
    </row>
    <row r="13" spans="1:22">
      <c r="A13" s="256">
        <f>ROWS($B$5:B11)</f>
        <v>7</v>
      </c>
      <c r="B13" s="256" t="s">
        <v>345</v>
      </c>
      <c r="C13" s="256" t="s">
        <v>346</v>
      </c>
      <c r="D13" s="256" t="s">
        <v>1206</v>
      </c>
      <c r="E13" s="256" t="s">
        <v>1144</v>
      </c>
      <c r="F13" s="256" t="s">
        <v>336</v>
      </c>
      <c r="G13" s="290"/>
      <c r="H13" s="236" t="b">
        <v>0</v>
      </c>
      <c r="I13" s="236" t="b">
        <v>0</v>
      </c>
      <c r="J13" s="236" t="b">
        <v>0</v>
      </c>
      <c r="K13" s="236" t="b">
        <v>0</v>
      </c>
      <c r="L13" s="236" t="b">
        <v>0</v>
      </c>
      <c r="M13" s="236" t="b">
        <v>0</v>
      </c>
      <c r="N13" s="236" t="b">
        <v>1</v>
      </c>
      <c r="O13" s="236" t="b">
        <v>0</v>
      </c>
      <c r="P13" s="236" t="b">
        <v>0</v>
      </c>
      <c r="Q13" s="236" t="b">
        <v>1</v>
      </c>
      <c r="R13" s="236" t="b">
        <v>1</v>
      </c>
      <c r="S13" s="236" t="b">
        <v>0</v>
      </c>
      <c r="T13" s="287" t="str" cm="1">
        <f t="array" ref="T13">IF(SUMPRODUCT((Cert_Matrix!$A$6:$A$11=E13)*(Cert_Matrix!$B$6:$K$11="X")*(H13:Q13=TRUE))&lt;SUMPRODUCT((Cert_Matrix!$A$6:$A$11=E13)*(Cert_Matrix!$B$6:$K$11="X")),"Thiếu chứng nhận","Đủ điều kiện")</f>
        <v>Đủ điều kiện</v>
      </c>
      <c r="U13" s="287"/>
      <c r="V13" s="290"/>
    </row>
    <row r="14" spans="1:22">
      <c r="A14" s="256">
        <f>ROWS($B$5:B12)</f>
        <v>8</v>
      </c>
      <c r="B14" s="256" t="s">
        <v>377</v>
      </c>
      <c r="C14" s="256" t="s">
        <v>378</v>
      </c>
      <c r="D14" s="256" t="s">
        <v>1209</v>
      </c>
      <c r="E14" s="256" t="s">
        <v>1146</v>
      </c>
      <c r="F14" s="256" t="s">
        <v>336</v>
      </c>
      <c r="G14" s="290"/>
      <c r="H14" s="236" t="b">
        <v>0</v>
      </c>
      <c r="I14" s="236" t="b">
        <v>0</v>
      </c>
      <c r="J14" s="236" t="b">
        <v>0</v>
      </c>
      <c r="K14" s="236" t="b">
        <v>0</v>
      </c>
      <c r="L14" s="236" t="b">
        <v>0</v>
      </c>
      <c r="M14" s="236" t="b">
        <v>0</v>
      </c>
      <c r="N14" s="236" t="b">
        <v>1</v>
      </c>
      <c r="O14" s="236" t="b">
        <v>0</v>
      </c>
      <c r="P14" s="236" t="b">
        <v>0</v>
      </c>
      <c r="Q14" s="236" t="b">
        <v>1</v>
      </c>
      <c r="R14" s="236" t="b">
        <v>1</v>
      </c>
      <c r="S14" s="236" t="b">
        <v>0</v>
      </c>
      <c r="T14" s="287" t="str" cm="1">
        <f t="array" ref="T14">IF(SUMPRODUCT((Cert_Matrix!$A$6:$A$11=E14)*(Cert_Matrix!$B$6:$K$11="X")*(H14:Q14=TRUE))&lt;SUMPRODUCT((Cert_Matrix!$A$6:$A$11=E14)*(Cert_Matrix!$B$6:$K$11="X")),"Thiếu chứng nhận","Đủ điều kiện")</f>
        <v>Đủ điều kiện</v>
      </c>
      <c r="U14" s="287"/>
      <c r="V14" s="290"/>
    </row>
    <row r="15" spans="1:22">
      <c r="A15" s="256">
        <f>ROWS($B$5:B13)</f>
        <v>9</v>
      </c>
      <c r="B15" s="256" t="s">
        <v>381</v>
      </c>
      <c r="C15" s="256" t="s">
        <v>382</v>
      </c>
      <c r="D15" s="256" t="s">
        <v>1210</v>
      </c>
      <c r="E15" s="256" t="s">
        <v>1141</v>
      </c>
      <c r="F15" s="256" t="s">
        <v>336</v>
      </c>
      <c r="G15" s="290"/>
      <c r="H15" s="236" t="b">
        <v>1</v>
      </c>
      <c r="I15" s="236" t="b">
        <v>1</v>
      </c>
      <c r="J15" s="236" t="b">
        <v>1</v>
      </c>
      <c r="K15" s="236" t="b">
        <v>1</v>
      </c>
      <c r="L15" s="236" t="b">
        <v>0</v>
      </c>
      <c r="M15" s="236" t="b">
        <v>0</v>
      </c>
      <c r="N15" s="236" t="b">
        <v>1</v>
      </c>
      <c r="O15" s="236" t="b">
        <v>0</v>
      </c>
      <c r="P15" s="236" t="b">
        <v>0</v>
      </c>
      <c r="Q15" s="236" t="b">
        <v>0</v>
      </c>
      <c r="R15" s="236" t="b">
        <v>1</v>
      </c>
      <c r="S15" s="236" t="b">
        <v>0</v>
      </c>
      <c r="T15" s="287" t="str" cm="1">
        <f t="array" ref="T15">IF(SUMPRODUCT((Cert_Matrix!$A$6:$A$11=E15)*(Cert_Matrix!$B$6:$K$11="X")*(H15:Q15=TRUE))&lt;SUMPRODUCT((Cert_Matrix!$A$6:$A$11=E15)*(Cert_Matrix!$B$6:$K$11="X")),"Thiếu chứng nhận","Đủ điều kiện")</f>
        <v>Đủ điều kiện</v>
      </c>
      <c r="U15" s="287"/>
      <c r="V15" s="290"/>
    </row>
    <row r="16" spans="1:22">
      <c r="A16" s="256">
        <f>ROWS($B$5:B14)</f>
        <v>10</v>
      </c>
      <c r="B16" s="256" t="s">
        <v>353</v>
      </c>
      <c r="C16" s="256" t="s">
        <v>354</v>
      </c>
      <c r="D16" s="256" t="s">
        <v>1206</v>
      </c>
      <c r="E16" s="256" t="s">
        <v>1144</v>
      </c>
      <c r="F16" s="256" t="s">
        <v>336</v>
      </c>
      <c r="G16" s="290"/>
      <c r="H16" s="236" t="b">
        <v>0</v>
      </c>
      <c r="I16" s="236" t="b">
        <v>0</v>
      </c>
      <c r="J16" s="236" t="b">
        <v>0</v>
      </c>
      <c r="K16" s="236" t="b">
        <v>0</v>
      </c>
      <c r="L16" s="236" t="b">
        <v>0</v>
      </c>
      <c r="M16" s="236" t="b">
        <v>0</v>
      </c>
      <c r="N16" s="236" t="b">
        <v>1</v>
      </c>
      <c r="O16" s="236" t="b">
        <v>0</v>
      </c>
      <c r="P16" s="236" t="b">
        <v>0</v>
      </c>
      <c r="Q16" s="236" t="b">
        <v>1</v>
      </c>
      <c r="R16" s="236" t="b">
        <v>1</v>
      </c>
      <c r="S16" s="236" t="b">
        <v>0</v>
      </c>
      <c r="T16" s="287" t="str" cm="1">
        <f t="array" ref="T16">IF(SUMPRODUCT((Cert_Matrix!$A$6:$A$11=E16)*(Cert_Matrix!$B$6:$K$11="X")*(H16:Q16=TRUE))&lt;SUMPRODUCT((Cert_Matrix!$A$6:$A$11=E16)*(Cert_Matrix!$B$6:$K$11="X")),"Thiếu chứng nhận","Đủ điều kiện")</f>
        <v>Đủ điều kiện</v>
      </c>
      <c r="U16" s="287"/>
      <c r="V16" s="290"/>
    </row>
    <row r="17" spans="1:22">
      <c r="A17" s="256">
        <f>ROWS($B$5:B15)</f>
        <v>11</v>
      </c>
      <c r="B17" s="256" t="s">
        <v>383</v>
      </c>
      <c r="C17" s="256" t="s">
        <v>384</v>
      </c>
      <c r="D17" s="256" t="s">
        <v>1208</v>
      </c>
      <c r="E17" s="256" t="s">
        <v>1143</v>
      </c>
      <c r="F17" s="256" t="s">
        <v>336</v>
      </c>
      <c r="G17" s="290"/>
      <c r="H17" s="236" t="b">
        <v>1</v>
      </c>
      <c r="I17" s="236" t="b">
        <v>1</v>
      </c>
      <c r="J17" s="236" t="b">
        <v>1</v>
      </c>
      <c r="K17" s="236" t="b">
        <v>1</v>
      </c>
      <c r="L17" s="236" t="b">
        <v>1</v>
      </c>
      <c r="M17" s="236" t="b">
        <v>0</v>
      </c>
      <c r="N17" s="236" t="b">
        <v>1</v>
      </c>
      <c r="O17" s="236" t="b">
        <v>0</v>
      </c>
      <c r="P17" s="236" t="b">
        <v>0</v>
      </c>
      <c r="Q17" s="236" t="b">
        <v>1</v>
      </c>
      <c r="R17" s="236" t="b">
        <v>1</v>
      </c>
      <c r="S17" s="236" t="b">
        <v>0</v>
      </c>
      <c r="T17" s="287" t="str" cm="1">
        <f t="array" ref="T17">IF(SUMPRODUCT((Cert_Matrix!$A$6:$A$11=E17)*(Cert_Matrix!$B$6:$K$11="X")*(H17:Q17=TRUE))&lt;SUMPRODUCT((Cert_Matrix!$A$6:$A$11=E17)*(Cert_Matrix!$B$6:$K$11="X")),"Thiếu chứng nhận","Đủ điều kiện")</f>
        <v>Đủ điều kiện</v>
      </c>
      <c r="U17" s="287"/>
      <c r="V17" s="290"/>
    </row>
    <row r="18" spans="1:22">
      <c r="A18" s="256">
        <f>ROWS($B$5:B16)</f>
        <v>12</v>
      </c>
      <c r="B18" s="256" t="s">
        <v>369</v>
      </c>
      <c r="C18" s="256" t="s">
        <v>370</v>
      </c>
      <c r="D18" s="256" t="s">
        <v>1211</v>
      </c>
      <c r="E18" s="256" t="s">
        <v>1143</v>
      </c>
      <c r="F18" s="256" t="s">
        <v>336</v>
      </c>
      <c r="G18" s="290"/>
      <c r="H18" s="236" t="b">
        <v>0</v>
      </c>
      <c r="I18" s="236" t="b">
        <v>0</v>
      </c>
      <c r="J18" s="236" t="b">
        <v>0</v>
      </c>
      <c r="K18" s="236" t="b">
        <v>0</v>
      </c>
      <c r="L18" s="236" t="b">
        <v>1</v>
      </c>
      <c r="M18" s="236" t="b">
        <v>0</v>
      </c>
      <c r="N18" s="236" t="b">
        <v>1</v>
      </c>
      <c r="O18" s="236" t="b">
        <v>0</v>
      </c>
      <c r="P18" s="236" t="b">
        <v>0</v>
      </c>
      <c r="Q18" s="236" t="b">
        <v>1</v>
      </c>
      <c r="R18" s="236" t="b">
        <v>1</v>
      </c>
      <c r="S18" s="236" t="b">
        <v>0</v>
      </c>
      <c r="T18" s="287" t="str" cm="1">
        <f t="array" ref="T18">IF(SUMPRODUCT((Cert_Matrix!$A$6:$A$11=E18)*(Cert_Matrix!$B$6:$K$11="X")*(H18:Q18=TRUE))&lt;SUMPRODUCT((Cert_Matrix!$A$6:$A$11=E18)*(Cert_Matrix!$B$6:$K$11="X")),"Thiếu chứng nhận","Đủ điều kiện")</f>
        <v>Đủ điều kiện</v>
      </c>
      <c r="U18" s="287"/>
      <c r="V18" s="290"/>
    </row>
    <row r="19" spans="1:22">
      <c r="A19" s="256">
        <f>ROWS($B$5:B17)</f>
        <v>13</v>
      </c>
      <c r="B19" s="256" t="s">
        <v>361</v>
      </c>
      <c r="C19" s="256" t="s">
        <v>362</v>
      </c>
      <c r="D19" s="256" t="s">
        <v>1211</v>
      </c>
      <c r="E19" s="256" t="s">
        <v>1143</v>
      </c>
      <c r="F19" s="256" t="s">
        <v>336</v>
      </c>
      <c r="G19" s="290"/>
      <c r="H19" s="236" t="b">
        <v>0</v>
      </c>
      <c r="I19" s="236" t="b">
        <v>0</v>
      </c>
      <c r="J19" s="236" t="b">
        <v>0</v>
      </c>
      <c r="K19" s="236" t="b">
        <v>0</v>
      </c>
      <c r="L19" s="236" t="b">
        <v>1</v>
      </c>
      <c r="M19" s="236" t="b">
        <v>0</v>
      </c>
      <c r="N19" s="236" t="b">
        <v>1</v>
      </c>
      <c r="O19" s="236" t="b">
        <v>0</v>
      </c>
      <c r="P19" s="236" t="b">
        <v>0</v>
      </c>
      <c r="Q19" s="236" t="b">
        <v>0</v>
      </c>
      <c r="R19" s="236" t="b">
        <v>1</v>
      </c>
      <c r="S19" s="236" t="b">
        <v>0</v>
      </c>
      <c r="T19" s="287" t="str" cm="1">
        <f t="array" ref="T19">IF(SUMPRODUCT((Cert_Matrix!$A$6:$A$11=E19)*(Cert_Matrix!$B$6:$K$11="X")*(H19:Q19=TRUE))&lt;SUMPRODUCT((Cert_Matrix!$A$6:$A$11=E19)*(Cert_Matrix!$B$6:$K$11="X")),"Thiếu chứng nhận","Đủ điều kiện")</f>
        <v>Đủ điều kiện</v>
      </c>
      <c r="U19" s="287"/>
      <c r="V19" s="290"/>
    </row>
    <row r="20" spans="1:22">
      <c r="A20" s="256">
        <f>ROWS($B$5:B18)</f>
        <v>14</v>
      </c>
      <c r="B20" s="256" t="s">
        <v>437</v>
      </c>
      <c r="C20" s="256" t="s">
        <v>438</v>
      </c>
      <c r="D20" s="256" t="s">
        <v>1206</v>
      </c>
      <c r="E20" s="256" t="s">
        <v>1144</v>
      </c>
      <c r="F20" s="256" t="s">
        <v>336</v>
      </c>
      <c r="G20" s="290"/>
      <c r="H20" s="236" t="b">
        <v>0</v>
      </c>
      <c r="I20" s="236" t="b">
        <v>0</v>
      </c>
      <c r="J20" s="236" t="b">
        <v>0</v>
      </c>
      <c r="K20" s="236" t="b">
        <v>0</v>
      </c>
      <c r="L20" s="236" t="b">
        <v>0</v>
      </c>
      <c r="M20" s="236" t="b">
        <v>0</v>
      </c>
      <c r="N20" s="236" t="b">
        <v>1</v>
      </c>
      <c r="O20" s="236" t="b">
        <v>0</v>
      </c>
      <c r="P20" s="236" t="b">
        <v>1</v>
      </c>
      <c r="Q20" s="236" t="b">
        <v>1</v>
      </c>
      <c r="R20" s="236" t="b">
        <v>1</v>
      </c>
      <c r="S20" s="236" t="b">
        <v>0</v>
      </c>
      <c r="T20" s="287" t="str" cm="1">
        <f t="array" ref="T20">IF(SUMPRODUCT((Cert_Matrix!$A$6:$A$11=E20)*(Cert_Matrix!$B$6:$K$11="X")*(H20:Q20=TRUE))&lt;SUMPRODUCT((Cert_Matrix!$A$6:$A$11=E20)*(Cert_Matrix!$B$6:$K$11="X")),"Thiếu chứng nhận","Đủ điều kiện")</f>
        <v>Đủ điều kiện</v>
      </c>
      <c r="U20" s="287"/>
      <c r="V20" s="290"/>
    </row>
    <row r="21" spans="1:22">
      <c r="A21" s="256">
        <f>ROWS($B$5:B19)</f>
        <v>15</v>
      </c>
      <c r="B21" s="256" t="s">
        <v>359</v>
      </c>
      <c r="C21" s="256" t="s">
        <v>360</v>
      </c>
      <c r="D21" s="256" t="s">
        <v>1211</v>
      </c>
      <c r="E21" s="256" t="s">
        <v>1143</v>
      </c>
      <c r="F21" s="256" t="s">
        <v>336</v>
      </c>
      <c r="G21" s="290"/>
      <c r="H21" s="236" t="b">
        <v>0</v>
      </c>
      <c r="I21" s="236" t="b">
        <v>0</v>
      </c>
      <c r="J21" s="236" t="b">
        <v>0</v>
      </c>
      <c r="K21" s="236" t="b">
        <v>0</v>
      </c>
      <c r="L21" s="236" t="b">
        <v>1</v>
      </c>
      <c r="M21" s="236" t="b">
        <v>0</v>
      </c>
      <c r="N21" s="236" t="b">
        <v>1</v>
      </c>
      <c r="O21" s="236" t="b">
        <v>0</v>
      </c>
      <c r="P21" s="236" t="b">
        <v>0</v>
      </c>
      <c r="Q21" s="236" t="b">
        <v>1</v>
      </c>
      <c r="R21" s="236" t="b">
        <v>1</v>
      </c>
      <c r="S21" s="236" t="b">
        <v>0</v>
      </c>
      <c r="T21" s="287" t="str" cm="1">
        <f t="array" ref="T21">IF(SUMPRODUCT((Cert_Matrix!$A$6:$A$11=E21)*(Cert_Matrix!$B$6:$K$11="X")*(H21:Q21=TRUE))&lt;SUMPRODUCT((Cert_Matrix!$A$6:$A$11=E21)*(Cert_Matrix!$B$6:$K$11="X")),"Thiếu chứng nhận","Đủ điều kiện")</f>
        <v>Đủ điều kiện</v>
      </c>
      <c r="U21" s="287"/>
      <c r="V21" s="290"/>
    </row>
    <row r="22" spans="1:22">
      <c r="A22" s="256">
        <f>ROWS($B$5:B20)</f>
        <v>16</v>
      </c>
      <c r="B22" s="256" t="s">
        <v>623</v>
      </c>
      <c r="C22" s="256" t="s">
        <v>624</v>
      </c>
      <c r="D22" s="256" t="s">
        <v>1208</v>
      </c>
      <c r="E22" s="256" t="s">
        <v>1143</v>
      </c>
      <c r="F22" s="256" t="s">
        <v>336</v>
      </c>
      <c r="G22" s="290"/>
      <c r="H22" s="236" t="b">
        <v>1</v>
      </c>
      <c r="I22" s="236" t="b">
        <v>1</v>
      </c>
      <c r="J22" s="236" t="b">
        <v>1</v>
      </c>
      <c r="K22" s="236" t="b">
        <v>1</v>
      </c>
      <c r="L22" s="236" t="b">
        <v>1</v>
      </c>
      <c r="M22" s="236" t="b">
        <v>0</v>
      </c>
      <c r="N22" s="236" t="b">
        <v>1</v>
      </c>
      <c r="O22" s="236" t="b">
        <v>0</v>
      </c>
      <c r="P22" s="236" t="b">
        <v>0</v>
      </c>
      <c r="Q22" s="236" t="b">
        <v>0</v>
      </c>
      <c r="R22" s="236" t="b">
        <v>0</v>
      </c>
      <c r="S22" s="236" t="b">
        <v>0</v>
      </c>
      <c r="T22" s="287" t="str" cm="1">
        <f t="array" ref="T22">IF(SUMPRODUCT((Cert_Matrix!$A$6:$A$11=E22)*(Cert_Matrix!$B$6:$K$11="X")*(H22:Q22=TRUE))&lt;SUMPRODUCT((Cert_Matrix!$A$6:$A$11=E22)*(Cert_Matrix!$B$6:$K$11="X")),"Thiếu chứng nhận","Đủ điều kiện")</f>
        <v>Đủ điều kiện</v>
      </c>
      <c r="U22" s="287"/>
      <c r="V22" s="290"/>
    </row>
    <row r="23" spans="1:22">
      <c r="A23" s="256">
        <f>ROWS($B$5:B21)</f>
        <v>17</v>
      </c>
      <c r="B23" s="256" t="s">
        <v>367</v>
      </c>
      <c r="C23" s="256" t="s">
        <v>368</v>
      </c>
      <c r="D23" s="256" t="s">
        <v>1211</v>
      </c>
      <c r="E23" s="256" t="s">
        <v>1143</v>
      </c>
      <c r="F23" s="256" t="s">
        <v>336</v>
      </c>
      <c r="G23" s="290"/>
      <c r="H23" s="236" t="b">
        <v>0</v>
      </c>
      <c r="I23" s="236" t="b">
        <v>0</v>
      </c>
      <c r="J23" s="236" t="b">
        <v>0</v>
      </c>
      <c r="K23" s="236" t="b">
        <v>0</v>
      </c>
      <c r="L23" s="236" t="b">
        <v>1</v>
      </c>
      <c r="M23" s="236" t="b">
        <v>0</v>
      </c>
      <c r="N23" s="236" t="b">
        <v>1</v>
      </c>
      <c r="O23" s="236" t="b">
        <v>0</v>
      </c>
      <c r="P23" s="236" t="b">
        <v>0</v>
      </c>
      <c r="Q23" s="236" t="b">
        <v>0</v>
      </c>
      <c r="R23" s="236" t="b">
        <v>1</v>
      </c>
      <c r="S23" s="236" t="b">
        <v>0</v>
      </c>
      <c r="T23" s="287" t="str" cm="1">
        <f t="array" ref="T23">IF(SUMPRODUCT((Cert_Matrix!$A$6:$A$11=E23)*(Cert_Matrix!$B$6:$K$11="X")*(H23:Q23=TRUE))&lt;SUMPRODUCT((Cert_Matrix!$A$6:$A$11=E23)*(Cert_Matrix!$B$6:$K$11="X")),"Thiếu chứng nhận","Đủ điều kiện")</f>
        <v>Đủ điều kiện</v>
      </c>
      <c r="U23" s="287"/>
      <c r="V23" s="290"/>
    </row>
    <row r="24" spans="1:22">
      <c r="A24" s="256">
        <f>ROWS($B$5:B22)</f>
        <v>18</v>
      </c>
      <c r="B24" s="256" t="s">
        <v>1212</v>
      </c>
      <c r="C24" s="256" t="s">
        <v>625</v>
      </c>
      <c r="D24" s="256" t="s">
        <v>1211</v>
      </c>
      <c r="E24" s="256" t="s">
        <v>1143</v>
      </c>
      <c r="F24" s="256" t="s">
        <v>336</v>
      </c>
      <c r="G24" s="290">
        <v>46132</v>
      </c>
      <c r="H24" s="236" t="b">
        <v>1</v>
      </c>
      <c r="I24" s="236" t="b">
        <v>1</v>
      </c>
      <c r="J24" s="236" t="b">
        <v>1</v>
      </c>
      <c r="K24" s="236" t="b">
        <v>1</v>
      </c>
      <c r="L24" s="236" t="b">
        <v>1</v>
      </c>
      <c r="M24" s="236" t="b">
        <v>0</v>
      </c>
      <c r="N24" s="236" t="b">
        <v>1</v>
      </c>
      <c r="O24" s="236" t="b">
        <v>0</v>
      </c>
      <c r="P24" s="236" t="b">
        <v>0</v>
      </c>
      <c r="Q24" s="236" t="b">
        <v>1</v>
      </c>
      <c r="R24" s="236" t="b">
        <v>1</v>
      </c>
      <c r="S24" s="236" t="b">
        <v>1</v>
      </c>
      <c r="T24" s="287" t="str" cm="1">
        <f t="array" ref="T24">IF(SUMPRODUCT((Cert_Matrix!$A$6:$A$11=E24)*(Cert_Matrix!$B$6:$K$11="X")*(H24:Q24=TRUE))&lt;SUMPRODUCT((Cert_Matrix!$A$6:$A$11=E24)*(Cert_Matrix!$B$6:$K$11="X")),"Thiếu chứng nhận","Đủ điều kiện")</f>
        <v>Đủ điều kiện</v>
      </c>
      <c r="U24" s="287"/>
      <c r="V24" s="290"/>
    </row>
    <row r="25" spans="1:22">
      <c r="A25" s="256">
        <f>ROWS($B$5:B23)</f>
        <v>19</v>
      </c>
      <c r="B25" s="256" t="s">
        <v>1213</v>
      </c>
      <c r="C25" s="256" t="s">
        <v>626</v>
      </c>
      <c r="D25" s="256" t="s">
        <v>1211</v>
      </c>
      <c r="E25" s="256" t="s">
        <v>1143</v>
      </c>
      <c r="F25" s="256" t="s">
        <v>336</v>
      </c>
      <c r="G25" s="290"/>
      <c r="H25" s="236" t="b">
        <v>1</v>
      </c>
      <c r="I25" s="236" t="b">
        <v>1</v>
      </c>
      <c r="J25" s="236" t="b">
        <v>1</v>
      </c>
      <c r="K25" s="236" t="b">
        <v>1</v>
      </c>
      <c r="L25" s="236" t="b">
        <v>1</v>
      </c>
      <c r="M25" s="236" t="b">
        <v>0</v>
      </c>
      <c r="N25" s="236" t="b">
        <v>1</v>
      </c>
      <c r="O25" s="236" t="b">
        <v>0</v>
      </c>
      <c r="P25" s="236" t="b">
        <v>0</v>
      </c>
      <c r="Q25" s="236" t="b">
        <v>1</v>
      </c>
      <c r="R25" s="236" t="b">
        <v>1</v>
      </c>
      <c r="S25" s="236" t="b">
        <v>0</v>
      </c>
      <c r="T25" s="287" t="str" cm="1">
        <f t="array" ref="T25">IF(SUMPRODUCT((Cert_Matrix!$A$6:$A$11=E25)*(Cert_Matrix!$B$6:$K$11="X")*(H25:Q25=TRUE))&lt;SUMPRODUCT((Cert_Matrix!$A$6:$A$11=E25)*(Cert_Matrix!$B$6:$K$11="X")),"Thiếu chứng nhận","Đủ điều kiện")</f>
        <v>Đủ điều kiện</v>
      </c>
      <c r="U25" s="287"/>
      <c r="V25" s="290"/>
    </row>
    <row r="26" spans="1:22">
      <c r="A26" s="256">
        <f>ROWS($B$5:B24)</f>
        <v>20</v>
      </c>
      <c r="B26" s="256" t="s">
        <v>678</v>
      </c>
      <c r="C26" s="256" t="s">
        <v>679</v>
      </c>
      <c r="D26" s="256" t="s">
        <v>1206</v>
      </c>
      <c r="E26" s="256" t="s">
        <v>1144</v>
      </c>
      <c r="F26" s="256" t="s">
        <v>336</v>
      </c>
      <c r="G26" s="290"/>
      <c r="H26" s="236" t="b">
        <v>0</v>
      </c>
      <c r="I26" s="236" t="b">
        <v>0</v>
      </c>
      <c r="J26" s="236" t="b">
        <v>0</v>
      </c>
      <c r="K26" s="236" t="b">
        <v>0</v>
      </c>
      <c r="L26" s="236" t="b">
        <v>0</v>
      </c>
      <c r="M26" s="236" t="b">
        <v>0</v>
      </c>
      <c r="N26" s="236" t="b">
        <v>1</v>
      </c>
      <c r="O26" s="236" t="b">
        <v>0</v>
      </c>
      <c r="P26" s="236" t="b">
        <v>0</v>
      </c>
      <c r="Q26" s="236" t="b">
        <v>1</v>
      </c>
      <c r="R26" s="236" t="b">
        <v>1</v>
      </c>
      <c r="S26" s="236" t="b">
        <v>0</v>
      </c>
      <c r="T26" s="287" t="str" cm="1">
        <f t="array" ref="T26">IF(SUMPRODUCT((Cert_Matrix!$A$6:$A$11=E26)*(Cert_Matrix!$B$6:$K$11="X")*(H26:Q26=TRUE))&lt;SUMPRODUCT((Cert_Matrix!$A$6:$A$11=E26)*(Cert_Matrix!$B$6:$K$11="X")),"Thiếu chứng nhận","Đủ điều kiện")</f>
        <v>Đủ điều kiện</v>
      </c>
      <c r="U26" s="287"/>
      <c r="V26" s="290"/>
    </row>
    <row r="27" spans="1:22">
      <c r="A27" s="256">
        <f>ROWS($B$5:B25)</f>
        <v>21</v>
      </c>
      <c r="B27" s="256" t="s">
        <v>357</v>
      </c>
      <c r="C27" s="256" t="s">
        <v>358</v>
      </c>
      <c r="D27" s="256" t="s">
        <v>1206</v>
      </c>
      <c r="E27" s="256" t="s">
        <v>1144</v>
      </c>
      <c r="F27" s="256" t="s">
        <v>336</v>
      </c>
      <c r="G27" s="290"/>
      <c r="H27" s="236" t="b">
        <v>0</v>
      </c>
      <c r="I27" s="236" t="b">
        <v>0</v>
      </c>
      <c r="J27" s="236" t="b">
        <v>0</v>
      </c>
      <c r="K27" s="236" t="b">
        <v>0</v>
      </c>
      <c r="L27" s="236" t="b">
        <v>0</v>
      </c>
      <c r="M27" s="236" t="b">
        <v>0</v>
      </c>
      <c r="N27" s="236" t="b">
        <v>1</v>
      </c>
      <c r="O27" s="236" t="b">
        <v>0</v>
      </c>
      <c r="P27" s="236" t="b">
        <v>0</v>
      </c>
      <c r="Q27" s="236" t="b">
        <v>1</v>
      </c>
      <c r="R27" s="236" t="b">
        <v>1</v>
      </c>
      <c r="S27" s="236" t="b">
        <v>0</v>
      </c>
      <c r="T27" s="287" t="str" cm="1">
        <f t="array" ref="T27">IF(SUMPRODUCT((Cert_Matrix!$A$6:$A$11=E27)*(Cert_Matrix!$B$6:$K$11="X")*(H27:Q27=TRUE))&lt;SUMPRODUCT((Cert_Matrix!$A$6:$A$11=E27)*(Cert_Matrix!$B$6:$K$11="X")),"Thiếu chứng nhận","Đủ điều kiện")</f>
        <v>Đủ điều kiện</v>
      </c>
      <c r="U27" s="287"/>
      <c r="V27" s="290"/>
    </row>
    <row r="28" spans="1:22">
      <c r="A28" s="256">
        <f>ROWS($B$5:B26)</f>
        <v>22</v>
      </c>
      <c r="B28" s="256" t="s">
        <v>371</v>
      </c>
      <c r="C28" s="256" t="s">
        <v>372</v>
      </c>
      <c r="D28" s="256" t="s">
        <v>1206</v>
      </c>
      <c r="E28" s="256" t="s">
        <v>1144</v>
      </c>
      <c r="F28" s="256" t="s">
        <v>336</v>
      </c>
      <c r="G28" s="290">
        <v>46137</v>
      </c>
      <c r="H28" s="236" t="b">
        <v>0</v>
      </c>
      <c r="I28" s="236" t="b">
        <v>0</v>
      </c>
      <c r="J28" s="236" t="b">
        <v>0</v>
      </c>
      <c r="K28" s="236" t="b">
        <v>0</v>
      </c>
      <c r="L28" s="236" t="b">
        <v>0</v>
      </c>
      <c r="M28" s="236" t="b">
        <v>0</v>
      </c>
      <c r="N28" s="236" t="b">
        <v>1</v>
      </c>
      <c r="O28" s="236" t="b">
        <v>0</v>
      </c>
      <c r="P28" s="236" t="b">
        <v>0</v>
      </c>
      <c r="Q28" s="236" t="b">
        <v>1</v>
      </c>
      <c r="R28" s="236" t="b">
        <v>1</v>
      </c>
      <c r="S28" s="236" t="b">
        <v>1</v>
      </c>
      <c r="T28" s="287" t="str" cm="1">
        <f t="array" ref="T28">IF(SUMPRODUCT((Cert_Matrix!$A$6:$A$11=E28)*(Cert_Matrix!$B$6:$K$11="X")*(H28:Q28=TRUE))&lt;SUMPRODUCT((Cert_Matrix!$A$6:$A$11=E28)*(Cert_Matrix!$B$6:$K$11="X")),"Thiếu chứng nhận","Đủ điều kiện")</f>
        <v>Đủ điều kiện</v>
      </c>
      <c r="U28" s="287"/>
      <c r="V28" s="290"/>
    </row>
    <row r="29" spans="1:22">
      <c r="A29" s="256">
        <f>ROWS($B$5:B27)</f>
        <v>23</v>
      </c>
      <c r="B29" s="256" t="s">
        <v>1214</v>
      </c>
      <c r="C29" s="256" t="s">
        <v>887</v>
      </c>
      <c r="D29" s="256" t="s">
        <v>1215</v>
      </c>
      <c r="E29" s="256" t="s">
        <v>1141</v>
      </c>
      <c r="F29" s="256" t="s">
        <v>336</v>
      </c>
      <c r="G29" s="290">
        <v>46129</v>
      </c>
      <c r="H29" s="236" t="b">
        <v>1</v>
      </c>
      <c r="I29" s="236" t="b">
        <v>1</v>
      </c>
      <c r="J29" s="236" t="b">
        <v>1</v>
      </c>
      <c r="K29" s="236" t="b">
        <v>1</v>
      </c>
      <c r="L29" s="236" t="b">
        <v>1</v>
      </c>
      <c r="M29" s="236" t="b">
        <v>0</v>
      </c>
      <c r="N29" s="236" t="b">
        <v>1</v>
      </c>
      <c r="O29" s="236" t="b">
        <v>0</v>
      </c>
      <c r="P29" s="236" t="b">
        <v>0</v>
      </c>
      <c r="Q29" s="236" t="b">
        <v>1</v>
      </c>
      <c r="R29" s="236" t="b">
        <v>1</v>
      </c>
      <c r="S29" s="236" t="b">
        <v>1</v>
      </c>
      <c r="T29" s="287" t="str" cm="1">
        <f t="array" ref="T29">IF(SUMPRODUCT((Cert_Matrix!$A$6:$A$11=E29)*(Cert_Matrix!$B$6:$K$11="X")*(H29:Q29=TRUE))&lt;SUMPRODUCT((Cert_Matrix!$A$6:$A$11=E29)*(Cert_Matrix!$B$6:$K$11="X")),"Thiếu chứng nhận","Đủ điều kiện")</f>
        <v>Đủ điều kiện</v>
      </c>
      <c r="U29" s="287"/>
      <c r="V29" s="290"/>
    </row>
    <row r="30" spans="1:22">
      <c r="A30" s="256">
        <f>ROWS($B$5:B28)</f>
        <v>24</v>
      </c>
      <c r="B30" s="256" t="s">
        <v>1216</v>
      </c>
      <c r="C30" s="256" t="s">
        <v>1217</v>
      </c>
      <c r="D30" s="256" t="s">
        <v>1211</v>
      </c>
      <c r="E30" s="256" t="s">
        <v>1143</v>
      </c>
      <c r="F30" s="256" t="s">
        <v>336</v>
      </c>
      <c r="G30" s="290">
        <v>46001</v>
      </c>
      <c r="H30" s="236" t="b">
        <v>1</v>
      </c>
      <c r="I30" s="236" t="b">
        <v>1</v>
      </c>
      <c r="J30" s="236" t="b">
        <v>1</v>
      </c>
      <c r="K30" s="236" t="b">
        <v>1</v>
      </c>
      <c r="L30" s="236" t="b">
        <v>1</v>
      </c>
      <c r="M30" s="236" t="b">
        <v>0</v>
      </c>
      <c r="N30" s="236" t="b">
        <v>1</v>
      </c>
      <c r="O30" s="236" t="b">
        <v>0</v>
      </c>
      <c r="P30" s="236" t="b">
        <v>0</v>
      </c>
      <c r="Q30" s="236" t="b">
        <v>1</v>
      </c>
      <c r="R30" s="236" t="b">
        <v>1</v>
      </c>
      <c r="S30" s="236" t="b">
        <v>0</v>
      </c>
      <c r="T30" s="287" t="str" cm="1">
        <f t="array" ref="T30">IF(SUMPRODUCT((Cert_Matrix!$A$6:$A$11=E30)*(Cert_Matrix!$B$6:$K$11="X")*(H30:Q30=TRUE))&lt;SUMPRODUCT((Cert_Matrix!$A$6:$A$11=E30)*(Cert_Matrix!$B$6:$K$11="X")),"Thiếu chứng nhận","Đủ điều kiện")</f>
        <v>Đủ điều kiện</v>
      </c>
      <c r="U30" s="287"/>
      <c r="V30" s="290"/>
    </row>
    <row r="31" spans="1:22">
      <c r="A31" s="256">
        <f>ROWS($B$5:B29)</f>
        <v>25</v>
      </c>
      <c r="B31" s="256" t="s">
        <v>1218</v>
      </c>
      <c r="C31" s="256" t="s">
        <v>868</v>
      </c>
      <c r="D31" s="256" t="s">
        <v>1211</v>
      </c>
      <c r="E31" s="256" t="s">
        <v>1143</v>
      </c>
      <c r="F31" s="256" t="s">
        <v>336</v>
      </c>
      <c r="G31" s="290">
        <v>46180</v>
      </c>
      <c r="H31" s="236" t="b">
        <v>1</v>
      </c>
      <c r="I31" s="236" t="b">
        <v>1</v>
      </c>
      <c r="J31" s="236" t="b">
        <v>1</v>
      </c>
      <c r="K31" s="236" t="b">
        <v>0</v>
      </c>
      <c r="L31" s="236" t="b">
        <v>1</v>
      </c>
      <c r="M31" s="236" t="b">
        <v>0</v>
      </c>
      <c r="N31" s="236" t="b">
        <v>1</v>
      </c>
      <c r="O31" s="236" t="b">
        <v>1</v>
      </c>
      <c r="P31" s="236" t="b">
        <v>0</v>
      </c>
      <c r="Q31" s="236" t="b">
        <v>0</v>
      </c>
      <c r="R31" s="236" t="b">
        <v>0</v>
      </c>
      <c r="S31" s="236" t="b">
        <v>0</v>
      </c>
      <c r="T31" s="287" t="str" cm="1">
        <f t="array" ref="T31">IF(SUMPRODUCT((Cert_Matrix!$A$6:$A$11=E31)*(Cert_Matrix!$B$6:$K$11="X")*(H31:Q31=TRUE))&lt;SUMPRODUCT((Cert_Matrix!$A$6:$A$11=E31)*(Cert_Matrix!$B$6:$K$11="X")),"Thiếu chứng nhận","Đủ điều kiện")</f>
        <v>Đủ điều kiện</v>
      </c>
      <c r="U31" s="287"/>
      <c r="V31" s="290"/>
    </row>
    <row r="32" spans="1:22">
      <c r="A32" s="256">
        <f>ROWS($B$5:B30)</f>
        <v>26</v>
      </c>
      <c r="B32" s="256" t="s">
        <v>1219</v>
      </c>
      <c r="C32" s="256" t="s">
        <v>860</v>
      </c>
      <c r="D32" s="256" t="s">
        <v>1211</v>
      </c>
      <c r="E32" s="256" t="s">
        <v>1143</v>
      </c>
      <c r="F32" s="256" t="s">
        <v>336</v>
      </c>
      <c r="G32" s="290">
        <v>46055</v>
      </c>
      <c r="H32" s="236" t="b">
        <v>1</v>
      </c>
      <c r="I32" s="236" t="b">
        <v>1</v>
      </c>
      <c r="J32" s="236" t="b">
        <v>1</v>
      </c>
      <c r="K32" s="236" t="b">
        <v>1</v>
      </c>
      <c r="L32" s="236" t="b">
        <v>1</v>
      </c>
      <c r="M32" s="236" t="b">
        <v>0</v>
      </c>
      <c r="N32" s="236" t="b">
        <v>1</v>
      </c>
      <c r="O32" s="236" t="b">
        <v>0</v>
      </c>
      <c r="P32" s="236" t="b">
        <v>0</v>
      </c>
      <c r="Q32" s="236" t="b">
        <v>1</v>
      </c>
      <c r="R32" s="236" t="b">
        <v>1</v>
      </c>
      <c r="S32" s="236" t="b">
        <v>1</v>
      </c>
      <c r="T32" s="287" t="str" cm="1">
        <f t="array" ref="T32">IF(SUMPRODUCT((Cert_Matrix!$A$6:$A$11=E32)*(Cert_Matrix!$B$6:$K$11="X")*(H32:Q32=TRUE))&lt;SUMPRODUCT((Cert_Matrix!$A$6:$A$11=E32)*(Cert_Matrix!$B$6:$K$11="X")),"Thiếu chứng nhận","Đủ điều kiện")</f>
        <v>Đủ điều kiện</v>
      </c>
      <c r="U32" s="287"/>
      <c r="V32" s="290"/>
    </row>
    <row r="33" spans="1:22">
      <c r="A33" s="256">
        <f>ROWS($B$5:B31)</f>
        <v>27</v>
      </c>
      <c r="B33" s="256" t="s">
        <v>1220</v>
      </c>
      <c r="C33" s="256" t="s">
        <v>1221</v>
      </c>
      <c r="D33" s="256" t="s">
        <v>1222</v>
      </c>
      <c r="E33" s="256" t="s">
        <v>1143</v>
      </c>
      <c r="F33" s="256" t="s">
        <v>336</v>
      </c>
      <c r="G33" s="290"/>
      <c r="H33" s="236" t="b">
        <v>1</v>
      </c>
      <c r="I33" s="236" t="b">
        <v>1</v>
      </c>
      <c r="J33" s="236" t="b">
        <v>1</v>
      </c>
      <c r="K33" s="236" t="b">
        <v>0</v>
      </c>
      <c r="L33" s="236" t="b">
        <v>1</v>
      </c>
      <c r="M33" s="236" t="b">
        <v>0</v>
      </c>
      <c r="N33" s="236" t="b">
        <v>1</v>
      </c>
      <c r="O33" s="236" t="b">
        <v>0</v>
      </c>
      <c r="P33" s="236" t="b">
        <v>0</v>
      </c>
      <c r="Q33" s="236" t="b">
        <v>1</v>
      </c>
      <c r="R33" s="236" t="b">
        <v>0</v>
      </c>
      <c r="S33" s="236" t="b">
        <v>0</v>
      </c>
      <c r="T33" s="287" t="str" cm="1">
        <f t="array" ref="T33">IF(SUMPRODUCT((Cert_Matrix!$A$6:$A$11=E33)*(Cert_Matrix!$B$6:$K$11="X")*(H33:Q33=TRUE))&lt;SUMPRODUCT((Cert_Matrix!$A$6:$A$11=E33)*(Cert_Matrix!$B$6:$K$11="X")),"Thiếu chứng nhận","Đủ điều kiện")</f>
        <v>Đủ điều kiện</v>
      </c>
      <c r="U33" s="287"/>
      <c r="V33" s="290"/>
    </row>
    <row r="34" spans="1:22">
      <c r="A34" s="256">
        <f>ROWS($B$5:B32)</f>
        <v>28</v>
      </c>
      <c r="B34" s="256" t="s">
        <v>1223</v>
      </c>
      <c r="C34" s="256" t="s">
        <v>1224</v>
      </c>
      <c r="D34" s="256" t="s">
        <v>1225</v>
      </c>
      <c r="E34" s="256" t="s">
        <v>1144</v>
      </c>
      <c r="F34" s="256" t="s">
        <v>336</v>
      </c>
      <c r="G34" s="290">
        <v>46001</v>
      </c>
      <c r="H34" s="236" t="b">
        <v>0</v>
      </c>
      <c r="I34" s="236" t="b">
        <v>0</v>
      </c>
      <c r="J34" s="236" t="b">
        <v>0</v>
      </c>
      <c r="K34" s="236" t="b">
        <v>0</v>
      </c>
      <c r="L34" s="236" t="b">
        <v>0</v>
      </c>
      <c r="M34" s="236" t="b">
        <v>0</v>
      </c>
      <c r="N34" s="236" t="b">
        <v>0</v>
      </c>
      <c r="O34" s="236" t="b">
        <v>0</v>
      </c>
      <c r="P34" s="236" t="b">
        <v>0</v>
      </c>
      <c r="Q34" s="236" t="b">
        <v>1</v>
      </c>
      <c r="R34" s="236" t="b">
        <v>1</v>
      </c>
      <c r="S34" s="236" t="b">
        <v>0</v>
      </c>
      <c r="T34" s="287" t="str" cm="1">
        <f t="array" ref="T34">IF(SUMPRODUCT((Cert_Matrix!$A$6:$A$11=E34)*(Cert_Matrix!$B$6:$K$11="X")*(H34:Q34=TRUE))&lt;SUMPRODUCT((Cert_Matrix!$A$6:$A$11=E34)*(Cert_Matrix!$B$6:$K$11="X")),"Thiếu chứng nhận","Đủ điều kiện")</f>
        <v>Đủ điều kiện</v>
      </c>
      <c r="U34" s="287"/>
      <c r="V34" s="290"/>
    </row>
    <row r="35" spans="1:22">
      <c r="A35" s="256">
        <f>ROWS($B$5:B33)</f>
        <v>29</v>
      </c>
      <c r="B35" s="256" t="s">
        <v>1226</v>
      </c>
      <c r="C35" s="256" t="s">
        <v>1227</v>
      </c>
      <c r="D35" s="256" t="s">
        <v>1225</v>
      </c>
      <c r="E35" s="256" t="s">
        <v>1144</v>
      </c>
      <c r="F35" s="256" t="s">
        <v>336</v>
      </c>
      <c r="G35" s="290"/>
      <c r="H35" s="236" t="b">
        <v>0</v>
      </c>
      <c r="I35" s="236" t="b">
        <v>0</v>
      </c>
      <c r="J35" s="236" t="b">
        <v>0</v>
      </c>
      <c r="K35" s="236" t="b">
        <v>0</v>
      </c>
      <c r="L35" s="236" t="b">
        <v>0</v>
      </c>
      <c r="M35" s="236" t="b">
        <v>0</v>
      </c>
      <c r="N35" s="236" t="b">
        <v>1</v>
      </c>
      <c r="O35" s="236" t="b">
        <v>0</v>
      </c>
      <c r="P35" s="236" t="b">
        <v>0</v>
      </c>
      <c r="Q35" s="236" t="b">
        <v>1</v>
      </c>
      <c r="R35" s="236" t="b">
        <v>1</v>
      </c>
      <c r="S35" s="236" t="b">
        <v>0</v>
      </c>
      <c r="T35" s="287" t="str" cm="1">
        <f t="array" ref="T35">IF(SUMPRODUCT((Cert_Matrix!$A$6:$A$11=E35)*(Cert_Matrix!$B$6:$K$11="X")*(H35:Q35=TRUE))&lt;SUMPRODUCT((Cert_Matrix!$A$6:$A$11=E35)*(Cert_Matrix!$B$6:$K$11="X")),"Thiếu chứng nhận","Đủ điều kiện")</f>
        <v>Đủ điều kiện</v>
      </c>
      <c r="U35" s="287"/>
      <c r="V35" s="290"/>
    </row>
    <row r="36" spans="1:22">
      <c r="A36" s="256">
        <f>ROWS($B$5:B34)</f>
        <v>30</v>
      </c>
      <c r="B36" s="256" t="s">
        <v>1228</v>
      </c>
      <c r="C36" s="256" t="s">
        <v>809</v>
      </c>
      <c r="D36" s="256" t="s">
        <v>1225</v>
      </c>
      <c r="E36" s="256" t="s">
        <v>39</v>
      </c>
      <c r="F36" s="256" t="s">
        <v>336</v>
      </c>
      <c r="G36" s="290"/>
      <c r="H36" s="236" t="b">
        <v>0</v>
      </c>
      <c r="I36" s="236" t="b">
        <v>0</v>
      </c>
      <c r="J36" s="236" t="b">
        <v>0</v>
      </c>
      <c r="K36" s="236" t="b">
        <v>0</v>
      </c>
      <c r="L36" s="236" t="b">
        <v>0</v>
      </c>
      <c r="M36" s="236" t="b">
        <v>0</v>
      </c>
      <c r="N36" s="236" t="b">
        <v>1</v>
      </c>
      <c r="O36" s="236" t="b">
        <v>0</v>
      </c>
      <c r="P36" s="236" t="b">
        <v>0</v>
      </c>
      <c r="Q36" s="236" t="b">
        <v>1</v>
      </c>
      <c r="R36" s="236" t="b">
        <v>1</v>
      </c>
      <c r="S36" s="236" t="b">
        <v>0</v>
      </c>
      <c r="T36" s="287" t="str" cm="1">
        <f t="array" ref="T36">IF(SUMPRODUCT((Cert_Matrix!$A$6:$A$11=E36)*(Cert_Matrix!$B$6:$K$11="X")*(H36:Q36=TRUE))&lt;SUMPRODUCT((Cert_Matrix!$A$6:$A$11=E36)*(Cert_Matrix!$B$6:$K$11="X")),"Thiếu chứng nhận","Đủ điều kiện")</f>
        <v>Đủ điều kiện</v>
      </c>
      <c r="U36" s="287"/>
      <c r="V36" s="290"/>
    </row>
    <row r="37" spans="1:22">
      <c r="A37" s="256">
        <f>ROWS($B$5:B35)</f>
        <v>31</v>
      </c>
      <c r="B37" s="256" t="s">
        <v>1229</v>
      </c>
      <c r="C37" s="256" t="s">
        <v>760</v>
      </c>
      <c r="D37" s="256" t="s">
        <v>1225</v>
      </c>
      <c r="E37" s="256" t="s">
        <v>1144</v>
      </c>
      <c r="F37" s="256" t="s">
        <v>336</v>
      </c>
      <c r="G37" s="290">
        <v>46001</v>
      </c>
      <c r="H37" s="236" t="b">
        <v>0</v>
      </c>
      <c r="I37" s="236" t="b">
        <v>0</v>
      </c>
      <c r="J37" s="236" t="b">
        <v>0</v>
      </c>
      <c r="K37" s="236" t="b">
        <v>0</v>
      </c>
      <c r="L37" s="236" t="b">
        <v>0</v>
      </c>
      <c r="M37" s="236" t="b">
        <v>0</v>
      </c>
      <c r="N37" s="236" t="b">
        <v>1</v>
      </c>
      <c r="O37" s="236" t="b">
        <v>0</v>
      </c>
      <c r="P37" s="236" t="b">
        <v>0</v>
      </c>
      <c r="Q37" s="236" t="b">
        <v>1</v>
      </c>
      <c r="R37" s="236" t="b">
        <v>0</v>
      </c>
      <c r="S37" s="236" t="b">
        <v>0</v>
      </c>
      <c r="T37" s="287" t="str" cm="1">
        <f t="array" ref="T37">IF(SUMPRODUCT((Cert_Matrix!$A$6:$A$11=E37)*(Cert_Matrix!$B$6:$K$11="X")*(H37:Q37=TRUE))&lt;SUMPRODUCT((Cert_Matrix!$A$6:$A$11=E37)*(Cert_Matrix!$B$6:$K$11="X")),"Thiếu chứng nhận","Đủ điều kiện")</f>
        <v>Đủ điều kiện</v>
      </c>
      <c r="U37" s="287"/>
      <c r="V37" s="290"/>
    </row>
    <row r="38" spans="1:22">
      <c r="A38" s="256">
        <f>ROWS($B$5:B36)</f>
        <v>32</v>
      </c>
      <c r="B38" s="256" t="s">
        <v>1230</v>
      </c>
      <c r="C38" s="256" t="s">
        <v>759</v>
      </c>
      <c r="D38" s="256" t="s">
        <v>1225</v>
      </c>
      <c r="E38" s="256" t="s">
        <v>1141</v>
      </c>
      <c r="F38" s="256" t="s">
        <v>336</v>
      </c>
      <c r="G38" s="290">
        <v>46114</v>
      </c>
      <c r="H38" s="236" t="b">
        <v>1</v>
      </c>
      <c r="I38" s="236" t="b">
        <v>1</v>
      </c>
      <c r="J38" s="236" t="b">
        <v>1</v>
      </c>
      <c r="K38" s="236" t="b">
        <v>1</v>
      </c>
      <c r="L38" s="236" t="b">
        <v>0</v>
      </c>
      <c r="M38" s="236" t="b">
        <v>0</v>
      </c>
      <c r="N38" s="236" t="b">
        <v>1</v>
      </c>
      <c r="O38" s="236" t="b">
        <v>0</v>
      </c>
      <c r="P38" s="236" t="b">
        <v>0</v>
      </c>
      <c r="Q38" s="236" t="b">
        <v>1</v>
      </c>
      <c r="R38" s="236" t="b">
        <v>1</v>
      </c>
      <c r="S38" s="236" t="b">
        <v>1</v>
      </c>
      <c r="T38" s="287" t="str" cm="1">
        <f t="array" ref="T38">IF(SUMPRODUCT((Cert_Matrix!$A$6:$A$11=E38)*(Cert_Matrix!$B$6:$K$11="X")*(H38:Q38=TRUE))&lt;SUMPRODUCT((Cert_Matrix!$A$6:$A$11=E38)*(Cert_Matrix!$B$6:$K$11="X")),"Thiếu chứng nhận","Đủ điều kiện")</f>
        <v>Đủ điều kiện</v>
      </c>
      <c r="U38" s="287"/>
      <c r="V38" s="290"/>
    </row>
    <row r="39" spans="1:22">
      <c r="A39" s="256">
        <f>ROWS($B$5:B37)</f>
        <v>33</v>
      </c>
      <c r="B39" s="256" t="s">
        <v>1231</v>
      </c>
      <c r="C39" s="256" t="s">
        <v>1232</v>
      </c>
      <c r="D39" s="256" t="s">
        <v>1225</v>
      </c>
      <c r="E39" s="256" t="s">
        <v>1144</v>
      </c>
      <c r="F39" s="256" t="s">
        <v>336</v>
      </c>
      <c r="G39" s="290">
        <v>45979</v>
      </c>
      <c r="H39" s="236" t="b">
        <v>0</v>
      </c>
      <c r="I39" s="236" t="b">
        <v>0</v>
      </c>
      <c r="J39" s="236" t="b">
        <v>0</v>
      </c>
      <c r="K39" s="236" t="b">
        <v>0</v>
      </c>
      <c r="L39" s="236" t="b">
        <v>0</v>
      </c>
      <c r="M39" s="236" t="b">
        <v>0</v>
      </c>
      <c r="N39" s="236" t="b">
        <v>1</v>
      </c>
      <c r="O39" s="236" t="b">
        <v>0</v>
      </c>
      <c r="P39" s="236" t="b">
        <v>0</v>
      </c>
      <c r="Q39" s="236" t="b">
        <v>1</v>
      </c>
      <c r="R39" s="236" t="b">
        <v>0</v>
      </c>
      <c r="S39" s="236" t="b">
        <v>0</v>
      </c>
      <c r="T39" s="287" t="str" cm="1">
        <f t="array" ref="T39">IF(SUMPRODUCT((Cert_Matrix!$A$6:$A$11=E39)*(Cert_Matrix!$B$6:$K$11="X")*(H39:Q39=TRUE))&lt;SUMPRODUCT((Cert_Matrix!$A$6:$A$11=E39)*(Cert_Matrix!$B$6:$K$11="X")),"Thiếu chứng nhận","Đủ điều kiện")</f>
        <v>Đủ điều kiện</v>
      </c>
      <c r="U39" s="287"/>
      <c r="V39" s="290"/>
    </row>
    <row r="40" spans="1:22">
      <c r="A40" s="256">
        <f>ROWS($B$5:B38)</f>
        <v>34</v>
      </c>
      <c r="B40" s="256" t="s">
        <v>1233</v>
      </c>
      <c r="C40" s="256" t="s">
        <v>1234</v>
      </c>
      <c r="D40" s="256" t="s">
        <v>1225</v>
      </c>
      <c r="E40" s="256" t="s">
        <v>1146</v>
      </c>
      <c r="F40" s="256" t="s">
        <v>336</v>
      </c>
      <c r="G40" s="290">
        <v>46001</v>
      </c>
      <c r="H40" s="236" t="b">
        <v>0</v>
      </c>
      <c r="I40" s="236" t="b">
        <v>0</v>
      </c>
      <c r="J40" s="236" t="b">
        <v>0</v>
      </c>
      <c r="K40" s="236" t="b">
        <v>0</v>
      </c>
      <c r="L40" s="236" t="b">
        <v>0</v>
      </c>
      <c r="M40" s="236" t="b">
        <v>0</v>
      </c>
      <c r="N40" s="236" t="b">
        <v>1</v>
      </c>
      <c r="O40" s="236" t="b">
        <v>0</v>
      </c>
      <c r="P40" s="236" t="b">
        <v>0</v>
      </c>
      <c r="Q40" s="236" t="b">
        <v>1</v>
      </c>
      <c r="R40" s="236" t="b">
        <v>0</v>
      </c>
      <c r="S40" s="236" t="b">
        <v>0</v>
      </c>
      <c r="T40" s="287" t="str" cm="1">
        <f t="array" ref="T40">IF(SUMPRODUCT((Cert_Matrix!$A$6:$A$11=E40)*(Cert_Matrix!$B$6:$K$11="X")*(H40:Q40=TRUE))&lt;SUMPRODUCT((Cert_Matrix!$A$6:$A$11=E40)*(Cert_Matrix!$B$6:$K$11="X")),"Thiếu chứng nhận","Đủ điều kiện")</f>
        <v>Đủ điều kiện</v>
      </c>
      <c r="U40" s="287"/>
      <c r="V40" s="290"/>
    </row>
    <row r="41" spans="1:22">
      <c r="A41" s="256">
        <f>ROWS($B$5:B39)</f>
        <v>35</v>
      </c>
      <c r="B41" s="256" t="s">
        <v>1235</v>
      </c>
      <c r="C41" s="256" t="s">
        <v>626</v>
      </c>
      <c r="D41" s="256" t="s">
        <v>1225</v>
      </c>
      <c r="E41" s="256" t="s">
        <v>39</v>
      </c>
      <c r="F41" s="256" t="s">
        <v>336</v>
      </c>
      <c r="G41" s="290">
        <v>46129</v>
      </c>
      <c r="H41" s="236" t="b">
        <v>0</v>
      </c>
      <c r="I41" s="236" t="b">
        <v>0</v>
      </c>
      <c r="J41" s="236" t="b">
        <v>0</v>
      </c>
      <c r="K41" s="236" t="b">
        <v>0</v>
      </c>
      <c r="L41" s="236" t="b">
        <v>0</v>
      </c>
      <c r="M41" s="236" t="b">
        <v>0</v>
      </c>
      <c r="N41" s="236" t="b">
        <v>1</v>
      </c>
      <c r="O41" s="236" t="b">
        <v>0</v>
      </c>
      <c r="P41" s="236" t="b">
        <v>0</v>
      </c>
      <c r="Q41" s="236" t="b">
        <v>1</v>
      </c>
      <c r="R41" s="236" t="b">
        <v>1</v>
      </c>
      <c r="S41" s="236" t="b">
        <v>1</v>
      </c>
      <c r="T41" s="287" t="str" cm="1">
        <f t="array" ref="T41">IF(SUMPRODUCT((Cert_Matrix!$A$6:$A$11=E41)*(Cert_Matrix!$B$6:$K$11="X")*(H41:Q41=TRUE))&lt;SUMPRODUCT((Cert_Matrix!$A$6:$A$11=E41)*(Cert_Matrix!$B$6:$K$11="X")),"Thiếu chứng nhận","Đủ điều kiện")</f>
        <v>Đủ điều kiện</v>
      </c>
      <c r="U41" s="287"/>
      <c r="V41" s="290"/>
    </row>
    <row r="42" spans="1:22">
      <c r="A42" s="256">
        <f>ROWS($B$5:B40)</f>
        <v>36</v>
      </c>
      <c r="B42" s="256" t="s">
        <v>1236</v>
      </c>
      <c r="C42" s="256" t="s">
        <v>1237</v>
      </c>
      <c r="D42" s="256" t="s">
        <v>1225</v>
      </c>
      <c r="E42" s="256" t="s">
        <v>1141</v>
      </c>
      <c r="F42" s="256" t="s">
        <v>336</v>
      </c>
      <c r="G42" s="290">
        <v>46120</v>
      </c>
      <c r="H42" s="236" t="b">
        <v>1</v>
      </c>
      <c r="I42" s="236" t="b">
        <v>1</v>
      </c>
      <c r="J42" s="236" t="b">
        <v>1</v>
      </c>
      <c r="K42" s="236" t="b">
        <v>1</v>
      </c>
      <c r="L42" s="236" t="b">
        <v>0</v>
      </c>
      <c r="M42" s="236" t="b">
        <v>0</v>
      </c>
      <c r="N42" s="236" t="b">
        <v>1</v>
      </c>
      <c r="O42" s="236" t="b">
        <v>0</v>
      </c>
      <c r="P42" s="236" t="b">
        <v>0</v>
      </c>
      <c r="Q42" s="236" t="b">
        <v>0</v>
      </c>
      <c r="R42" s="236" t="b">
        <v>1</v>
      </c>
      <c r="S42" s="236" t="b">
        <v>1</v>
      </c>
      <c r="T42" s="287" t="str" cm="1">
        <f t="array" ref="T42">IF(SUMPRODUCT((Cert_Matrix!$A$6:$A$11=E42)*(Cert_Matrix!$B$6:$K$11="X")*(H42:Q42=TRUE))&lt;SUMPRODUCT((Cert_Matrix!$A$6:$A$11=E42)*(Cert_Matrix!$B$6:$K$11="X")),"Thiếu chứng nhận","Đủ điều kiện")</f>
        <v>Đủ điều kiện</v>
      </c>
      <c r="U42" s="287"/>
      <c r="V42" s="290"/>
    </row>
    <row r="43" spans="1:22">
      <c r="A43" s="256">
        <f>ROWS($B$5:B41)</f>
        <v>37</v>
      </c>
      <c r="B43" s="256" t="s">
        <v>1238</v>
      </c>
      <c r="C43" s="256" t="s">
        <v>1239</v>
      </c>
      <c r="D43" s="256" t="s">
        <v>1225</v>
      </c>
      <c r="E43" s="256" t="s">
        <v>1144</v>
      </c>
      <c r="F43" s="256" t="s">
        <v>336</v>
      </c>
      <c r="G43" s="290">
        <v>46091</v>
      </c>
      <c r="H43" s="236" t="b">
        <v>0</v>
      </c>
      <c r="I43" s="236" t="b">
        <v>0</v>
      </c>
      <c r="J43" s="236" t="b">
        <v>0</v>
      </c>
      <c r="K43" s="236" t="b">
        <v>0</v>
      </c>
      <c r="L43" s="236" t="b">
        <v>0</v>
      </c>
      <c r="M43" s="236" t="b">
        <v>0</v>
      </c>
      <c r="N43" s="236" t="b">
        <v>1</v>
      </c>
      <c r="O43" s="236" t="b">
        <v>0</v>
      </c>
      <c r="P43" s="236" t="b">
        <v>0</v>
      </c>
      <c r="Q43" s="236" t="b">
        <v>1</v>
      </c>
      <c r="R43" s="236" t="b">
        <v>1</v>
      </c>
      <c r="S43" s="236" t="b">
        <v>1</v>
      </c>
      <c r="T43" s="287" t="str" cm="1">
        <f t="array" ref="T43">IF(SUMPRODUCT((Cert_Matrix!$A$6:$A$11=E43)*(Cert_Matrix!$B$6:$K$11="X")*(H43:Q43=TRUE))&lt;SUMPRODUCT((Cert_Matrix!$A$6:$A$11=E43)*(Cert_Matrix!$B$6:$K$11="X")),"Thiếu chứng nhận","Đủ điều kiện")</f>
        <v>Đủ điều kiện</v>
      </c>
      <c r="U43" s="287"/>
      <c r="V43" s="290"/>
    </row>
    <row r="44" spans="1:22">
      <c r="A44" s="256">
        <f>ROWS($B$5:B42)</f>
        <v>38</v>
      </c>
      <c r="B44" s="256" t="s">
        <v>1240</v>
      </c>
      <c r="C44" s="256" t="s">
        <v>1241</v>
      </c>
      <c r="D44" s="256" t="s">
        <v>1225</v>
      </c>
      <c r="E44" s="256" t="s">
        <v>1141</v>
      </c>
      <c r="F44" s="256" t="s">
        <v>336</v>
      </c>
      <c r="G44" s="290">
        <v>46091</v>
      </c>
      <c r="H44" s="236" t="b">
        <v>1</v>
      </c>
      <c r="I44" s="236" t="b">
        <v>1</v>
      </c>
      <c r="J44" s="236" t="b">
        <v>1</v>
      </c>
      <c r="K44" s="236" t="b">
        <v>1</v>
      </c>
      <c r="L44" s="236" t="b">
        <v>0</v>
      </c>
      <c r="M44" s="236" t="b">
        <v>0</v>
      </c>
      <c r="N44" s="236" t="b">
        <v>1</v>
      </c>
      <c r="O44" s="236" t="b">
        <v>0</v>
      </c>
      <c r="P44" s="236" t="b">
        <v>0</v>
      </c>
      <c r="Q44" s="236" t="b">
        <v>1</v>
      </c>
      <c r="R44" s="236" t="b">
        <v>1</v>
      </c>
      <c r="S44" s="236" t="b">
        <v>1</v>
      </c>
      <c r="T44" s="287" t="str" cm="1">
        <f t="array" ref="T44">IF(SUMPRODUCT((Cert_Matrix!$A$6:$A$11=E44)*(Cert_Matrix!$B$6:$K$11="X")*(H44:Q44=TRUE))&lt;SUMPRODUCT((Cert_Matrix!$A$6:$A$11=E44)*(Cert_Matrix!$B$6:$K$11="X")),"Thiếu chứng nhận","Đủ điều kiện")</f>
        <v>Đủ điều kiện</v>
      </c>
      <c r="U44" s="287"/>
      <c r="V44" s="290"/>
    </row>
    <row r="45" spans="1:22">
      <c r="A45" s="256">
        <f>ROWS($B$5:B43)</f>
        <v>39</v>
      </c>
      <c r="B45" s="256" t="s">
        <v>1242</v>
      </c>
      <c r="C45" s="256" t="s">
        <v>1243</v>
      </c>
      <c r="D45" s="256" t="s">
        <v>1225</v>
      </c>
      <c r="E45" s="256" t="s">
        <v>39</v>
      </c>
      <c r="F45" s="256" t="s">
        <v>336</v>
      </c>
      <c r="G45" s="290">
        <v>46144</v>
      </c>
      <c r="H45" s="236" t="b">
        <v>1</v>
      </c>
      <c r="I45" s="236" t="b">
        <v>1</v>
      </c>
      <c r="J45" s="236" t="b">
        <v>1</v>
      </c>
      <c r="K45" s="236" t="b">
        <v>1</v>
      </c>
      <c r="L45" s="236" t="b">
        <v>0</v>
      </c>
      <c r="M45" s="236" t="b">
        <v>0</v>
      </c>
      <c r="N45" s="236" t="b">
        <v>1</v>
      </c>
      <c r="O45" s="236" t="b">
        <v>0</v>
      </c>
      <c r="P45" s="236" t="b">
        <v>0</v>
      </c>
      <c r="Q45" s="236" t="b">
        <v>1</v>
      </c>
      <c r="R45" s="236" t="b">
        <v>1</v>
      </c>
      <c r="S45" s="236" t="b">
        <v>1</v>
      </c>
      <c r="T45" s="287" t="str" cm="1">
        <f t="array" ref="T45">IF(SUMPRODUCT((Cert_Matrix!$A$6:$A$11=E45)*(Cert_Matrix!$B$6:$K$11="X")*(H45:Q45=TRUE))&lt;SUMPRODUCT((Cert_Matrix!$A$6:$A$11=E45)*(Cert_Matrix!$B$6:$K$11="X")),"Thiếu chứng nhận","Đủ điều kiện")</f>
        <v>Đủ điều kiện</v>
      </c>
      <c r="U45" s="287"/>
      <c r="V45" s="290"/>
    </row>
    <row r="46" spans="1:22">
      <c r="A46" s="256">
        <f>ROWS($B$5:B44)</f>
        <v>40</v>
      </c>
      <c r="B46" s="256" t="s">
        <v>1244</v>
      </c>
      <c r="C46" s="256" t="s">
        <v>1245</v>
      </c>
      <c r="D46" s="256" t="s">
        <v>1225</v>
      </c>
      <c r="E46" s="256" t="s">
        <v>39</v>
      </c>
      <c r="F46" s="256" t="s">
        <v>336</v>
      </c>
      <c r="G46" s="290">
        <v>46120</v>
      </c>
      <c r="H46" s="236" t="b">
        <v>0</v>
      </c>
      <c r="I46" s="236" t="b">
        <v>0</v>
      </c>
      <c r="J46" s="236" t="b">
        <v>0</v>
      </c>
      <c r="K46" s="236" t="b">
        <v>0</v>
      </c>
      <c r="L46" s="236" t="b">
        <v>0</v>
      </c>
      <c r="M46" s="236" t="b">
        <v>0</v>
      </c>
      <c r="N46" s="236" t="b">
        <v>1</v>
      </c>
      <c r="O46" s="236" t="b">
        <v>0</v>
      </c>
      <c r="P46" s="236" t="b">
        <v>0</v>
      </c>
      <c r="Q46" s="236" t="b">
        <v>1</v>
      </c>
      <c r="R46" s="236" t="b">
        <v>1</v>
      </c>
      <c r="S46" s="236" t="b">
        <v>0</v>
      </c>
      <c r="T46" s="287" t="str" cm="1">
        <f t="array" ref="T46">IF(SUMPRODUCT((Cert_Matrix!$A$6:$A$11=E46)*(Cert_Matrix!$B$6:$K$11="X")*(H46:Q46=TRUE))&lt;SUMPRODUCT((Cert_Matrix!$A$6:$A$11=E46)*(Cert_Matrix!$B$6:$K$11="X")),"Thiếu chứng nhận","Đủ điều kiện")</f>
        <v>Đủ điều kiện</v>
      </c>
      <c r="U46" s="287"/>
      <c r="V46" s="290"/>
    </row>
    <row r="47" spans="1:22">
      <c r="A47" s="256">
        <f>ROWS($B$5:B45)</f>
        <v>41</v>
      </c>
      <c r="B47" s="256" t="s">
        <v>1246</v>
      </c>
      <c r="C47" s="256" t="s">
        <v>1247</v>
      </c>
      <c r="D47" s="256" t="s">
        <v>1225</v>
      </c>
      <c r="E47" s="256" t="s">
        <v>1141</v>
      </c>
      <c r="F47" s="256" t="s">
        <v>336</v>
      </c>
      <c r="G47" s="290">
        <v>46128</v>
      </c>
      <c r="H47" s="236" t="b">
        <v>1</v>
      </c>
      <c r="I47" s="236" t="b">
        <v>1</v>
      </c>
      <c r="J47" s="236" t="b">
        <v>1</v>
      </c>
      <c r="K47" s="236" t="b">
        <v>1</v>
      </c>
      <c r="L47" s="236" t="b">
        <v>0</v>
      </c>
      <c r="M47" s="236" t="b">
        <v>0</v>
      </c>
      <c r="N47" s="236" t="b">
        <v>0</v>
      </c>
      <c r="O47" s="236" t="b">
        <v>0</v>
      </c>
      <c r="P47" s="236" t="b">
        <v>0</v>
      </c>
      <c r="Q47" s="236" t="b">
        <v>1</v>
      </c>
      <c r="R47" s="236" t="b">
        <v>1</v>
      </c>
      <c r="S47" s="236" t="b">
        <v>1</v>
      </c>
      <c r="T47" s="287" t="str" cm="1">
        <f t="array" ref="T47">IF(SUMPRODUCT((Cert_Matrix!$A$6:$A$11=E47)*(Cert_Matrix!$B$6:$K$11="X")*(H47:Q47=TRUE))&lt;SUMPRODUCT((Cert_Matrix!$A$6:$A$11=E47)*(Cert_Matrix!$B$6:$K$11="X")),"Thiếu chứng nhận","Đủ điều kiện")</f>
        <v>Đủ điều kiện</v>
      </c>
      <c r="U47" s="287"/>
      <c r="V47" s="290"/>
    </row>
    <row r="48" spans="1:22">
      <c r="A48" s="256">
        <f>ROWS($B$5:B46)</f>
        <v>42</v>
      </c>
      <c r="B48" s="256" t="s">
        <v>1248</v>
      </c>
      <c r="C48" s="256" t="s">
        <v>1249</v>
      </c>
      <c r="D48" s="256" t="s">
        <v>1225</v>
      </c>
      <c r="E48" s="256" t="s">
        <v>39</v>
      </c>
      <c r="F48" s="256" t="s">
        <v>336</v>
      </c>
      <c r="G48" s="290">
        <v>46120</v>
      </c>
      <c r="H48" s="236" t="b">
        <v>0</v>
      </c>
      <c r="I48" s="236" t="b">
        <v>0</v>
      </c>
      <c r="J48" s="236" t="b">
        <v>0</v>
      </c>
      <c r="K48" s="236" t="b">
        <v>0</v>
      </c>
      <c r="L48" s="236" t="b">
        <v>0</v>
      </c>
      <c r="M48" s="236" t="b">
        <v>0</v>
      </c>
      <c r="N48" s="236" t="b">
        <v>1</v>
      </c>
      <c r="O48" s="236" t="b">
        <v>0</v>
      </c>
      <c r="P48" s="236" t="b">
        <v>0</v>
      </c>
      <c r="Q48" s="236" t="b">
        <v>0</v>
      </c>
      <c r="R48" s="236" t="b">
        <v>1</v>
      </c>
      <c r="S48" s="236" t="b">
        <v>0</v>
      </c>
      <c r="T48" s="287" t="str" cm="1">
        <f t="array" ref="T48">IF(SUMPRODUCT((Cert_Matrix!$A$6:$A$11=E48)*(Cert_Matrix!$B$6:$K$11="X")*(H48:Q48=TRUE))&lt;SUMPRODUCT((Cert_Matrix!$A$6:$A$11=E48)*(Cert_Matrix!$B$6:$K$11="X")),"Thiếu chứng nhận","Đủ điều kiện")</f>
        <v>Đủ điều kiện</v>
      </c>
      <c r="U48" s="287"/>
      <c r="V48" s="290"/>
    </row>
    <row r="49" spans="1:22">
      <c r="A49" s="256">
        <f>ROWS($B$5:B47)</f>
        <v>43</v>
      </c>
      <c r="B49" s="257" t="s">
        <v>1250</v>
      </c>
      <c r="C49" s="256" t="s">
        <v>1251</v>
      </c>
      <c r="D49" s="256" t="s">
        <v>1252</v>
      </c>
      <c r="E49" s="256" t="s">
        <v>1144</v>
      </c>
      <c r="F49" s="256" t="s">
        <v>336</v>
      </c>
      <c r="G49" s="290">
        <v>46001</v>
      </c>
      <c r="H49" s="236" t="b">
        <v>0</v>
      </c>
      <c r="I49" s="236" t="b">
        <v>0</v>
      </c>
      <c r="J49" s="236" t="b">
        <v>0</v>
      </c>
      <c r="K49" s="236" t="b">
        <v>0</v>
      </c>
      <c r="L49" s="236" t="b">
        <v>0</v>
      </c>
      <c r="M49" s="236" t="b">
        <v>0</v>
      </c>
      <c r="N49" s="236" t="b">
        <v>0</v>
      </c>
      <c r="O49" s="236" t="b">
        <v>0</v>
      </c>
      <c r="P49" s="236" t="b">
        <v>0</v>
      </c>
      <c r="Q49" s="236" t="b">
        <v>1</v>
      </c>
      <c r="R49" s="236" t="b">
        <v>0</v>
      </c>
      <c r="S49" s="236" t="b">
        <v>0</v>
      </c>
      <c r="T49" s="287" t="str" cm="1">
        <f t="array" ref="T49">IF(SUMPRODUCT((Cert_Matrix!$A$6:$A$11=E49)*(Cert_Matrix!$B$6:$K$11="X")*(H49:Q49=TRUE))&lt;SUMPRODUCT((Cert_Matrix!$A$6:$A$11=E49)*(Cert_Matrix!$B$6:$K$11="X")),"Thiếu chứng nhận","Đủ điều kiện")</f>
        <v>Đủ điều kiện</v>
      </c>
      <c r="U49" s="287"/>
      <c r="V49" s="290"/>
    </row>
    <row r="50" spans="1:22">
      <c r="A50" s="256">
        <f>ROWS($B$5:B48)</f>
        <v>44</v>
      </c>
      <c r="B50" s="256" t="s">
        <v>1253</v>
      </c>
      <c r="C50" s="256" t="s">
        <v>1254</v>
      </c>
      <c r="D50" s="256" t="s">
        <v>1225</v>
      </c>
      <c r="E50" s="256" t="s">
        <v>1144</v>
      </c>
      <c r="F50" s="256" t="s">
        <v>336</v>
      </c>
      <c r="G50" s="290">
        <v>46120</v>
      </c>
      <c r="H50" s="236" t="b">
        <v>0</v>
      </c>
      <c r="I50" s="236" t="b">
        <v>0</v>
      </c>
      <c r="J50" s="236" t="b">
        <v>0</v>
      </c>
      <c r="K50" s="236" t="b">
        <v>0</v>
      </c>
      <c r="L50" s="236" t="b">
        <v>0</v>
      </c>
      <c r="M50" s="236" t="b">
        <v>0</v>
      </c>
      <c r="N50" s="236" t="b">
        <v>1</v>
      </c>
      <c r="O50" s="236" t="b">
        <v>0</v>
      </c>
      <c r="P50" s="236" t="b">
        <v>0</v>
      </c>
      <c r="Q50" s="236" t="b">
        <v>1</v>
      </c>
      <c r="R50" s="236" t="b">
        <v>1</v>
      </c>
      <c r="S50" s="236" t="b">
        <v>1</v>
      </c>
      <c r="T50" s="287" t="str" cm="1">
        <f t="array" ref="T50">IF(SUMPRODUCT((Cert_Matrix!$A$6:$A$11=E50)*(Cert_Matrix!$B$6:$K$11="X")*(H50:Q50=TRUE))&lt;SUMPRODUCT((Cert_Matrix!$A$6:$A$11=E50)*(Cert_Matrix!$B$6:$K$11="X")),"Thiếu chứng nhận","Đủ điều kiện")</f>
        <v>Đủ điều kiện</v>
      </c>
      <c r="U50" s="287"/>
      <c r="V50" s="290"/>
    </row>
    <row r="51" spans="1:22">
      <c r="A51" s="256">
        <f>ROWS($B$5:B49)</f>
        <v>45</v>
      </c>
      <c r="B51" s="256" t="s">
        <v>347</v>
      </c>
      <c r="C51" s="256" t="s">
        <v>348</v>
      </c>
      <c r="D51" s="256" t="s">
        <v>1206</v>
      </c>
      <c r="E51" s="256" t="s">
        <v>1144</v>
      </c>
      <c r="F51" s="256" t="s">
        <v>680</v>
      </c>
      <c r="G51" s="290"/>
      <c r="H51" s="236" t="b">
        <v>0</v>
      </c>
      <c r="I51" s="236" t="b">
        <v>0</v>
      </c>
      <c r="J51" s="236" t="b">
        <v>0</v>
      </c>
      <c r="K51" s="236" t="b">
        <v>0</v>
      </c>
      <c r="L51" s="236" t="b">
        <v>0</v>
      </c>
      <c r="M51" s="236" t="b">
        <v>0</v>
      </c>
      <c r="N51" s="236" t="b">
        <v>1</v>
      </c>
      <c r="O51" s="236" t="b">
        <v>0</v>
      </c>
      <c r="P51" s="236" t="b">
        <v>0</v>
      </c>
      <c r="Q51" s="236" t="b">
        <v>1</v>
      </c>
      <c r="R51" s="236" t="b">
        <v>1</v>
      </c>
      <c r="S51" s="236" t="b">
        <v>0</v>
      </c>
      <c r="T51" s="287" t="str" cm="1">
        <f t="array" ref="T51">IF(SUMPRODUCT((Cert_Matrix!$A$6:$A$11=E51)*(Cert_Matrix!$B$6:$K$11="X")*(H51:Q51=TRUE))&lt;SUMPRODUCT((Cert_Matrix!$A$6:$A$11=E51)*(Cert_Matrix!$B$6:$K$11="X")),"Thiếu chứng nhận","Đủ điều kiện")</f>
        <v>Đủ điều kiện</v>
      </c>
      <c r="U51" s="287"/>
      <c r="V51" s="290"/>
    </row>
    <row r="52" spans="1:22">
      <c r="A52" s="256">
        <f>ROWS($B$5:B50)</f>
        <v>46</v>
      </c>
      <c r="B52" s="256" t="s">
        <v>387</v>
      </c>
      <c r="C52" s="256" t="s">
        <v>388</v>
      </c>
      <c r="D52" s="256" t="s">
        <v>1210</v>
      </c>
      <c r="E52" s="256" t="s">
        <v>1141</v>
      </c>
      <c r="F52" s="256" t="s">
        <v>680</v>
      </c>
      <c r="G52" s="290"/>
      <c r="H52" s="236" t="b">
        <v>1</v>
      </c>
      <c r="I52" s="236" t="b">
        <v>1</v>
      </c>
      <c r="J52" s="236" t="b">
        <v>1</v>
      </c>
      <c r="K52" s="236" t="b">
        <v>1</v>
      </c>
      <c r="L52" s="236" t="b">
        <v>0</v>
      </c>
      <c r="M52" s="236" t="b">
        <v>1</v>
      </c>
      <c r="N52" s="236" t="b">
        <v>1</v>
      </c>
      <c r="O52" s="236" t="b">
        <v>0</v>
      </c>
      <c r="P52" s="236" t="b">
        <v>1</v>
      </c>
      <c r="Q52" s="236" t="b">
        <v>0</v>
      </c>
      <c r="R52" s="236" t="b">
        <v>0</v>
      </c>
      <c r="S52" s="236" t="b">
        <v>1</v>
      </c>
      <c r="T52" s="287" t="str" cm="1">
        <f t="array" ref="T52">IF(SUMPRODUCT((Cert_Matrix!$A$6:$A$11=E52)*(Cert_Matrix!$B$6:$K$11="X")*(H52:Q52=TRUE))&lt;SUMPRODUCT((Cert_Matrix!$A$6:$A$11=E52)*(Cert_Matrix!$B$6:$K$11="X")),"Thiếu chứng nhận","Đủ điều kiện")</f>
        <v>Đủ điều kiện</v>
      </c>
      <c r="U52" s="287"/>
      <c r="V52" s="290"/>
    </row>
    <row r="53" spans="1:22">
      <c r="A53" s="256">
        <f>ROWS($B$5:B51)</f>
        <v>47</v>
      </c>
      <c r="B53" s="256" t="s">
        <v>337</v>
      </c>
      <c r="C53" s="256" t="s">
        <v>338</v>
      </c>
      <c r="D53" s="256" t="s">
        <v>1211</v>
      </c>
      <c r="E53" s="256" t="s">
        <v>1143</v>
      </c>
      <c r="F53" s="256" t="s">
        <v>680</v>
      </c>
      <c r="G53" s="290"/>
      <c r="H53" s="236" t="b">
        <v>1</v>
      </c>
      <c r="I53" s="236" t="b">
        <v>1</v>
      </c>
      <c r="J53" s="236" t="b">
        <v>1</v>
      </c>
      <c r="K53" s="236" t="b">
        <v>0</v>
      </c>
      <c r="L53" s="236" t="b">
        <v>1</v>
      </c>
      <c r="M53" s="236" t="b">
        <v>1</v>
      </c>
      <c r="N53" s="236" t="b">
        <v>1</v>
      </c>
      <c r="O53" s="236" t="b">
        <v>0</v>
      </c>
      <c r="P53" s="236" t="b">
        <v>0</v>
      </c>
      <c r="Q53" s="236" t="b">
        <v>1</v>
      </c>
      <c r="R53" s="236" t="b">
        <v>1</v>
      </c>
      <c r="S53" s="236" t="b">
        <v>0</v>
      </c>
      <c r="T53" s="287" t="str" cm="1">
        <f t="array" ref="T53">IF(SUMPRODUCT((Cert_Matrix!$A$6:$A$11=E53)*(Cert_Matrix!$B$6:$K$11="X")*(H53:Q53=TRUE))&lt;SUMPRODUCT((Cert_Matrix!$A$6:$A$11=E53)*(Cert_Matrix!$B$6:$K$11="X")),"Thiếu chứng nhận","Đủ điều kiện")</f>
        <v>Đủ điều kiện</v>
      </c>
      <c r="U53" s="287"/>
      <c r="V53" s="290"/>
    </row>
    <row r="54" spans="1:22">
      <c r="A54" s="256">
        <f>ROWS($B$5:B52)</f>
        <v>48</v>
      </c>
      <c r="B54" s="256" t="s">
        <v>1255</v>
      </c>
      <c r="C54" s="256" t="s">
        <v>356</v>
      </c>
      <c r="D54" s="256" t="s">
        <v>1225</v>
      </c>
      <c r="E54" s="256" t="s">
        <v>1144</v>
      </c>
      <c r="F54" s="256" t="s">
        <v>680</v>
      </c>
      <c r="G54" s="290"/>
      <c r="H54" s="236" t="b">
        <v>0</v>
      </c>
      <c r="I54" s="236" t="b">
        <v>0</v>
      </c>
      <c r="J54" s="236" t="b">
        <v>0</v>
      </c>
      <c r="K54" s="236" t="b">
        <v>0</v>
      </c>
      <c r="L54" s="236" t="b">
        <v>0</v>
      </c>
      <c r="M54" s="236" t="b">
        <v>0</v>
      </c>
      <c r="N54" s="236" t="b">
        <v>0</v>
      </c>
      <c r="O54" s="236" t="b">
        <v>0</v>
      </c>
      <c r="P54" s="236" t="b">
        <v>0</v>
      </c>
      <c r="Q54" s="236" t="b">
        <v>1</v>
      </c>
      <c r="R54" s="236" t="b">
        <v>1</v>
      </c>
      <c r="S54" s="236" t="b">
        <v>0</v>
      </c>
      <c r="T54" s="287" t="str" cm="1">
        <f t="array" ref="T54">IF(SUMPRODUCT((Cert_Matrix!$A$6:$A$11=E54)*(Cert_Matrix!$B$6:$K$11="X")*(H54:Q54=TRUE))&lt;SUMPRODUCT((Cert_Matrix!$A$6:$A$11=E54)*(Cert_Matrix!$B$6:$K$11="X")),"Thiếu chứng nhận","Đủ điều kiện")</f>
        <v>Đủ điều kiện</v>
      </c>
      <c r="U54" s="287"/>
      <c r="V54" s="290"/>
    </row>
    <row r="55" spans="1:22">
      <c r="A55" s="256">
        <f>ROWS($B$5:B53)</f>
        <v>49</v>
      </c>
      <c r="B55" s="256" t="s">
        <v>1256</v>
      </c>
      <c r="C55" s="256" t="s">
        <v>1257</v>
      </c>
      <c r="D55" s="256" t="s">
        <v>1225</v>
      </c>
      <c r="E55" s="256" t="s">
        <v>1144</v>
      </c>
      <c r="F55" s="256" t="s">
        <v>680</v>
      </c>
      <c r="G55" s="290">
        <v>46128</v>
      </c>
      <c r="H55" s="236" t="b">
        <v>0</v>
      </c>
      <c r="I55" s="236" t="b">
        <v>0</v>
      </c>
      <c r="J55" s="236" t="b">
        <v>0</v>
      </c>
      <c r="K55" s="236" t="b">
        <v>0</v>
      </c>
      <c r="L55" s="236" t="b">
        <v>0</v>
      </c>
      <c r="M55" s="236" t="b">
        <v>0</v>
      </c>
      <c r="N55" s="236" t="b">
        <v>0</v>
      </c>
      <c r="O55" s="236" t="b">
        <v>0</v>
      </c>
      <c r="P55" s="236" t="b">
        <v>0</v>
      </c>
      <c r="Q55" s="236" t="b">
        <v>1</v>
      </c>
      <c r="R55" s="236" t="b">
        <v>1</v>
      </c>
      <c r="S55" s="236" t="b">
        <v>1</v>
      </c>
      <c r="T55" s="287" t="str" cm="1">
        <f t="array" ref="T55">IF(SUMPRODUCT((Cert_Matrix!$A$6:$A$11=E55)*(Cert_Matrix!$B$6:$K$11="X")*(H55:Q55=TRUE))&lt;SUMPRODUCT((Cert_Matrix!$A$6:$A$11=E55)*(Cert_Matrix!$B$6:$K$11="X")),"Thiếu chứng nhận","Đủ điều kiện")</f>
        <v>Đủ điều kiện</v>
      </c>
      <c r="U55" s="287"/>
      <c r="V55" s="290"/>
    </row>
    <row r="56" spans="1:22">
      <c r="A56" s="256">
        <f>ROWS($B$5:B54)</f>
        <v>50</v>
      </c>
      <c r="B56" s="256" t="s">
        <v>1258</v>
      </c>
      <c r="C56" s="256" t="s">
        <v>1259</v>
      </c>
      <c r="D56" s="256" t="s">
        <v>1225</v>
      </c>
      <c r="E56" s="256" t="s">
        <v>1144</v>
      </c>
      <c r="F56" s="256" t="s">
        <v>680</v>
      </c>
      <c r="G56" s="290">
        <v>45998</v>
      </c>
      <c r="H56" s="236" t="b">
        <v>0</v>
      </c>
      <c r="I56" s="236" t="b">
        <v>0</v>
      </c>
      <c r="J56" s="236" t="b">
        <v>0</v>
      </c>
      <c r="K56" s="236" t="b">
        <v>0</v>
      </c>
      <c r="L56" s="236" t="b">
        <v>0</v>
      </c>
      <c r="M56" s="236" t="b">
        <v>0</v>
      </c>
      <c r="N56" s="236" t="b">
        <v>0</v>
      </c>
      <c r="O56" s="236" t="b">
        <v>0</v>
      </c>
      <c r="P56" s="236" t="b">
        <v>0</v>
      </c>
      <c r="Q56" s="236" t="b">
        <v>1</v>
      </c>
      <c r="R56" s="236" t="b">
        <v>0</v>
      </c>
      <c r="S56" s="236" t="b">
        <v>0</v>
      </c>
      <c r="T56" s="287" t="str" cm="1">
        <f t="array" ref="T56">IF(SUMPRODUCT((Cert_Matrix!$A$6:$A$11=E56)*(Cert_Matrix!$B$6:$K$11="X")*(H56:Q56=TRUE))&lt;SUMPRODUCT((Cert_Matrix!$A$6:$A$11=E56)*(Cert_Matrix!$B$6:$K$11="X")),"Thiếu chứng nhận","Đủ điều kiện")</f>
        <v>Đủ điều kiện</v>
      </c>
      <c r="U56" s="287"/>
      <c r="V56" s="290"/>
    </row>
    <row r="57" spans="1:22">
      <c r="A57" s="256">
        <f>ROWS($B$5:B55)</f>
        <v>51</v>
      </c>
      <c r="B57" s="256" t="s">
        <v>1260</v>
      </c>
      <c r="C57" s="256" t="s">
        <v>1261</v>
      </c>
      <c r="D57" s="256" t="s">
        <v>1225</v>
      </c>
      <c r="E57" s="256" t="s">
        <v>1144</v>
      </c>
      <c r="F57" s="256" t="s">
        <v>680</v>
      </c>
      <c r="G57" s="290">
        <v>46001</v>
      </c>
      <c r="H57" s="236" t="b">
        <v>0</v>
      </c>
      <c r="I57" s="236" t="b">
        <v>0</v>
      </c>
      <c r="J57" s="236" t="b">
        <v>0</v>
      </c>
      <c r="K57" s="236" t="b">
        <v>0</v>
      </c>
      <c r="L57" s="236" t="b">
        <v>0</v>
      </c>
      <c r="M57" s="236" t="b">
        <v>0</v>
      </c>
      <c r="N57" s="236" t="b">
        <v>0</v>
      </c>
      <c r="O57" s="236" t="b">
        <v>0</v>
      </c>
      <c r="P57" s="236" t="b">
        <v>0</v>
      </c>
      <c r="Q57" s="236" t="b">
        <v>1</v>
      </c>
      <c r="R57" s="236" t="b">
        <v>0</v>
      </c>
      <c r="S57" s="236" t="b">
        <v>0</v>
      </c>
      <c r="T57" s="287" t="str" cm="1">
        <f t="array" ref="T57">IF(SUMPRODUCT((Cert_Matrix!$A$6:$A$11=E57)*(Cert_Matrix!$B$6:$K$11="X")*(H57:Q57=TRUE))&lt;SUMPRODUCT((Cert_Matrix!$A$6:$A$11=E57)*(Cert_Matrix!$B$6:$K$11="X")),"Thiếu chứng nhận","Đủ điều kiện")</f>
        <v>Đủ điều kiện</v>
      </c>
      <c r="U57" s="287"/>
      <c r="V57" s="290"/>
    </row>
    <row r="58" spans="1:22">
      <c r="A58" s="256">
        <f>ROWS($B$5:B56)</f>
        <v>52</v>
      </c>
      <c r="B58" s="256" t="s">
        <v>1262</v>
      </c>
      <c r="C58" s="256" t="s">
        <v>1263</v>
      </c>
      <c r="D58" s="256" t="s">
        <v>1225</v>
      </c>
      <c r="E58" s="256" t="s">
        <v>1144</v>
      </c>
      <c r="F58" s="256" t="s">
        <v>680</v>
      </c>
      <c r="G58" s="290">
        <v>46122</v>
      </c>
      <c r="H58" s="236" t="b">
        <v>0</v>
      </c>
      <c r="I58" s="236" t="b">
        <v>0</v>
      </c>
      <c r="J58" s="236" t="b">
        <v>0</v>
      </c>
      <c r="K58" s="236" t="b">
        <v>0</v>
      </c>
      <c r="L58" s="236" t="b">
        <v>0</v>
      </c>
      <c r="M58" s="236" t="b">
        <v>0</v>
      </c>
      <c r="N58" s="236" t="b">
        <v>1</v>
      </c>
      <c r="O58" s="236" t="b">
        <v>0</v>
      </c>
      <c r="P58" s="236" t="b">
        <v>0</v>
      </c>
      <c r="Q58" s="236" t="b">
        <v>1</v>
      </c>
      <c r="R58" s="236" t="b">
        <v>1</v>
      </c>
      <c r="S58" s="236" t="b">
        <v>0</v>
      </c>
      <c r="T58" s="287" t="str" cm="1">
        <f t="array" ref="T58">IF(SUMPRODUCT((Cert_Matrix!$A$6:$A$11=E58)*(Cert_Matrix!$B$6:$K$11="X")*(H58:Q58=TRUE))&lt;SUMPRODUCT((Cert_Matrix!$A$6:$A$11=E58)*(Cert_Matrix!$B$6:$K$11="X")),"Thiếu chứng nhận","Đủ điều kiện")</f>
        <v>Đủ điều kiện</v>
      </c>
      <c r="U58" s="287"/>
      <c r="V58" s="290"/>
    </row>
    <row r="59" spans="1:22">
      <c r="A59" s="256">
        <f>ROWS($B$5:B57)</f>
        <v>53</v>
      </c>
      <c r="B59" s="256" t="s">
        <v>1264</v>
      </c>
      <c r="C59" s="256" t="s">
        <v>1265</v>
      </c>
      <c r="D59" s="256" t="s">
        <v>1225</v>
      </c>
      <c r="E59" s="256" t="s">
        <v>1144</v>
      </c>
      <c r="F59" s="256" t="s">
        <v>680</v>
      </c>
      <c r="G59" s="290">
        <v>46122</v>
      </c>
      <c r="H59" s="236" t="b">
        <v>0</v>
      </c>
      <c r="I59" s="236" t="b">
        <v>0</v>
      </c>
      <c r="J59" s="236" t="b">
        <v>0</v>
      </c>
      <c r="K59" s="236" t="b">
        <v>0</v>
      </c>
      <c r="L59" s="236" t="b">
        <v>0</v>
      </c>
      <c r="M59" s="236" t="b">
        <v>0</v>
      </c>
      <c r="N59" s="236" t="b">
        <v>0</v>
      </c>
      <c r="O59" s="236" t="b">
        <v>0</v>
      </c>
      <c r="P59" s="236" t="b">
        <v>0</v>
      </c>
      <c r="Q59" s="236" t="b">
        <v>1</v>
      </c>
      <c r="R59" s="236" t="b">
        <v>1</v>
      </c>
      <c r="S59" s="236" t="b">
        <v>1</v>
      </c>
      <c r="T59" s="287" t="str" cm="1">
        <f t="array" ref="T59">IF(SUMPRODUCT((Cert_Matrix!$A$6:$A$11=E59)*(Cert_Matrix!$B$6:$K$11="X")*(H59:Q59=TRUE))&lt;SUMPRODUCT((Cert_Matrix!$A$6:$A$11=E59)*(Cert_Matrix!$B$6:$K$11="X")),"Thiếu chứng nhận","Đủ điều kiện")</f>
        <v>Đủ điều kiện</v>
      </c>
      <c r="U59" s="287"/>
      <c r="V59" s="290"/>
    </row>
    <row r="60" spans="1:22">
      <c r="A60" s="256">
        <f>ROWS($B$5:B58)</f>
        <v>54</v>
      </c>
      <c r="B60" s="256" t="s">
        <v>681</v>
      </c>
      <c r="C60" s="256" t="s">
        <v>682</v>
      </c>
      <c r="D60" s="256" t="s">
        <v>1211</v>
      </c>
      <c r="E60" s="256" t="s">
        <v>1143</v>
      </c>
      <c r="F60" s="256" t="s">
        <v>680</v>
      </c>
      <c r="G60" s="290"/>
      <c r="H60" s="236" t="b">
        <v>1</v>
      </c>
      <c r="I60" s="236" t="b">
        <v>1</v>
      </c>
      <c r="J60" s="236" t="b">
        <v>1</v>
      </c>
      <c r="K60" s="236" t="b">
        <v>1</v>
      </c>
      <c r="L60" s="236" t="b">
        <v>1</v>
      </c>
      <c r="M60" s="236" t="b">
        <v>1</v>
      </c>
      <c r="N60" s="236" t="b">
        <v>0</v>
      </c>
      <c r="O60" s="236" t="b">
        <v>0</v>
      </c>
      <c r="P60" s="236" t="b">
        <v>0</v>
      </c>
      <c r="Q60" s="236" t="b">
        <v>0</v>
      </c>
      <c r="R60" s="236" t="b">
        <v>1</v>
      </c>
      <c r="S60" s="236" t="b">
        <v>0</v>
      </c>
      <c r="T60" s="287" t="str" cm="1">
        <f t="array" ref="T60">IF(SUMPRODUCT((Cert_Matrix!$A$6:$A$11=E60)*(Cert_Matrix!$B$6:$K$11="X")*(H60:Q60=TRUE))&lt;SUMPRODUCT((Cert_Matrix!$A$6:$A$11=E60)*(Cert_Matrix!$B$6:$K$11="X")),"Thiếu chứng nhận","Đủ điều kiện")</f>
        <v>Đủ điều kiện</v>
      </c>
      <c r="U60" s="287"/>
      <c r="V60" s="290"/>
    </row>
    <row r="61" spans="1:22">
      <c r="A61" s="256">
        <f>ROWS($B$5:B59)</f>
        <v>55</v>
      </c>
      <c r="B61" s="256" t="s">
        <v>373</v>
      </c>
      <c r="C61" s="256" t="s">
        <v>374</v>
      </c>
      <c r="D61" s="256" t="s">
        <v>1206</v>
      </c>
      <c r="E61" s="256" t="s">
        <v>1144</v>
      </c>
      <c r="F61" s="256" t="s">
        <v>680</v>
      </c>
      <c r="G61" s="290">
        <v>46120</v>
      </c>
      <c r="H61" s="236" t="b">
        <v>0</v>
      </c>
      <c r="I61" s="236" t="b">
        <v>0</v>
      </c>
      <c r="J61" s="236" t="b">
        <v>0</v>
      </c>
      <c r="K61" s="236" t="b">
        <v>0</v>
      </c>
      <c r="L61" s="236" t="b">
        <v>0</v>
      </c>
      <c r="M61" s="236" t="b">
        <v>0</v>
      </c>
      <c r="N61" s="236" t="b">
        <v>1</v>
      </c>
      <c r="O61" s="236" t="b">
        <v>0</v>
      </c>
      <c r="P61" s="236" t="b">
        <v>0</v>
      </c>
      <c r="Q61" s="236" t="b">
        <v>1</v>
      </c>
      <c r="R61" s="236" t="b">
        <v>1</v>
      </c>
      <c r="S61" s="236" t="b">
        <v>0</v>
      </c>
      <c r="T61" s="287" t="str" cm="1">
        <f t="array" ref="T61">IF(SUMPRODUCT((Cert_Matrix!$A$6:$A$11=E61)*(Cert_Matrix!$B$6:$K$11="X")*(H61:Q61=TRUE))&lt;SUMPRODUCT((Cert_Matrix!$A$6:$A$11=E61)*(Cert_Matrix!$B$6:$K$11="X")),"Thiếu chứng nhận","Đủ điều kiện")</f>
        <v>Đủ điều kiện</v>
      </c>
      <c r="U61" s="287"/>
      <c r="V61" s="290"/>
    </row>
    <row r="62" spans="1:22">
      <c r="A62" s="256">
        <f>ROWS($B$5:B60)</f>
        <v>56</v>
      </c>
      <c r="B62" s="256" t="s">
        <v>1266</v>
      </c>
      <c r="C62" s="256" t="s">
        <v>699</v>
      </c>
      <c r="D62" s="256" t="s">
        <v>1210</v>
      </c>
      <c r="E62" s="256" t="s">
        <v>1141</v>
      </c>
      <c r="F62" s="256" t="s">
        <v>680</v>
      </c>
      <c r="G62" s="290">
        <v>46137</v>
      </c>
      <c r="H62" s="236" t="b">
        <v>1</v>
      </c>
      <c r="I62" s="236" t="b">
        <v>1</v>
      </c>
      <c r="J62" s="236" t="b">
        <v>1</v>
      </c>
      <c r="K62" s="236" t="b">
        <v>1</v>
      </c>
      <c r="L62" s="236" t="b">
        <v>0</v>
      </c>
      <c r="M62" s="236" t="b">
        <v>1</v>
      </c>
      <c r="N62" s="236" t="b">
        <v>1</v>
      </c>
      <c r="O62" s="236" t="b">
        <v>0</v>
      </c>
      <c r="P62" s="236" t="b">
        <v>0</v>
      </c>
      <c r="Q62" s="236" t="b">
        <v>1</v>
      </c>
      <c r="R62" s="236" t="b">
        <v>1</v>
      </c>
      <c r="S62" s="236" t="b">
        <v>1</v>
      </c>
      <c r="T62" s="287" t="str" cm="1">
        <f t="array" ref="T62">IF(SUMPRODUCT((Cert_Matrix!$A$6:$A$11=E62)*(Cert_Matrix!$B$6:$K$11="X")*(H62:Q62=TRUE))&lt;SUMPRODUCT((Cert_Matrix!$A$6:$A$11=E62)*(Cert_Matrix!$B$6:$K$11="X")),"Thiếu chứng nhận","Đủ điều kiện")</f>
        <v>Đủ điều kiện</v>
      </c>
      <c r="U62" s="287"/>
      <c r="V62" s="290"/>
    </row>
    <row r="63" spans="1:22">
      <c r="A63" s="256">
        <f>ROWS($B$5:B61)</f>
        <v>57</v>
      </c>
      <c r="B63" s="256" t="s">
        <v>1267</v>
      </c>
      <c r="C63" s="256" t="s">
        <v>1268</v>
      </c>
      <c r="D63" s="256" t="s">
        <v>1206</v>
      </c>
      <c r="E63" s="256" t="s">
        <v>1144</v>
      </c>
      <c r="F63" s="256" t="s">
        <v>680</v>
      </c>
      <c r="G63" s="290">
        <v>46001</v>
      </c>
      <c r="H63" s="236" t="b">
        <v>0</v>
      </c>
      <c r="I63" s="236" t="b">
        <v>0</v>
      </c>
      <c r="J63" s="236" t="b">
        <v>0</v>
      </c>
      <c r="K63" s="236" t="b">
        <v>0</v>
      </c>
      <c r="L63" s="236" t="b">
        <v>0</v>
      </c>
      <c r="M63" s="236" t="b">
        <v>0</v>
      </c>
      <c r="N63" s="236" t="b">
        <v>0</v>
      </c>
      <c r="O63" s="236" t="b">
        <v>0</v>
      </c>
      <c r="P63" s="236" t="b">
        <v>0</v>
      </c>
      <c r="Q63" s="236" t="b">
        <v>1</v>
      </c>
      <c r="R63" s="236" t="b">
        <v>0</v>
      </c>
      <c r="S63" s="236" t="b">
        <v>0</v>
      </c>
      <c r="T63" s="287" t="str" cm="1">
        <f t="array" ref="T63">IF(SUMPRODUCT((Cert_Matrix!$A$6:$A$11=E63)*(Cert_Matrix!$B$6:$K$11="X")*(H63:Q63=TRUE))&lt;SUMPRODUCT((Cert_Matrix!$A$6:$A$11=E63)*(Cert_Matrix!$B$6:$K$11="X")),"Thiếu chứng nhận","Đủ điều kiện")</f>
        <v>Đủ điều kiện</v>
      </c>
      <c r="U63" s="287"/>
      <c r="V63" s="290"/>
    </row>
    <row r="64" spans="1:22">
      <c r="A64" s="256">
        <f>ROWS($B$5:B62)</f>
        <v>58</v>
      </c>
      <c r="B64" s="256" t="s">
        <v>1269</v>
      </c>
      <c r="C64" s="256" t="s">
        <v>1011</v>
      </c>
      <c r="D64" s="256" t="s">
        <v>1206</v>
      </c>
      <c r="E64" s="256" t="s">
        <v>1144</v>
      </c>
      <c r="F64" s="256" t="s">
        <v>680</v>
      </c>
      <c r="G64" s="290">
        <v>46055</v>
      </c>
      <c r="H64" s="236" t="b">
        <v>0</v>
      </c>
      <c r="I64" s="236" t="b">
        <v>0</v>
      </c>
      <c r="J64" s="236" t="b">
        <v>0</v>
      </c>
      <c r="K64" s="236" t="b">
        <v>0</v>
      </c>
      <c r="L64" s="236" t="b">
        <v>0</v>
      </c>
      <c r="M64" s="236" t="b">
        <v>0</v>
      </c>
      <c r="N64" s="236" t="b">
        <v>0</v>
      </c>
      <c r="O64" s="236" t="b">
        <v>0</v>
      </c>
      <c r="P64" s="236" t="b">
        <v>0</v>
      </c>
      <c r="Q64" s="236" t="b">
        <v>1</v>
      </c>
      <c r="R64" s="236" t="b">
        <v>1</v>
      </c>
      <c r="S64" s="236" t="b">
        <v>1</v>
      </c>
      <c r="T64" s="287" t="str" cm="1">
        <f t="array" ref="T64">IF(SUMPRODUCT((Cert_Matrix!$A$6:$A$11=E64)*(Cert_Matrix!$B$6:$K$11="X")*(H64:Q64=TRUE))&lt;SUMPRODUCT((Cert_Matrix!$A$6:$A$11=E64)*(Cert_Matrix!$B$6:$K$11="X")),"Thiếu chứng nhận","Đủ điều kiện")</f>
        <v>Đủ điều kiện</v>
      </c>
      <c r="U64" s="287"/>
      <c r="V64" s="290"/>
    </row>
    <row r="65" spans="1:22">
      <c r="A65" s="256">
        <f>ROWS($B$5:B63)</f>
        <v>59</v>
      </c>
      <c r="B65" s="256" t="s">
        <v>1270</v>
      </c>
      <c r="C65" s="256" t="s">
        <v>1271</v>
      </c>
      <c r="D65" s="256" t="s">
        <v>1225</v>
      </c>
      <c r="E65" s="256" t="s">
        <v>1144</v>
      </c>
      <c r="F65" s="256" t="s">
        <v>680</v>
      </c>
      <c r="G65" s="290">
        <v>46055</v>
      </c>
      <c r="H65" s="236" t="b">
        <v>0</v>
      </c>
      <c r="I65" s="236" t="b">
        <v>0</v>
      </c>
      <c r="J65" s="236" t="b">
        <v>0</v>
      </c>
      <c r="K65" s="236" t="b">
        <v>0</v>
      </c>
      <c r="L65" s="236" t="b">
        <v>0</v>
      </c>
      <c r="M65" s="236" t="b">
        <v>0</v>
      </c>
      <c r="N65" s="236" t="b">
        <v>0</v>
      </c>
      <c r="O65" s="236" t="b">
        <v>0</v>
      </c>
      <c r="P65" s="236" t="b">
        <v>0</v>
      </c>
      <c r="Q65" s="236" t="b">
        <v>1</v>
      </c>
      <c r="R65" s="236" t="b">
        <v>1</v>
      </c>
      <c r="S65" s="236" t="b">
        <v>1</v>
      </c>
      <c r="T65" s="287" t="str" cm="1">
        <f t="array" ref="T65">IF(SUMPRODUCT((Cert_Matrix!$A$6:$A$11=E65)*(Cert_Matrix!$B$6:$K$11="X")*(H65:Q65=TRUE))&lt;SUMPRODUCT((Cert_Matrix!$A$6:$A$11=E65)*(Cert_Matrix!$B$6:$K$11="X")),"Thiếu chứng nhận","Đủ điều kiện")</f>
        <v>Đủ điều kiện</v>
      </c>
      <c r="U65" s="287"/>
      <c r="V65" s="290"/>
    </row>
    <row r="66" spans="1:22">
      <c r="A66" s="256">
        <f>ROWS($B$5:B64)</f>
        <v>60</v>
      </c>
      <c r="B66" s="256" t="s">
        <v>1272</v>
      </c>
      <c r="C66" s="256" t="s">
        <v>1273</v>
      </c>
      <c r="D66" s="256" t="s">
        <v>1225</v>
      </c>
      <c r="E66" s="256" t="s">
        <v>1144</v>
      </c>
      <c r="F66" s="256" t="s">
        <v>680</v>
      </c>
      <c r="G66" s="290">
        <v>46120</v>
      </c>
      <c r="H66" s="236" t="b">
        <v>0</v>
      </c>
      <c r="I66" s="236" t="b">
        <v>0</v>
      </c>
      <c r="J66" s="236" t="b">
        <v>0</v>
      </c>
      <c r="K66" s="236" t="b">
        <v>0</v>
      </c>
      <c r="L66" s="236" t="b">
        <v>0</v>
      </c>
      <c r="M66" s="236" t="b">
        <v>0</v>
      </c>
      <c r="N66" s="236" t="b">
        <v>0</v>
      </c>
      <c r="O66" s="236" t="b">
        <v>0</v>
      </c>
      <c r="P66" s="236" t="b">
        <v>0</v>
      </c>
      <c r="Q66" s="236" t="b">
        <v>1</v>
      </c>
      <c r="R66" s="236" t="b">
        <v>1</v>
      </c>
      <c r="S66" s="236" t="b">
        <v>1</v>
      </c>
      <c r="T66" s="287" t="str" cm="1">
        <f t="array" ref="T66">IF(SUMPRODUCT((Cert_Matrix!$A$6:$A$11=E66)*(Cert_Matrix!$B$6:$K$11="X")*(H66:Q66=TRUE))&lt;SUMPRODUCT((Cert_Matrix!$A$6:$A$11=E66)*(Cert_Matrix!$B$6:$K$11="X")),"Thiếu chứng nhận","Đủ điều kiện")</f>
        <v>Đủ điều kiện</v>
      </c>
      <c r="U66" s="287"/>
      <c r="V66" s="290"/>
    </row>
    <row r="67" spans="1:22">
      <c r="A67" s="256">
        <f>ROWS($B$5:B65)</f>
        <v>61</v>
      </c>
      <c r="B67" s="256" t="s">
        <v>1274</v>
      </c>
      <c r="C67" s="256" t="s">
        <v>1275</v>
      </c>
      <c r="D67" s="256" t="s">
        <v>1225</v>
      </c>
      <c r="E67" s="256" t="s">
        <v>1144</v>
      </c>
      <c r="F67" s="256" t="s">
        <v>680</v>
      </c>
      <c r="G67" s="290">
        <v>46120</v>
      </c>
      <c r="H67" s="236" t="b">
        <v>0</v>
      </c>
      <c r="I67" s="236" t="b">
        <v>0</v>
      </c>
      <c r="J67" s="236" t="b">
        <v>0</v>
      </c>
      <c r="K67" s="236" t="b">
        <v>0</v>
      </c>
      <c r="L67" s="236" t="b">
        <v>0</v>
      </c>
      <c r="M67" s="236" t="b">
        <v>0</v>
      </c>
      <c r="N67" s="236" t="b">
        <v>0</v>
      </c>
      <c r="O67" s="236" t="b">
        <v>0</v>
      </c>
      <c r="P67" s="236" t="b">
        <v>0</v>
      </c>
      <c r="Q67" s="236" t="b">
        <v>1</v>
      </c>
      <c r="R67" s="236" t="b">
        <v>1</v>
      </c>
      <c r="S67" s="236" t="b">
        <v>1</v>
      </c>
      <c r="T67" s="287" t="str" cm="1">
        <f t="array" ref="T67">IF(SUMPRODUCT((Cert_Matrix!$A$6:$A$11=E67)*(Cert_Matrix!$B$6:$K$11="X")*(H67:Q67=TRUE))&lt;SUMPRODUCT((Cert_Matrix!$A$6:$A$11=E67)*(Cert_Matrix!$B$6:$K$11="X")),"Thiếu chứng nhận","Đủ điều kiện")</f>
        <v>Đủ điều kiện</v>
      </c>
      <c r="U67" s="287"/>
      <c r="V67" s="290"/>
    </row>
    <row r="68" spans="1:22">
      <c r="A68" s="256">
        <f>ROWS($B$5:B66)</f>
        <v>62</v>
      </c>
      <c r="B68" s="256" t="s">
        <v>1276</v>
      </c>
      <c r="C68" s="256" t="s">
        <v>1277</v>
      </c>
      <c r="D68" s="256" t="s">
        <v>1225</v>
      </c>
      <c r="E68" s="256" t="s">
        <v>1144</v>
      </c>
      <c r="F68" s="256" t="s">
        <v>680</v>
      </c>
      <c r="G68" s="290">
        <v>46120</v>
      </c>
      <c r="H68" s="236" t="b">
        <v>0</v>
      </c>
      <c r="I68" s="236" t="b">
        <v>0</v>
      </c>
      <c r="J68" s="236" t="b">
        <v>0</v>
      </c>
      <c r="K68" s="236" t="b">
        <v>0</v>
      </c>
      <c r="L68" s="236" t="b">
        <v>0</v>
      </c>
      <c r="M68" s="236" t="b">
        <v>0</v>
      </c>
      <c r="N68" s="236" t="b">
        <v>0</v>
      </c>
      <c r="O68" s="236" t="b">
        <v>0</v>
      </c>
      <c r="P68" s="236" t="b">
        <v>0</v>
      </c>
      <c r="Q68" s="236" t="b">
        <v>1</v>
      </c>
      <c r="R68" s="236" t="b">
        <v>1</v>
      </c>
      <c r="S68" s="236" t="b">
        <v>0</v>
      </c>
      <c r="T68" s="287" t="str" cm="1">
        <f t="array" ref="T68">IF(SUMPRODUCT((Cert_Matrix!$A$6:$A$11=E68)*(Cert_Matrix!$B$6:$K$11="X")*(H68:Q68=TRUE))&lt;SUMPRODUCT((Cert_Matrix!$A$6:$A$11=E68)*(Cert_Matrix!$B$6:$K$11="X")),"Thiếu chứng nhận","Đủ điều kiện")</f>
        <v>Đủ điều kiện</v>
      </c>
      <c r="U68" s="287"/>
      <c r="V68" s="290"/>
    </row>
    <row r="69" spans="1:22">
      <c r="A69" s="256">
        <f>ROWS($B$5:B67)</f>
        <v>63</v>
      </c>
      <c r="B69" s="256" t="s">
        <v>1278</v>
      </c>
      <c r="C69" s="256" t="s">
        <v>691</v>
      </c>
      <c r="D69" s="256" t="s">
        <v>1225</v>
      </c>
      <c r="E69" s="256" t="s">
        <v>1144</v>
      </c>
      <c r="F69" s="256" t="s">
        <v>680</v>
      </c>
      <c r="G69" s="290">
        <v>46120</v>
      </c>
      <c r="H69" s="236" t="b">
        <v>0</v>
      </c>
      <c r="I69" s="236" t="b">
        <v>0</v>
      </c>
      <c r="J69" s="236" t="b">
        <v>0</v>
      </c>
      <c r="K69" s="236" t="b">
        <v>0</v>
      </c>
      <c r="L69" s="236" t="b">
        <v>0</v>
      </c>
      <c r="M69" s="236" t="b">
        <v>0</v>
      </c>
      <c r="N69" s="236" t="b">
        <v>0</v>
      </c>
      <c r="O69" s="236" t="b">
        <v>0</v>
      </c>
      <c r="P69" s="236" t="b">
        <v>0</v>
      </c>
      <c r="Q69" s="236" t="b">
        <v>1</v>
      </c>
      <c r="R69" s="236" t="b">
        <v>1</v>
      </c>
      <c r="S69" s="236" t="b">
        <v>1</v>
      </c>
      <c r="T69" s="287" t="str" cm="1">
        <f t="array" ref="T69">IF(SUMPRODUCT((Cert_Matrix!$A$6:$A$11=E69)*(Cert_Matrix!$B$6:$K$11="X")*(H69:Q69=TRUE))&lt;SUMPRODUCT((Cert_Matrix!$A$6:$A$11=E69)*(Cert_Matrix!$B$6:$K$11="X")),"Thiếu chứng nhận","Đủ điều kiện")</f>
        <v>Đủ điều kiện</v>
      </c>
      <c r="U69" s="287"/>
      <c r="V69" s="290"/>
    </row>
    <row r="70" spans="1:22">
      <c r="A70" s="256">
        <f>ROWS($B$5:B68)</f>
        <v>64</v>
      </c>
      <c r="B70" s="256" t="s">
        <v>1279</v>
      </c>
      <c r="C70" s="256" t="s">
        <v>1280</v>
      </c>
      <c r="D70" s="256" t="s">
        <v>1225</v>
      </c>
      <c r="E70" s="256" t="s">
        <v>1144</v>
      </c>
      <c r="F70" s="256" t="s">
        <v>680</v>
      </c>
      <c r="G70" s="290">
        <v>46120</v>
      </c>
      <c r="H70" s="236" t="b">
        <v>0</v>
      </c>
      <c r="I70" s="236" t="b">
        <v>0</v>
      </c>
      <c r="J70" s="236" t="b">
        <v>0</v>
      </c>
      <c r="K70" s="236" t="b">
        <v>0</v>
      </c>
      <c r="L70" s="236" t="b">
        <v>0</v>
      </c>
      <c r="M70" s="236" t="b">
        <v>0</v>
      </c>
      <c r="N70" s="236" t="b">
        <v>0</v>
      </c>
      <c r="O70" s="236" t="b">
        <v>0</v>
      </c>
      <c r="P70" s="236" t="b">
        <v>0</v>
      </c>
      <c r="Q70" s="236" t="b">
        <v>1</v>
      </c>
      <c r="R70" s="236" t="b">
        <v>1</v>
      </c>
      <c r="S70" s="236" t="b">
        <v>1</v>
      </c>
      <c r="T70" s="287" t="str" cm="1">
        <f t="array" ref="T70">IF(SUMPRODUCT((Cert_Matrix!$A$6:$A$11=E70)*(Cert_Matrix!$B$6:$K$11="X")*(H70:Q70=TRUE))&lt;SUMPRODUCT((Cert_Matrix!$A$6:$A$11=E70)*(Cert_Matrix!$B$6:$K$11="X")),"Thiếu chứng nhận","Đủ điều kiện")</f>
        <v>Đủ điều kiện</v>
      </c>
      <c r="U70" s="287"/>
      <c r="V70" s="290"/>
    </row>
    <row r="71" spans="1:22">
      <c r="A71" s="256">
        <f>ROWS($B$5:B69)</f>
        <v>65</v>
      </c>
      <c r="B71" s="256" t="s">
        <v>1281</v>
      </c>
      <c r="C71" s="256" t="s">
        <v>1282</v>
      </c>
      <c r="D71" s="256" t="s">
        <v>1225</v>
      </c>
      <c r="E71" s="256" t="s">
        <v>1144</v>
      </c>
      <c r="F71" s="256" t="s">
        <v>336</v>
      </c>
      <c r="G71" s="290">
        <v>46161</v>
      </c>
      <c r="H71" s="236" t="b">
        <v>0</v>
      </c>
      <c r="I71" s="236" t="b">
        <v>0</v>
      </c>
      <c r="J71" s="236" t="b">
        <v>0</v>
      </c>
      <c r="K71" s="236" t="b">
        <v>0</v>
      </c>
      <c r="L71" s="236" t="b">
        <v>0</v>
      </c>
      <c r="M71" s="236" t="b">
        <v>0</v>
      </c>
      <c r="N71" s="236" t="b">
        <v>0</v>
      </c>
      <c r="O71" s="236" t="b">
        <v>0</v>
      </c>
      <c r="P71" s="236" t="b">
        <v>0</v>
      </c>
      <c r="Q71" s="236" t="b">
        <v>1</v>
      </c>
      <c r="R71" s="236" t="b">
        <v>1</v>
      </c>
      <c r="S71" s="236" t="b">
        <v>1</v>
      </c>
      <c r="T71" s="287" t="str" cm="1">
        <f t="array" ref="T71">IF(SUMPRODUCT((Cert_Matrix!$A$6:$A$11=E71)*(Cert_Matrix!$B$6:$K$11="X")*(H71:Q71=TRUE))&lt;SUMPRODUCT((Cert_Matrix!$A$6:$A$11=E71)*(Cert_Matrix!$B$6:$K$11="X")),"Thiếu chứng nhận","Đủ điều kiện")</f>
        <v>Đủ điều kiện</v>
      </c>
      <c r="U71" s="287"/>
      <c r="V71" s="290"/>
    </row>
    <row r="72" spans="1:22">
      <c r="A72" s="256">
        <f>ROWS($B$5:B70)</f>
        <v>66</v>
      </c>
      <c r="B72" s="256" t="s">
        <v>1283</v>
      </c>
      <c r="C72" s="256" t="s">
        <v>1284</v>
      </c>
      <c r="D72" s="256" t="s">
        <v>1225</v>
      </c>
      <c r="E72" s="256" t="s">
        <v>1144</v>
      </c>
      <c r="F72" s="256" t="s">
        <v>680</v>
      </c>
      <c r="G72" s="290">
        <v>46183</v>
      </c>
      <c r="H72" s="236" t="b">
        <v>0</v>
      </c>
      <c r="I72" s="236" t="b">
        <v>0</v>
      </c>
      <c r="J72" s="236" t="b">
        <v>0</v>
      </c>
      <c r="K72" s="236" t="b">
        <v>0</v>
      </c>
      <c r="L72" s="236" t="b">
        <v>0</v>
      </c>
      <c r="M72" s="236" t="b">
        <v>0</v>
      </c>
      <c r="N72" s="236" t="b">
        <v>1</v>
      </c>
      <c r="O72" s="236" t="b">
        <v>0</v>
      </c>
      <c r="P72" s="236" t="b">
        <v>0</v>
      </c>
      <c r="Q72" s="236" t="b">
        <v>1</v>
      </c>
      <c r="R72" s="236" t="b">
        <v>1</v>
      </c>
      <c r="S72" s="236" t="b">
        <v>1</v>
      </c>
      <c r="T72" s="287" t="str" cm="1">
        <f t="array" ref="T72">IF(SUMPRODUCT((Cert_Matrix!$A$6:$A$11=E72)*(Cert_Matrix!$B$6:$K$11="X")*(H72:Q72=TRUE))&lt;SUMPRODUCT((Cert_Matrix!$A$6:$A$11=E72)*(Cert_Matrix!$B$6:$K$11="X")),"Thiếu chứng nhận","Đủ điều kiện")</f>
        <v>Đủ điều kiện</v>
      </c>
      <c r="U72" s="287"/>
      <c r="V72" s="290"/>
    </row>
    <row r="73" spans="1:22">
      <c r="A73" s="256">
        <f>ROWS($B$5:B71)</f>
        <v>67</v>
      </c>
      <c r="B73" s="256" t="s">
        <v>1285</v>
      </c>
      <c r="C73" s="256" t="s">
        <v>1286</v>
      </c>
      <c r="D73" s="256" t="s">
        <v>1225</v>
      </c>
      <c r="E73" s="256" t="s">
        <v>1144</v>
      </c>
      <c r="F73" s="256" t="s">
        <v>680</v>
      </c>
      <c r="G73" s="290">
        <v>46183</v>
      </c>
      <c r="H73" s="236" t="b">
        <v>0</v>
      </c>
      <c r="I73" s="236" t="b">
        <v>0</v>
      </c>
      <c r="J73" s="236" t="b">
        <v>0</v>
      </c>
      <c r="K73" s="236" t="b">
        <v>0</v>
      </c>
      <c r="L73" s="236" t="b">
        <v>0</v>
      </c>
      <c r="M73" s="236" t="b">
        <v>0</v>
      </c>
      <c r="N73" s="236" t="b">
        <v>1</v>
      </c>
      <c r="O73" s="236" t="b">
        <v>0</v>
      </c>
      <c r="P73" s="236" t="b">
        <v>0</v>
      </c>
      <c r="Q73" s="236" t="b">
        <v>1</v>
      </c>
      <c r="R73" s="236" t="b">
        <v>1</v>
      </c>
      <c r="S73" s="236" t="b">
        <v>1</v>
      </c>
      <c r="T73" s="287" t="str" cm="1">
        <f t="array" ref="T73">IF(SUMPRODUCT((Cert_Matrix!$A$6:$A$11=E73)*(Cert_Matrix!$B$6:$K$11="X")*(H73:Q73=TRUE))&lt;SUMPRODUCT((Cert_Matrix!$A$6:$A$11=E73)*(Cert_Matrix!$B$6:$K$11="X")),"Thiếu chứng nhận","Đủ điều kiện")</f>
        <v>Đủ điều kiện</v>
      </c>
      <c r="U73" s="287"/>
      <c r="V73" s="290"/>
    </row>
  </sheetData>
  <autoFilter ref="A5:G73" xr:uid="{3C3D4B7F-A9CB-4936-8117-D7C12EBE609D}"/>
  <mergeCells count="9">
    <mergeCell ref="H5:S5"/>
    <mergeCell ref="A2:G3"/>
    <mergeCell ref="F5:F6"/>
    <mergeCell ref="A5:A6"/>
    <mergeCell ref="B5:B6"/>
    <mergeCell ref="C5:C6"/>
    <mergeCell ref="D5:D6"/>
    <mergeCell ref="G5:G6"/>
    <mergeCell ref="E5:E6"/>
  </mergeCells>
  <conditionalFormatting sqref="B1:B4 B7:B1048576">
    <cfRule type="duplicateValues" dxfId="60" priority="8"/>
  </conditionalFormatting>
  <conditionalFormatting sqref="B1:C4 B7:C1048576">
    <cfRule type="duplicateValues" dxfId="59" priority="6"/>
  </conditionalFormatting>
  <conditionalFormatting sqref="B5:C5">
    <cfRule type="duplicateValues" dxfId="58" priority="2"/>
  </conditionalFormatting>
  <conditionalFormatting sqref="C74:C1048576 C1 C4 C7:C50">
    <cfRule type="duplicateValues" dxfId="57" priority="11"/>
  </conditionalFormatting>
  <conditionalFormatting sqref="H7:S73">
    <cfRule type="containsText" dxfId="56" priority="3" operator="containsText" text="false">
      <formula>NOT(ISERROR(SEARCH("false",H7)))</formula>
    </cfRule>
  </conditionalFormatting>
  <conditionalFormatting sqref="T1:T1048576">
    <cfRule type="containsText" dxfId="55" priority="7" operator="containsText" text="THIẾU CHỨNG NHẬN">
      <formula>NOT(ISERROR(SEARCH("THIẾU CHỨNG NHẬN",T1)))</formula>
    </cfRule>
  </conditionalFormatting>
  <dataValidations count="1">
    <dataValidation type="list" allowBlank="1" showInputMessage="1" showErrorMessage="1" sqref="U7:U73" xr:uid="{1128C7B4-EF7E-4493-8954-0D3E1143F0EA}">
      <formula1>"CHƯA ĐÀO TẠO,ĐANG ĐÀO TẠO,CHỜ ĐÁNH GIÁ,CHỜ CẤP THẺ CNVH,ĐÁNH GIÁ LẠI"</formula1>
    </dataValidation>
  </dataValidations>
  <pageMargins left="0.16" right="0.16" top="0.16" bottom="0.16" header="0.16" footer="0.16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CCED-43DC-4183-BD87-669749E3B63C}">
  <sheetPr>
    <tabColor theme="0" tint="-0.14999847407452621"/>
  </sheetPr>
  <dimension ref="A1:Y153"/>
  <sheetViews>
    <sheetView showGridLines="0" zoomScale="90" zoomScaleNormal="90" workbookViewId="0">
      <pane xSplit="7" ySplit="7" topLeftCell="H8" activePane="bottomRight" state="frozen"/>
      <selection pane="bottomRight" activeCell="Z145" sqref="Z145"/>
      <selection pane="bottomLeft" activeCell="A8" sqref="A8"/>
      <selection pane="topRight" activeCell="H1" sqref="H1"/>
    </sheetView>
  </sheetViews>
  <sheetFormatPr defaultRowHeight="15"/>
  <cols>
    <col min="1" max="1" width="6" style="257" customWidth="1"/>
    <col min="2" max="2" width="8.5703125" style="257" customWidth="1"/>
    <col min="3" max="3" width="23.5703125" style="257" customWidth="1"/>
    <col min="4" max="4" width="29.7109375" style="257" customWidth="1"/>
    <col min="5" max="5" width="15.7109375" style="257" bestFit="1" customWidth="1"/>
    <col min="6" max="6" width="14.28515625" style="257" hidden="1" customWidth="1"/>
    <col min="7" max="7" width="11.5703125" style="288" customWidth="1"/>
    <col min="8" max="8" width="6" style="237" bestFit="1" customWidth="1"/>
    <col min="9" max="9" width="4.85546875" style="237" bestFit="1" customWidth="1"/>
    <col min="10" max="10" width="5.42578125" style="237" bestFit="1" customWidth="1"/>
    <col min="11" max="11" width="9.5703125" style="237" bestFit="1" customWidth="1"/>
    <col min="12" max="12" width="9.85546875" style="237" bestFit="1" customWidth="1"/>
    <col min="13" max="13" width="11" style="237" bestFit="1" customWidth="1"/>
    <col min="14" max="14" width="9.28515625" style="237" bestFit="1" customWidth="1"/>
    <col min="15" max="15" width="8.5703125" style="237" bestFit="1" customWidth="1"/>
    <col min="16" max="16" width="8.85546875" style="237" bestFit="1" customWidth="1"/>
    <col min="17" max="17" width="14.42578125" style="237" bestFit="1" customWidth="1"/>
    <col min="18" max="18" width="6.42578125" style="237" bestFit="1" customWidth="1"/>
    <col min="19" max="19" width="10.140625" style="237" bestFit="1" customWidth="1"/>
    <col min="20" max="20" width="12.5703125" style="237" bestFit="1" customWidth="1"/>
    <col min="21" max="21" width="12.140625" style="237" bestFit="1" customWidth="1"/>
    <col min="22" max="22" width="17.85546875" style="257" customWidth="1"/>
    <col min="23" max="23" width="15" style="257" customWidth="1"/>
    <col min="24" max="24" width="14.28515625" style="288" customWidth="1"/>
    <col min="25" max="16384" width="9.140625" style="257"/>
  </cols>
  <sheetData>
    <row r="1" spans="1:25" ht="15" customHeight="1"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91" t="s">
        <v>1</v>
      </c>
      <c r="S1" s="292"/>
      <c r="T1" s="292"/>
      <c r="U1" s="293"/>
    </row>
    <row r="2" spans="1:25" s="295" customFormat="1" ht="15" customHeight="1">
      <c r="A2" s="367" t="s">
        <v>0</v>
      </c>
      <c r="B2" s="367"/>
      <c r="C2" s="367"/>
      <c r="D2" s="367"/>
      <c r="E2" s="367"/>
      <c r="F2" s="367"/>
      <c r="G2" s="296"/>
      <c r="N2" s="257"/>
      <c r="O2" s="257"/>
      <c r="P2" s="257"/>
      <c r="R2" s="291" t="s">
        <v>2</v>
      </c>
      <c r="S2" s="292"/>
      <c r="T2" s="300"/>
      <c r="U2" s="301"/>
      <c r="V2" s="257"/>
      <c r="W2" s="257"/>
      <c r="X2" s="288"/>
    </row>
    <row r="3" spans="1:25" s="295" customFormat="1" ht="15" customHeight="1">
      <c r="A3" s="367"/>
      <c r="B3" s="367"/>
      <c r="C3" s="367"/>
      <c r="D3" s="367"/>
      <c r="E3" s="367"/>
      <c r="F3" s="367"/>
      <c r="G3" s="297"/>
      <c r="H3" s="302"/>
      <c r="I3" s="302"/>
      <c r="J3" s="302"/>
      <c r="K3" s="302"/>
      <c r="L3" s="302"/>
      <c r="M3" s="302"/>
      <c r="N3" s="257"/>
      <c r="O3" s="257"/>
      <c r="P3" s="257"/>
      <c r="R3" s="291" t="s">
        <v>3</v>
      </c>
      <c r="S3" s="292"/>
      <c r="T3" s="300"/>
      <c r="U3" s="301"/>
      <c r="V3" s="257"/>
      <c r="W3" s="257"/>
      <c r="X3" s="288"/>
    </row>
    <row r="4" spans="1:25" s="295" customFormat="1" ht="15" customHeight="1">
      <c r="A4" s="298"/>
      <c r="B4" s="298"/>
      <c r="C4" s="298"/>
      <c r="D4" s="298"/>
      <c r="E4" s="298"/>
      <c r="F4" s="298"/>
      <c r="G4" s="299"/>
      <c r="H4" s="298"/>
      <c r="I4" s="298"/>
      <c r="J4" s="298"/>
      <c r="K4" s="298"/>
      <c r="L4" s="298"/>
      <c r="M4" s="298"/>
      <c r="N4" s="257"/>
      <c r="O4" s="257"/>
      <c r="P4" s="257"/>
      <c r="R4" s="291" t="s">
        <v>4</v>
      </c>
      <c r="S4" s="292"/>
      <c r="T4" s="300"/>
      <c r="U4" s="301"/>
      <c r="V4" s="257"/>
      <c r="W4" s="257"/>
      <c r="X4" s="288"/>
    </row>
    <row r="5" spans="1:25" s="285" customFormat="1">
      <c r="A5" s="368" t="s">
        <v>5</v>
      </c>
      <c r="B5" s="368" t="s">
        <v>6</v>
      </c>
      <c r="C5" s="368" t="s">
        <v>1190</v>
      </c>
      <c r="D5" s="368" t="s">
        <v>1191</v>
      </c>
      <c r="E5" s="372" t="s">
        <v>1192</v>
      </c>
      <c r="F5" s="368" t="s">
        <v>8</v>
      </c>
      <c r="G5" s="370" t="s">
        <v>1193</v>
      </c>
      <c r="H5" s="303"/>
      <c r="I5" s="364" t="s">
        <v>10</v>
      </c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6"/>
      <c r="X5" s="305"/>
    </row>
    <row r="6" spans="1:25" s="284" customFormat="1" ht="30">
      <c r="A6" s="369"/>
      <c r="B6" s="369"/>
      <c r="C6" s="369"/>
      <c r="D6" s="369"/>
      <c r="E6" s="373"/>
      <c r="F6" s="369"/>
      <c r="G6" s="371"/>
      <c r="H6" s="294" t="s">
        <v>1100</v>
      </c>
      <c r="I6" s="294" t="s">
        <v>1287</v>
      </c>
      <c r="J6" s="294" t="s">
        <v>1288</v>
      </c>
      <c r="K6" s="294" t="s">
        <v>1289</v>
      </c>
      <c r="L6" s="294" t="s">
        <v>1101</v>
      </c>
      <c r="M6" s="294" t="s">
        <v>1290</v>
      </c>
      <c r="N6" s="294" t="s">
        <v>1060</v>
      </c>
      <c r="O6" s="294" t="s">
        <v>1104</v>
      </c>
      <c r="P6" s="294" t="s">
        <v>1291</v>
      </c>
      <c r="Q6" s="294" t="s">
        <v>1105</v>
      </c>
      <c r="R6" s="294" t="s">
        <v>1090</v>
      </c>
      <c r="S6" s="294" t="s">
        <v>1096</v>
      </c>
      <c r="T6" s="294" t="s">
        <v>1199</v>
      </c>
      <c r="U6" s="294" t="s">
        <v>1200</v>
      </c>
      <c r="V6" s="286" t="s">
        <v>1201</v>
      </c>
      <c r="W6" s="286" t="s">
        <v>1202</v>
      </c>
      <c r="X6" s="315" t="s">
        <v>1203</v>
      </c>
    </row>
    <row r="7" spans="1:25">
      <c r="A7" s="256">
        <f>ROWS($B5:B$5)</f>
        <v>1</v>
      </c>
      <c r="B7" s="256" t="s">
        <v>493</v>
      </c>
      <c r="C7" s="256" t="s">
        <v>494</v>
      </c>
      <c r="D7" s="256" t="s">
        <v>1292</v>
      </c>
      <c r="E7" s="256"/>
      <c r="F7" s="256" t="s">
        <v>420</v>
      </c>
      <c r="G7" s="290"/>
      <c r="H7" s="236" t="b">
        <v>1</v>
      </c>
      <c r="I7" s="236" t="b">
        <v>1</v>
      </c>
      <c r="J7" s="236" t="b">
        <v>1</v>
      </c>
      <c r="K7" s="236" t="b">
        <v>1</v>
      </c>
      <c r="L7" s="236" t="b">
        <v>1</v>
      </c>
      <c r="M7" s="236" t="b">
        <v>1</v>
      </c>
      <c r="N7" s="236" t="b">
        <v>1</v>
      </c>
      <c r="O7" s="236" t="b">
        <v>1</v>
      </c>
      <c r="P7" s="236" t="b">
        <v>1</v>
      </c>
      <c r="Q7" s="236" t="b">
        <v>1</v>
      </c>
      <c r="R7" s="236" t="b">
        <v>1</v>
      </c>
      <c r="S7" s="236" t="b">
        <v>1</v>
      </c>
      <c r="T7" s="236" t="b">
        <v>1</v>
      </c>
      <c r="U7" s="236" t="b">
        <v>1</v>
      </c>
      <c r="V7" s="256" t="str" cm="1">
        <f t="array" ref="V7">IF(SUMPRODUCT((Cert_Matrix!$A$12:$A$21=E7)*(Cert_Matrix!$L$12:$W$21="X")*(H7:S7=TRUE))&lt;SUMPRODUCT((Cert_Matrix!$A$12:$A$21=E7)*(Cert_Matrix!$L$12:$W$21="X")),"Thiếu chứng nhận","Đủ điều kiện")</f>
        <v>Đủ điều kiện</v>
      </c>
      <c r="W7" s="287"/>
      <c r="X7" s="290"/>
      <c r="Y7" s="257" t="str">
        <f>VLOOKUP(B7,'HC Golf'!C:G,5,0)</f>
        <v>S2</v>
      </c>
    </row>
    <row r="8" spans="1:25">
      <c r="A8" s="256">
        <f>ROWS($B$5:B6)</f>
        <v>2</v>
      </c>
      <c r="B8" s="256" t="s">
        <v>565</v>
      </c>
      <c r="C8" s="256" t="s">
        <v>566</v>
      </c>
      <c r="D8" s="256" t="s">
        <v>1293</v>
      </c>
      <c r="E8" s="256" t="s">
        <v>1149</v>
      </c>
      <c r="F8" s="256" t="s">
        <v>420</v>
      </c>
      <c r="G8" s="290"/>
      <c r="H8" s="236" t="b">
        <v>1</v>
      </c>
      <c r="I8" s="236" t="b">
        <v>1</v>
      </c>
      <c r="J8" s="236" t="b">
        <v>1</v>
      </c>
      <c r="K8" s="236" t="b">
        <v>0</v>
      </c>
      <c r="L8" s="236" t="b">
        <v>0</v>
      </c>
      <c r="M8" s="236" t="b">
        <v>0</v>
      </c>
      <c r="N8" s="236" t="b">
        <v>0</v>
      </c>
      <c r="O8" s="236" t="b">
        <v>0</v>
      </c>
      <c r="P8" s="236" t="b">
        <v>0</v>
      </c>
      <c r="Q8" s="236" t="b">
        <v>0</v>
      </c>
      <c r="R8" s="236" t="b">
        <v>0</v>
      </c>
      <c r="S8" s="236" t="b">
        <v>0</v>
      </c>
      <c r="T8" s="236" t="b">
        <v>1</v>
      </c>
      <c r="U8" s="236" t="b">
        <v>0</v>
      </c>
      <c r="V8" s="256" t="str" cm="1">
        <f t="array" ref="V8">IF(SUMPRODUCT((Cert_Matrix!$A$12:$A$21=E8)*(Cert_Matrix!$L$12:$W$21="X")*(H8:S8=TRUE))&lt;SUMPRODUCT((Cert_Matrix!$A$12:$A$21=E8)*(Cert_Matrix!$L$12:$W$21="X")),"Thiếu chứng nhận","Đủ điều kiện")</f>
        <v>Đủ điều kiện</v>
      </c>
      <c r="W8" s="287"/>
      <c r="X8" s="290"/>
      <c r="Y8" s="257" t="str">
        <f>VLOOKUP(B8,'HC Golf'!C:G,5,0)</f>
        <v>S3</v>
      </c>
    </row>
    <row r="9" spans="1:25">
      <c r="A9" s="256">
        <f>ROWS($B$5:B7)</f>
        <v>3</v>
      </c>
      <c r="B9" s="256" t="s">
        <v>704</v>
      </c>
      <c r="C9" s="256" t="s">
        <v>705</v>
      </c>
      <c r="D9" s="256" t="s">
        <v>1294</v>
      </c>
      <c r="E9" s="256" t="s">
        <v>1148</v>
      </c>
      <c r="F9" s="256" t="s">
        <v>420</v>
      </c>
      <c r="G9" s="290"/>
      <c r="H9" s="236" t="b">
        <v>1</v>
      </c>
      <c r="I9" s="236" t="b">
        <v>1</v>
      </c>
      <c r="J9" s="236" t="b">
        <v>1</v>
      </c>
      <c r="K9" s="236" t="b">
        <v>0</v>
      </c>
      <c r="L9" s="236" t="b">
        <v>0</v>
      </c>
      <c r="M9" s="236" t="b">
        <v>0</v>
      </c>
      <c r="N9" s="236" t="b">
        <v>0</v>
      </c>
      <c r="O9" s="236" t="b">
        <v>0</v>
      </c>
      <c r="P9" s="236" t="b">
        <v>0</v>
      </c>
      <c r="Q9" s="236" t="b">
        <v>0</v>
      </c>
      <c r="R9" s="236" t="b">
        <v>0</v>
      </c>
      <c r="S9" s="236" t="b">
        <v>0</v>
      </c>
      <c r="T9" s="236" t="b">
        <v>1</v>
      </c>
      <c r="U9" s="236" t="b">
        <v>0</v>
      </c>
      <c r="V9" s="256" t="str" cm="1">
        <f t="array" ref="V9">IF(SUMPRODUCT((Cert_Matrix!$A$12:$A$21=E9)*(Cert_Matrix!$L$12:$W$21="X")*(H9:S9=TRUE))&lt;SUMPRODUCT((Cert_Matrix!$A$12:$A$21=E9)*(Cert_Matrix!$L$12:$W$21="X")),"Thiếu chứng nhận","Đủ điều kiện")</f>
        <v>Đủ điều kiện</v>
      </c>
      <c r="W9" s="287"/>
      <c r="X9" s="290"/>
      <c r="Y9" s="257" t="str">
        <f>VLOOKUP(B9,'HC Golf'!C:G,5,0)</f>
        <v>S2</v>
      </c>
    </row>
    <row r="10" spans="1:25">
      <c r="A10" s="256">
        <f>ROWS($B$5:B8)</f>
        <v>4</v>
      </c>
      <c r="B10" s="256" t="s">
        <v>507</v>
      </c>
      <c r="C10" s="256" t="s">
        <v>508</v>
      </c>
      <c r="D10" s="256" t="s">
        <v>1295</v>
      </c>
      <c r="E10" s="256" t="s">
        <v>1153</v>
      </c>
      <c r="F10" s="256" t="s">
        <v>420</v>
      </c>
      <c r="G10" s="290"/>
      <c r="H10" s="236" t="b">
        <v>0</v>
      </c>
      <c r="I10" s="236" t="b">
        <v>0</v>
      </c>
      <c r="J10" s="236" t="b">
        <v>0</v>
      </c>
      <c r="K10" s="236" t="b">
        <v>0</v>
      </c>
      <c r="L10" s="236" t="b">
        <v>0</v>
      </c>
      <c r="M10" s="236" t="b">
        <v>0</v>
      </c>
      <c r="N10" s="236" t="b">
        <v>0</v>
      </c>
      <c r="O10" s="236" t="b">
        <v>1</v>
      </c>
      <c r="P10" s="236" t="b">
        <v>1</v>
      </c>
      <c r="Q10" s="236" t="b">
        <v>0</v>
      </c>
      <c r="R10" s="236" t="b">
        <v>1</v>
      </c>
      <c r="S10" s="236" t="b">
        <v>0</v>
      </c>
      <c r="T10" s="236" t="b">
        <v>1</v>
      </c>
      <c r="U10" s="236" t="b">
        <v>0</v>
      </c>
      <c r="V10" s="256" t="str" cm="1">
        <f t="array" ref="V10">IF(SUMPRODUCT((Cert_Matrix!$A$12:$A$21=E10)*(Cert_Matrix!$L$12:$W$21="X")*(H10:S10=TRUE))&lt;SUMPRODUCT((Cert_Matrix!$A$12:$A$21=E10)*(Cert_Matrix!$L$12:$W$21="X")),"Thiếu chứng nhận","Đủ điều kiện")</f>
        <v>Đủ điều kiện</v>
      </c>
      <c r="W10" s="287"/>
      <c r="X10" s="290"/>
      <c r="Y10" s="257" t="str">
        <f>VLOOKUP(B10,'HC Golf'!C:G,5,0)</f>
        <v>S2</v>
      </c>
    </row>
    <row r="11" spans="1:25">
      <c r="A11" s="256">
        <f>ROWS($B$5:B9)</f>
        <v>5</v>
      </c>
      <c r="B11" s="256" t="s">
        <v>423</v>
      </c>
      <c r="C11" s="256" t="s">
        <v>424</v>
      </c>
      <c r="D11" s="256" t="s">
        <v>1294</v>
      </c>
      <c r="E11" s="256" t="s">
        <v>1149</v>
      </c>
      <c r="F11" s="256" t="s">
        <v>420</v>
      </c>
      <c r="G11" s="290"/>
      <c r="H11" s="236" t="b">
        <v>1</v>
      </c>
      <c r="I11" s="236" t="b">
        <v>1</v>
      </c>
      <c r="J11" s="236" t="b">
        <v>1</v>
      </c>
      <c r="K11" s="236" t="b">
        <v>0</v>
      </c>
      <c r="L11" s="236" t="b">
        <v>0</v>
      </c>
      <c r="M11" s="236" t="b">
        <v>0</v>
      </c>
      <c r="N11" s="236" t="b">
        <v>0</v>
      </c>
      <c r="O11" s="236" t="b">
        <v>0</v>
      </c>
      <c r="P11" s="236" t="b">
        <v>0</v>
      </c>
      <c r="Q11" s="236" t="b">
        <v>0</v>
      </c>
      <c r="R11" s="236" t="b">
        <v>0</v>
      </c>
      <c r="S11" s="236" t="b">
        <v>0</v>
      </c>
      <c r="T11" s="236" t="b">
        <v>1</v>
      </c>
      <c r="U11" s="236" t="b">
        <v>0</v>
      </c>
      <c r="V11" s="256" t="str" cm="1">
        <f t="array" ref="V11">IF(SUMPRODUCT((Cert_Matrix!$A$12:$A$21=E11)*(Cert_Matrix!$L$12:$W$21="X")*(H11:S11=TRUE))&lt;SUMPRODUCT((Cert_Matrix!$A$12:$A$21=E11)*(Cert_Matrix!$L$12:$W$21="X")),"Thiếu chứng nhận","Đủ điều kiện")</f>
        <v>Đủ điều kiện</v>
      </c>
      <c r="W11" s="287"/>
      <c r="X11" s="290"/>
      <c r="Y11" s="257" t="str">
        <f>VLOOKUP(B11,'HC Golf'!C:G,5,0)</f>
        <v>S2</v>
      </c>
    </row>
    <row r="12" spans="1:25">
      <c r="A12" s="256">
        <f>ROWS($B$5:B10)</f>
        <v>6</v>
      </c>
      <c r="B12" s="256" t="s">
        <v>457</v>
      </c>
      <c r="C12" s="256" t="s">
        <v>458</v>
      </c>
      <c r="D12" s="256" t="s">
        <v>1296</v>
      </c>
      <c r="E12" s="256" t="s">
        <v>1147</v>
      </c>
      <c r="F12" s="256" t="s">
        <v>420</v>
      </c>
      <c r="G12" s="290"/>
      <c r="H12" s="236" t="b">
        <v>1</v>
      </c>
      <c r="I12" s="236" t="b">
        <v>1</v>
      </c>
      <c r="J12" s="236" t="b">
        <v>1</v>
      </c>
      <c r="K12" s="236" t="b">
        <v>1</v>
      </c>
      <c r="L12" s="236" t="b">
        <v>0</v>
      </c>
      <c r="M12" s="236" t="b">
        <v>0</v>
      </c>
      <c r="N12" s="236" t="b">
        <v>0</v>
      </c>
      <c r="O12" s="236" t="b">
        <v>0</v>
      </c>
      <c r="P12" s="236" t="b">
        <v>0</v>
      </c>
      <c r="Q12" s="236" t="b">
        <v>0</v>
      </c>
      <c r="R12" s="236" t="b">
        <v>0</v>
      </c>
      <c r="S12" s="236" t="b">
        <v>1</v>
      </c>
      <c r="T12" s="236" t="b">
        <v>1</v>
      </c>
      <c r="U12" s="236" t="b">
        <v>0</v>
      </c>
      <c r="V12" s="256" t="str" cm="1">
        <f t="array" ref="V12">IF(SUMPRODUCT((Cert_Matrix!$A$12:$A$21=E12)*(Cert_Matrix!$L$12:$W$21="X")*(H12:S12=TRUE))&lt;SUMPRODUCT((Cert_Matrix!$A$12:$A$21=E12)*(Cert_Matrix!$L$12:$W$21="X")),"Thiếu chứng nhận","Đủ điều kiện")</f>
        <v>Đủ điều kiện</v>
      </c>
      <c r="W12" s="287"/>
      <c r="X12" s="290"/>
      <c r="Y12" s="257" t="str">
        <f>VLOOKUP(B12,'HC Golf'!C:G,5,0)</f>
        <v>S2</v>
      </c>
    </row>
    <row r="13" spans="1:25">
      <c r="A13" s="256">
        <f>ROWS($B$5:B11)</f>
        <v>7</v>
      </c>
      <c r="B13" s="256" t="s">
        <v>485</v>
      </c>
      <c r="C13" s="256" t="s">
        <v>486</v>
      </c>
      <c r="D13" s="256" t="s">
        <v>1296</v>
      </c>
      <c r="E13" s="256" t="s">
        <v>1156</v>
      </c>
      <c r="F13" s="256" t="s">
        <v>420</v>
      </c>
      <c r="G13" s="290">
        <v>46131</v>
      </c>
      <c r="H13" s="236" t="b">
        <v>1</v>
      </c>
      <c r="I13" s="236" t="b">
        <v>0</v>
      </c>
      <c r="J13" s="236" t="b">
        <v>0</v>
      </c>
      <c r="K13" s="236" t="b">
        <v>0</v>
      </c>
      <c r="L13" s="236" t="b">
        <v>0</v>
      </c>
      <c r="M13" s="236" t="b">
        <v>0</v>
      </c>
      <c r="N13" s="236" t="b">
        <v>0</v>
      </c>
      <c r="O13" s="236" t="b">
        <v>0</v>
      </c>
      <c r="P13" s="236" t="b">
        <v>0</v>
      </c>
      <c r="Q13" s="236" t="b">
        <v>0</v>
      </c>
      <c r="R13" s="236" t="b">
        <v>0</v>
      </c>
      <c r="S13" s="236" t="b">
        <v>1</v>
      </c>
      <c r="T13" s="236" t="b">
        <v>1</v>
      </c>
      <c r="U13" s="236" t="b">
        <v>0</v>
      </c>
      <c r="V13" s="256" t="str" cm="1">
        <f t="array" ref="V13">IF(SUMPRODUCT((Cert_Matrix!$A$12:$A$21=E13)*(Cert_Matrix!$L$12:$W$21="X")*(H13:S13=TRUE))&lt;SUMPRODUCT((Cert_Matrix!$A$12:$A$21=E13)*(Cert_Matrix!$L$12:$W$21="X")),"Thiếu chứng nhận","Đủ điều kiện")</f>
        <v>Đủ điều kiện</v>
      </c>
      <c r="W13" s="287"/>
      <c r="X13" s="290"/>
      <c r="Y13" s="257" t="str">
        <f>VLOOKUP(B13,'HC Golf'!C:G,5,0)</f>
        <v>S2</v>
      </c>
    </row>
    <row r="14" spans="1:25">
      <c r="A14" s="256">
        <f>ROWS($B$5:B12)</f>
        <v>8</v>
      </c>
      <c r="B14" s="256" t="s">
        <v>569</v>
      </c>
      <c r="C14" s="256" t="s">
        <v>570</v>
      </c>
      <c r="D14" s="256" t="s">
        <v>1297</v>
      </c>
      <c r="E14" s="256" t="s">
        <v>1148</v>
      </c>
      <c r="F14" s="256" t="s">
        <v>420</v>
      </c>
      <c r="G14" s="290">
        <v>46105</v>
      </c>
      <c r="H14" s="236" t="b">
        <v>1</v>
      </c>
      <c r="I14" s="236" t="b">
        <v>1</v>
      </c>
      <c r="J14" s="236" t="b">
        <v>1</v>
      </c>
      <c r="K14" s="236" t="b">
        <v>1</v>
      </c>
      <c r="L14" s="236" t="b">
        <v>1</v>
      </c>
      <c r="M14" s="236" t="b">
        <v>1</v>
      </c>
      <c r="N14" s="236" t="b">
        <v>1</v>
      </c>
      <c r="O14" s="236" t="b">
        <v>1</v>
      </c>
      <c r="P14" s="236" t="b">
        <v>1</v>
      </c>
      <c r="Q14" s="236" t="b">
        <v>1</v>
      </c>
      <c r="R14" s="236" t="b">
        <v>1</v>
      </c>
      <c r="S14" s="236" t="b">
        <v>1</v>
      </c>
      <c r="T14" s="236" t="b">
        <v>1</v>
      </c>
      <c r="U14" s="236" t="b">
        <v>1</v>
      </c>
      <c r="V14" s="256" t="str" cm="1">
        <f t="array" ref="V14">IF(SUMPRODUCT((Cert_Matrix!$A$12:$A$21=E14)*(Cert_Matrix!$L$12:$W$21="X")*(H14:S14=TRUE))&lt;SUMPRODUCT((Cert_Matrix!$A$12:$A$21=E14)*(Cert_Matrix!$L$12:$W$21="X")),"Thiếu chứng nhận","Đủ điều kiện")</f>
        <v>Đủ điều kiện</v>
      </c>
      <c r="W14" s="287"/>
      <c r="X14" s="290"/>
      <c r="Y14" s="257" t="str">
        <f>VLOOKUP(B14,'HC Golf'!C:G,5,0)</f>
        <v>S2</v>
      </c>
    </row>
    <row r="15" spans="1:25">
      <c r="A15" s="256">
        <f>ROWS($B$5:B13)</f>
        <v>9</v>
      </c>
      <c r="B15" s="256" t="s">
        <v>425</v>
      </c>
      <c r="C15" s="256" t="s">
        <v>426</v>
      </c>
      <c r="D15" s="256" t="s">
        <v>1298</v>
      </c>
      <c r="E15" s="256" t="s">
        <v>1148</v>
      </c>
      <c r="F15" s="256" t="s">
        <v>420</v>
      </c>
      <c r="G15" s="290">
        <v>46131</v>
      </c>
      <c r="H15" s="236" t="b">
        <v>1</v>
      </c>
      <c r="I15" s="236" t="b">
        <v>1</v>
      </c>
      <c r="J15" s="236" t="b">
        <v>1</v>
      </c>
      <c r="K15" s="236" t="b">
        <v>0</v>
      </c>
      <c r="L15" s="236" t="b">
        <v>0</v>
      </c>
      <c r="M15" s="236" t="b">
        <v>0</v>
      </c>
      <c r="N15" s="236" t="b">
        <v>0</v>
      </c>
      <c r="O15" s="236" t="b">
        <v>0</v>
      </c>
      <c r="P15" s="236" t="b">
        <v>0</v>
      </c>
      <c r="Q15" s="236" t="b">
        <v>0</v>
      </c>
      <c r="R15" s="236" t="b">
        <v>0</v>
      </c>
      <c r="S15" s="236" t="b">
        <v>0</v>
      </c>
      <c r="T15" s="236" t="b">
        <v>1</v>
      </c>
      <c r="U15" s="236" t="b">
        <v>0</v>
      </c>
      <c r="V15" s="256" t="str" cm="1">
        <f t="array" ref="V15">IF(SUMPRODUCT((Cert_Matrix!$A$12:$A$21=E15)*(Cert_Matrix!$L$12:$W$21="X")*(H15:S15=TRUE))&lt;SUMPRODUCT((Cert_Matrix!$A$12:$A$21=E15)*(Cert_Matrix!$L$12:$W$21="X")),"Thiếu chứng nhận","Đủ điều kiện")</f>
        <v>Đủ điều kiện</v>
      </c>
      <c r="W15" s="287"/>
      <c r="X15" s="290"/>
      <c r="Y15" s="257" t="str">
        <f>VLOOKUP(B15,'HC Golf'!C:G,5,0)</f>
        <v>S2</v>
      </c>
    </row>
    <row r="16" spans="1:25">
      <c r="A16" s="256">
        <f>ROWS($B$5:B14)</f>
        <v>10</v>
      </c>
      <c r="B16" s="256" t="s">
        <v>421</v>
      </c>
      <c r="C16" s="256" t="s">
        <v>422</v>
      </c>
      <c r="D16" s="256" t="s">
        <v>1299</v>
      </c>
      <c r="E16" s="256" t="s">
        <v>1300</v>
      </c>
      <c r="F16" s="256" t="s">
        <v>420</v>
      </c>
      <c r="G16" s="290"/>
      <c r="H16" s="236" t="b">
        <v>1</v>
      </c>
      <c r="I16" s="236" t="b">
        <v>1</v>
      </c>
      <c r="J16" s="236" t="b">
        <v>1</v>
      </c>
      <c r="K16" s="236" t="b">
        <v>0</v>
      </c>
      <c r="L16" s="236" t="b">
        <v>1</v>
      </c>
      <c r="M16" s="236" t="b">
        <v>1</v>
      </c>
      <c r="N16" s="236" t="b">
        <v>1</v>
      </c>
      <c r="O16" s="236" t="b">
        <v>1</v>
      </c>
      <c r="P16" s="236" t="b">
        <v>1</v>
      </c>
      <c r="Q16" s="236" t="b">
        <v>1</v>
      </c>
      <c r="R16" s="236" t="b">
        <v>1</v>
      </c>
      <c r="S16" s="236" t="b">
        <v>0</v>
      </c>
      <c r="T16" s="236" t="b">
        <v>1</v>
      </c>
      <c r="U16" s="236" t="b">
        <v>0</v>
      </c>
      <c r="V16" s="256" t="str" cm="1">
        <f t="array" ref="V16">IF(SUMPRODUCT((Cert_Matrix!$A$12:$A$21=E16)*(Cert_Matrix!$L$12:$W$21="X")*(H16:S16=TRUE))&lt;SUMPRODUCT((Cert_Matrix!$A$12:$A$21=E16)*(Cert_Matrix!$L$12:$W$21="X")),"Thiếu chứng nhận","Đủ điều kiện")</f>
        <v>Đủ điều kiện</v>
      </c>
      <c r="W16" s="287"/>
      <c r="X16" s="290"/>
      <c r="Y16" s="257" t="str">
        <f>VLOOKUP(B16,'HC Golf'!C:G,5,0)</f>
        <v>S2</v>
      </c>
    </row>
    <row r="17" spans="1:25">
      <c r="A17" s="256">
        <f>ROWS($B$5:B15)</f>
        <v>11</v>
      </c>
      <c r="B17" s="256" t="s">
        <v>477</v>
      </c>
      <c r="C17" s="256" t="s">
        <v>478</v>
      </c>
      <c r="D17" s="256" t="s">
        <v>1296</v>
      </c>
      <c r="E17" s="256" t="s">
        <v>1147</v>
      </c>
      <c r="F17" s="256" t="s">
        <v>420</v>
      </c>
      <c r="G17" s="290"/>
      <c r="H17" s="236" t="b">
        <v>1</v>
      </c>
      <c r="I17" s="236" t="b">
        <v>1</v>
      </c>
      <c r="J17" s="236" t="b">
        <v>1</v>
      </c>
      <c r="K17" s="236" t="b">
        <v>1</v>
      </c>
      <c r="L17" s="236" t="b">
        <v>0</v>
      </c>
      <c r="M17" s="236" t="b">
        <v>0</v>
      </c>
      <c r="N17" s="236" t="b">
        <v>0</v>
      </c>
      <c r="O17" s="236" t="b">
        <v>0</v>
      </c>
      <c r="P17" s="236" t="b">
        <v>0</v>
      </c>
      <c r="Q17" s="236" t="b">
        <v>0</v>
      </c>
      <c r="R17" s="236" t="b">
        <v>0</v>
      </c>
      <c r="S17" s="236" t="b">
        <v>0</v>
      </c>
      <c r="T17" s="236" t="b">
        <v>1</v>
      </c>
      <c r="U17" s="236" t="b">
        <v>0</v>
      </c>
      <c r="V17" s="256" t="str" cm="1">
        <f t="array" ref="V17">IF(SUMPRODUCT((Cert_Matrix!$A$12:$A$21=E17)*(Cert_Matrix!$L$12:$W$21="X")*(H17:S17=TRUE))&lt;SUMPRODUCT((Cert_Matrix!$A$12:$A$21=E17)*(Cert_Matrix!$L$12:$W$21="X")),"Thiếu chứng nhận","Đủ điều kiện")</f>
        <v>Đủ điều kiện</v>
      </c>
      <c r="W17" s="287"/>
      <c r="X17" s="290"/>
      <c r="Y17" s="257" t="str">
        <f>VLOOKUP(B17,'HC Golf'!C:G,5,0)</f>
        <v>S2</v>
      </c>
    </row>
    <row r="18" spans="1:25">
      <c r="A18" s="256">
        <f>ROWS($B$5:B16)</f>
        <v>12</v>
      </c>
      <c r="B18" s="256" t="s">
        <v>479</v>
      </c>
      <c r="C18" s="256" t="s">
        <v>480</v>
      </c>
      <c r="D18" s="256" t="s">
        <v>1296</v>
      </c>
      <c r="E18" s="256" t="s">
        <v>1148</v>
      </c>
      <c r="F18" s="256" t="s">
        <v>420</v>
      </c>
      <c r="G18" s="290"/>
      <c r="H18" s="236" t="b">
        <v>1</v>
      </c>
      <c r="I18" s="236" t="b">
        <v>1</v>
      </c>
      <c r="J18" s="236" t="b">
        <v>0</v>
      </c>
      <c r="K18" s="236" t="b">
        <v>0</v>
      </c>
      <c r="L18" s="236" t="b">
        <v>0</v>
      </c>
      <c r="M18" s="236" t="b">
        <v>0</v>
      </c>
      <c r="N18" s="236" t="b">
        <v>0</v>
      </c>
      <c r="O18" s="236" t="b">
        <v>0</v>
      </c>
      <c r="P18" s="236" t="b">
        <v>0</v>
      </c>
      <c r="Q18" s="236" t="b">
        <v>0</v>
      </c>
      <c r="R18" s="236" t="b">
        <v>0</v>
      </c>
      <c r="S18" s="236" t="b">
        <v>0</v>
      </c>
      <c r="T18" s="236" t="b">
        <v>1</v>
      </c>
      <c r="U18" s="236" t="b">
        <v>0</v>
      </c>
      <c r="V18" s="256" t="str" cm="1">
        <f t="array" ref="V18">IF(SUMPRODUCT((Cert_Matrix!$A$12:$A$21=E18)*(Cert_Matrix!$L$12:$W$21="X")*(H18:S18=TRUE))&lt;SUMPRODUCT((Cert_Matrix!$A$12:$A$21=E18)*(Cert_Matrix!$L$12:$W$21="X")),"Thiếu chứng nhận","Đủ điều kiện")</f>
        <v>Đủ điều kiện</v>
      </c>
      <c r="W18" s="287"/>
      <c r="X18" s="290"/>
      <c r="Y18" s="257" t="str">
        <f>VLOOKUP(B18,'HC Golf'!C:G,5,0)</f>
        <v>S2</v>
      </c>
    </row>
    <row r="19" spans="1:25">
      <c r="A19" s="256">
        <f>ROWS($B$5:B17)</f>
        <v>13</v>
      </c>
      <c r="B19" s="256" t="s">
        <v>461</v>
      </c>
      <c r="C19" s="256" t="s">
        <v>462</v>
      </c>
      <c r="D19" s="256" t="s">
        <v>1296</v>
      </c>
      <c r="E19" s="256" t="s">
        <v>1149</v>
      </c>
      <c r="F19" s="256" t="s">
        <v>420</v>
      </c>
      <c r="G19" s="290"/>
      <c r="H19" s="236" t="b">
        <v>1</v>
      </c>
      <c r="I19" s="236" t="b">
        <v>1</v>
      </c>
      <c r="J19" s="236" t="b">
        <v>1</v>
      </c>
      <c r="K19" s="236" t="b">
        <v>0</v>
      </c>
      <c r="L19" s="236" t="b">
        <v>0</v>
      </c>
      <c r="M19" s="236" t="b">
        <v>0</v>
      </c>
      <c r="N19" s="236" t="b">
        <v>0</v>
      </c>
      <c r="O19" s="236" t="b">
        <v>0</v>
      </c>
      <c r="P19" s="236" t="b">
        <v>0</v>
      </c>
      <c r="Q19" s="236" t="b">
        <v>0</v>
      </c>
      <c r="R19" s="236" t="b">
        <v>0</v>
      </c>
      <c r="S19" s="236" t="b">
        <v>0</v>
      </c>
      <c r="T19" s="236" t="b">
        <v>1</v>
      </c>
      <c r="U19" s="236" t="b">
        <v>0</v>
      </c>
      <c r="V19" s="256" t="str" cm="1">
        <f t="array" ref="V19">IF(SUMPRODUCT((Cert_Matrix!$A$12:$A$21=E19)*(Cert_Matrix!$L$12:$W$21="X")*(H19:S19=TRUE))&lt;SUMPRODUCT((Cert_Matrix!$A$12:$A$21=E19)*(Cert_Matrix!$L$12:$W$21="X")),"Thiếu chứng nhận","Đủ điều kiện")</f>
        <v>Đủ điều kiện</v>
      </c>
      <c r="W19" s="287"/>
      <c r="X19" s="290"/>
      <c r="Y19" s="257" t="str">
        <f>VLOOKUP(B19,'HC Golf'!C:G,5,0)</f>
        <v>S2</v>
      </c>
    </row>
    <row r="20" spans="1:25">
      <c r="A20" s="256">
        <f>ROWS($B$5:B18)</f>
        <v>14</v>
      </c>
      <c r="B20" s="256" t="s">
        <v>571</v>
      </c>
      <c r="C20" s="256" t="s">
        <v>572</v>
      </c>
      <c r="D20" s="256" t="s">
        <v>1293</v>
      </c>
      <c r="E20" s="256" t="s">
        <v>1147</v>
      </c>
      <c r="F20" s="256" t="s">
        <v>420</v>
      </c>
      <c r="G20" s="290"/>
      <c r="H20" s="236" t="b">
        <v>0</v>
      </c>
      <c r="I20" s="236" t="b">
        <v>1</v>
      </c>
      <c r="J20" s="236" t="b">
        <v>1</v>
      </c>
      <c r="K20" s="236" t="b">
        <v>1</v>
      </c>
      <c r="L20" s="236" t="b">
        <v>1</v>
      </c>
      <c r="M20" s="236" t="b">
        <v>0</v>
      </c>
      <c r="N20" s="236" t="b">
        <v>0</v>
      </c>
      <c r="O20" s="236" t="b">
        <v>0</v>
      </c>
      <c r="P20" s="236" t="b">
        <v>0</v>
      </c>
      <c r="Q20" s="236" t="b">
        <v>0</v>
      </c>
      <c r="R20" s="236" t="b">
        <v>0</v>
      </c>
      <c r="S20" s="236" t="b">
        <v>0</v>
      </c>
      <c r="T20" s="236" t="b">
        <v>1</v>
      </c>
      <c r="U20" s="236" t="b">
        <v>0</v>
      </c>
      <c r="V20" s="256" t="str" cm="1">
        <f t="array" ref="V20">IF(SUMPRODUCT((Cert_Matrix!$A$12:$A$21=E20)*(Cert_Matrix!$L$12:$W$21="X")*(H20:S20=TRUE))&lt;SUMPRODUCT((Cert_Matrix!$A$12:$A$21=E20)*(Cert_Matrix!$L$12:$W$21="X")),"Thiếu chứng nhận","Đủ điều kiện")</f>
        <v>Đủ điều kiện</v>
      </c>
      <c r="W20" s="287"/>
      <c r="X20" s="290"/>
      <c r="Y20" s="257" t="str">
        <f>VLOOKUP(B20,'HC Golf'!C:G,5,0)</f>
        <v>S2</v>
      </c>
    </row>
    <row r="21" spans="1:25">
      <c r="A21" s="256">
        <f>ROWS($B$5:B19)</f>
        <v>15</v>
      </c>
      <c r="B21" s="256" t="s">
        <v>481</v>
      </c>
      <c r="C21" s="256" t="s">
        <v>482</v>
      </c>
      <c r="D21" s="256" t="s">
        <v>1301</v>
      </c>
      <c r="E21" s="256" t="s">
        <v>1155</v>
      </c>
      <c r="F21" s="256" t="s">
        <v>420</v>
      </c>
      <c r="G21" s="290"/>
      <c r="H21" s="236" t="b">
        <v>0</v>
      </c>
      <c r="I21" s="236" t="b">
        <v>0</v>
      </c>
      <c r="J21" s="236" t="b">
        <v>0</v>
      </c>
      <c r="K21" s="236" t="b">
        <v>0</v>
      </c>
      <c r="L21" s="236" t="b">
        <v>1</v>
      </c>
      <c r="M21" s="236" t="b">
        <v>1</v>
      </c>
      <c r="N21" s="236" t="b">
        <v>1</v>
      </c>
      <c r="O21" s="236" t="b">
        <v>1</v>
      </c>
      <c r="P21" s="236" t="b">
        <v>1</v>
      </c>
      <c r="Q21" s="236" t="b">
        <v>1</v>
      </c>
      <c r="R21" s="236" t="b">
        <v>1</v>
      </c>
      <c r="S21" s="236" t="b">
        <v>0</v>
      </c>
      <c r="T21" s="236" t="b">
        <v>1</v>
      </c>
      <c r="U21" s="236" t="b">
        <v>0</v>
      </c>
      <c r="V21" s="256" t="str" cm="1">
        <f t="array" ref="V21">IF(SUMPRODUCT((Cert_Matrix!$A$12:$A$21=E21)*(Cert_Matrix!$L$12:$W$21="X")*(H21:S21=TRUE))&lt;SUMPRODUCT((Cert_Matrix!$A$12:$A$21=E21)*(Cert_Matrix!$L$12:$W$21="X")),"Thiếu chứng nhận","Đủ điều kiện")</f>
        <v>Đủ điều kiện</v>
      </c>
      <c r="W21" s="287"/>
      <c r="X21" s="290"/>
      <c r="Y21" s="257" t="str">
        <f>VLOOKUP(B21,'HC Golf'!C:G,5,0)</f>
        <v>S2</v>
      </c>
    </row>
    <row r="22" spans="1:25">
      <c r="A22" s="256">
        <f>ROWS($B$5:B20)</f>
        <v>16</v>
      </c>
      <c r="B22" s="256" t="s">
        <v>499</v>
      </c>
      <c r="C22" s="256" t="s">
        <v>500</v>
      </c>
      <c r="D22" s="256" t="s">
        <v>1302</v>
      </c>
      <c r="E22" s="256" t="s">
        <v>1150</v>
      </c>
      <c r="F22" s="256" t="s">
        <v>420</v>
      </c>
      <c r="G22" s="290"/>
      <c r="H22" s="236" t="b">
        <v>0</v>
      </c>
      <c r="I22" s="236" t="b">
        <v>0</v>
      </c>
      <c r="J22" s="236" t="b">
        <v>0</v>
      </c>
      <c r="K22" s="236" t="b">
        <v>0</v>
      </c>
      <c r="L22" s="236" t="b">
        <v>1</v>
      </c>
      <c r="M22" s="236" t="b">
        <v>1</v>
      </c>
      <c r="N22" s="236" t="b">
        <v>0</v>
      </c>
      <c r="O22" s="236" t="b">
        <v>0</v>
      </c>
      <c r="P22" s="236" t="b">
        <v>0</v>
      </c>
      <c r="Q22" s="236" t="b">
        <v>0</v>
      </c>
      <c r="R22" s="236" t="b">
        <v>0</v>
      </c>
      <c r="S22" s="236" t="b">
        <v>0</v>
      </c>
      <c r="T22" s="236" t="b">
        <v>1</v>
      </c>
      <c r="U22" s="236" t="b">
        <v>0</v>
      </c>
      <c r="V22" s="256" t="str" cm="1">
        <f t="array" ref="V22">IF(SUMPRODUCT((Cert_Matrix!$A$12:$A$21=E22)*(Cert_Matrix!$L$12:$W$21="X")*(H22:S22=TRUE))&lt;SUMPRODUCT((Cert_Matrix!$A$12:$A$21=E22)*(Cert_Matrix!$L$12:$W$21="X")),"Thiếu chứng nhận","Đủ điều kiện")</f>
        <v>Đủ điều kiện</v>
      </c>
      <c r="W22" s="287"/>
      <c r="X22" s="290"/>
      <c r="Y22" s="257" t="str">
        <f>VLOOKUP(B22,'HC Golf'!C:G,5,0)</f>
        <v>S2</v>
      </c>
    </row>
    <row r="23" spans="1:25">
      <c r="A23" s="256">
        <f>ROWS($B$5:B21)</f>
        <v>17</v>
      </c>
      <c r="B23" s="256" t="s">
        <v>559</v>
      </c>
      <c r="C23" s="256" t="s">
        <v>560</v>
      </c>
      <c r="D23" s="256" t="s">
        <v>1293</v>
      </c>
      <c r="E23" s="256" t="s">
        <v>1149</v>
      </c>
      <c r="F23" s="256" t="s">
        <v>420</v>
      </c>
      <c r="G23" s="290"/>
      <c r="H23" s="236" t="b">
        <v>1</v>
      </c>
      <c r="I23" s="236" t="b">
        <v>1</v>
      </c>
      <c r="J23" s="236" t="b">
        <v>1</v>
      </c>
      <c r="K23" s="236" t="b">
        <v>0</v>
      </c>
      <c r="L23" s="236" t="b">
        <v>1</v>
      </c>
      <c r="M23" s="236" t="b">
        <v>0</v>
      </c>
      <c r="N23" s="236" t="b">
        <v>1</v>
      </c>
      <c r="O23" s="236" t="b">
        <v>1</v>
      </c>
      <c r="P23" s="236" t="b">
        <v>1</v>
      </c>
      <c r="Q23" s="236" t="b">
        <v>0</v>
      </c>
      <c r="R23" s="236" t="b">
        <v>0</v>
      </c>
      <c r="S23" s="236" t="b">
        <v>0</v>
      </c>
      <c r="T23" s="236" t="b">
        <v>1</v>
      </c>
      <c r="U23" s="236" t="b">
        <v>0</v>
      </c>
      <c r="V23" s="256" t="str" cm="1">
        <f t="array" ref="V23">IF(SUMPRODUCT((Cert_Matrix!$A$12:$A$21=E23)*(Cert_Matrix!$L$12:$W$21="X")*(H23:S23=TRUE))&lt;SUMPRODUCT((Cert_Matrix!$A$12:$A$21=E23)*(Cert_Matrix!$L$12:$W$21="X")),"Thiếu chứng nhận","Đủ điều kiện")</f>
        <v>Đủ điều kiện</v>
      </c>
      <c r="W23" s="287"/>
      <c r="X23" s="290"/>
      <c r="Y23" s="257" t="str">
        <f>VLOOKUP(B23,'HC Golf'!C:G,5,0)</f>
        <v>S2</v>
      </c>
    </row>
    <row r="24" spans="1:25">
      <c r="A24" s="256">
        <f>ROWS($B$5:B22)</f>
        <v>18</v>
      </c>
      <c r="B24" s="256" t="s">
        <v>431</v>
      </c>
      <c r="C24" s="256" t="s">
        <v>432</v>
      </c>
      <c r="D24" s="256" t="s">
        <v>1296</v>
      </c>
      <c r="E24" s="256" t="s">
        <v>1148</v>
      </c>
      <c r="F24" s="256" t="s">
        <v>420</v>
      </c>
      <c r="G24" s="290"/>
      <c r="H24" s="236" t="b">
        <v>1</v>
      </c>
      <c r="I24" s="236" t="b">
        <v>1</v>
      </c>
      <c r="J24" s="236" t="b">
        <v>1</v>
      </c>
      <c r="K24" s="236" t="b">
        <v>0</v>
      </c>
      <c r="L24" s="236" t="b">
        <v>0</v>
      </c>
      <c r="M24" s="236" t="b">
        <v>0</v>
      </c>
      <c r="N24" s="236" t="b">
        <v>0</v>
      </c>
      <c r="O24" s="236" t="b">
        <v>0</v>
      </c>
      <c r="P24" s="236" t="b">
        <v>0</v>
      </c>
      <c r="Q24" s="236" t="b">
        <v>0</v>
      </c>
      <c r="R24" s="236" t="b">
        <v>0</v>
      </c>
      <c r="S24" s="236" t="b">
        <v>0</v>
      </c>
      <c r="T24" s="236" t="b">
        <v>1</v>
      </c>
      <c r="U24" s="236" t="b">
        <v>0</v>
      </c>
      <c r="V24" s="256" t="str" cm="1">
        <f t="array" ref="V24">IF(SUMPRODUCT((Cert_Matrix!$A$12:$A$21=E24)*(Cert_Matrix!$L$12:$W$21="X")*(H24:S24=TRUE))&lt;SUMPRODUCT((Cert_Matrix!$A$12:$A$21=E24)*(Cert_Matrix!$L$12:$W$21="X")),"Thiếu chứng nhận","Đủ điều kiện")</f>
        <v>Đủ điều kiện</v>
      </c>
      <c r="W24" s="287"/>
      <c r="X24" s="290"/>
      <c r="Y24" s="257" t="str">
        <f>VLOOKUP(B24,'HC Golf'!C:G,5,0)</f>
        <v>S2</v>
      </c>
    </row>
    <row r="25" spans="1:25">
      <c r="A25" s="256">
        <f>ROWS($B$5:B23)</f>
        <v>19</v>
      </c>
      <c r="B25" s="256" t="s">
        <v>538</v>
      </c>
      <c r="C25" s="256" t="s">
        <v>539</v>
      </c>
      <c r="D25" s="256" t="s">
        <v>1303</v>
      </c>
      <c r="E25" s="256" t="s">
        <v>1148</v>
      </c>
      <c r="F25" s="256" t="s">
        <v>420</v>
      </c>
      <c r="G25" s="290"/>
      <c r="H25" s="236" t="b">
        <v>1</v>
      </c>
      <c r="I25" s="236" t="b">
        <v>1</v>
      </c>
      <c r="J25" s="236" t="b">
        <v>1</v>
      </c>
      <c r="K25" s="236" t="b">
        <v>1</v>
      </c>
      <c r="L25" s="236" t="b">
        <v>0</v>
      </c>
      <c r="M25" s="236" t="b">
        <v>0</v>
      </c>
      <c r="N25" s="236" t="b">
        <v>0</v>
      </c>
      <c r="O25" s="236" t="b">
        <v>0</v>
      </c>
      <c r="P25" s="236" t="b">
        <v>0</v>
      </c>
      <c r="Q25" s="236" t="b">
        <v>0</v>
      </c>
      <c r="R25" s="236" t="b">
        <v>0</v>
      </c>
      <c r="S25" s="236" t="b">
        <v>0</v>
      </c>
      <c r="T25" s="236" t="b">
        <v>1</v>
      </c>
      <c r="U25" s="236" t="b">
        <v>0</v>
      </c>
      <c r="V25" s="256" t="str" cm="1">
        <f t="array" ref="V25">IF(SUMPRODUCT((Cert_Matrix!$A$12:$A$21=E25)*(Cert_Matrix!$L$12:$W$21="X")*(H25:S25=TRUE))&lt;SUMPRODUCT((Cert_Matrix!$A$12:$A$21=E25)*(Cert_Matrix!$L$12:$W$21="X")),"Thiếu chứng nhận","Đủ điều kiện")</f>
        <v>Đủ điều kiện</v>
      </c>
      <c r="W25" s="287"/>
      <c r="X25" s="290"/>
      <c r="Y25" s="257" t="str">
        <f>VLOOKUP(B25,'HC Golf'!C:G,5,0)</f>
        <v>S2</v>
      </c>
    </row>
    <row r="26" spans="1:25">
      <c r="A26" s="256">
        <f>ROWS($B$5:B24)</f>
        <v>20</v>
      </c>
      <c r="B26" s="256" t="s">
        <v>548</v>
      </c>
      <c r="C26" s="256" t="s">
        <v>549</v>
      </c>
      <c r="D26" s="256" t="s">
        <v>1304</v>
      </c>
      <c r="E26" s="256" t="s">
        <v>1150</v>
      </c>
      <c r="F26" s="256" t="s">
        <v>420</v>
      </c>
      <c r="G26" s="290"/>
      <c r="H26" s="236" t="b">
        <v>1</v>
      </c>
      <c r="I26" s="236" t="b">
        <v>1</v>
      </c>
      <c r="J26" s="236" t="b">
        <v>0</v>
      </c>
      <c r="K26" s="236" t="b">
        <v>0</v>
      </c>
      <c r="L26" s="236" t="b">
        <v>1</v>
      </c>
      <c r="M26" s="236" t="b">
        <v>1</v>
      </c>
      <c r="N26" s="236" t="b">
        <v>0</v>
      </c>
      <c r="O26" s="236" t="b">
        <v>0</v>
      </c>
      <c r="P26" s="236" t="b">
        <v>0</v>
      </c>
      <c r="Q26" s="236" t="b">
        <v>0</v>
      </c>
      <c r="R26" s="236" t="b">
        <v>0</v>
      </c>
      <c r="S26" s="236" t="b">
        <v>0</v>
      </c>
      <c r="T26" s="236" t="b">
        <v>1</v>
      </c>
      <c r="U26" s="236" t="b">
        <v>0</v>
      </c>
      <c r="V26" s="256" t="str" cm="1">
        <f t="array" ref="V26">IF(SUMPRODUCT((Cert_Matrix!$A$12:$A$21=E26)*(Cert_Matrix!$L$12:$W$21="X")*(H26:S26=TRUE))&lt;SUMPRODUCT((Cert_Matrix!$A$12:$A$21=E26)*(Cert_Matrix!$L$12:$W$21="X")),"Thiếu chứng nhận","Đủ điều kiện")</f>
        <v>Đủ điều kiện</v>
      </c>
      <c r="W26" s="287"/>
      <c r="X26" s="290"/>
      <c r="Y26" s="257" t="str">
        <f>VLOOKUP(B26,'HC Golf'!C:G,5,0)</f>
        <v>S2</v>
      </c>
    </row>
    <row r="27" spans="1:25">
      <c r="A27" s="256">
        <f>ROWS($B$5:B25)</f>
        <v>21</v>
      </c>
      <c r="B27" s="256" t="s">
        <v>536</v>
      </c>
      <c r="C27" s="256" t="s">
        <v>537</v>
      </c>
      <c r="D27" s="256" t="s">
        <v>1296</v>
      </c>
      <c r="E27" s="256" t="s">
        <v>1148</v>
      </c>
      <c r="F27" s="256" t="s">
        <v>420</v>
      </c>
      <c r="G27" s="290">
        <v>46003</v>
      </c>
      <c r="H27" s="236" t="b">
        <v>1</v>
      </c>
      <c r="I27" s="236" t="b">
        <v>1</v>
      </c>
      <c r="J27" s="236" t="b">
        <v>1</v>
      </c>
      <c r="K27" s="236" t="b">
        <v>0</v>
      </c>
      <c r="L27" s="236" t="b">
        <v>1</v>
      </c>
      <c r="M27" s="236" t="b">
        <v>1</v>
      </c>
      <c r="N27" s="236" t="b">
        <v>0</v>
      </c>
      <c r="O27" s="236" t="b">
        <v>1</v>
      </c>
      <c r="P27" s="236" t="b">
        <v>0</v>
      </c>
      <c r="Q27" s="236" t="b">
        <v>0</v>
      </c>
      <c r="R27" s="236" t="b">
        <v>0</v>
      </c>
      <c r="S27" s="236" t="b">
        <v>0</v>
      </c>
      <c r="T27" s="236" t="b">
        <v>1</v>
      </c>
      <c r="U27" s="236" t="b">
        <v>0</v>
      </c>
      <c r="V27" s="256" t="str" cm="1">
        <f t="array" ref="V27">IF(SUMPRODUCT((Cert_Matrix!$A$12:$A$21=E27)*(Cert_Matrix!$L$12:$W$21="X")*(H27:S27=TRUE))&lt;SUMPRODUCT((Cert_Matrix!$A$12:$A$21=E27)*(Cert_Matrix!$L$12:$W$21="X")),"Thiếu chứng nhận","Đủ điều kiện")</f>
        <v>Đủ điều kiện</v>
      </c>
      <c r="W27" s="287"/>
      <c r="X27" s="290"/>
      <c r="Y27" s="257" t="str">
        <f>VLOOKUP(B27,'HC Golf'!C:G,5,0)</f>
        <v>S2</v>
      </c>
    </row>
    <row r="28" spans="1:25">
      <c r="A28" s="256">
        <f>ROWS($B$5:B26)</f>
        <v>22</v>
      </c>
      <c r="B28" s="256" t="s">
        <v>676</v>
      </c>
      <c r="C28" s="256" t="s">
        <v>677</v>
      </c>
      <c r="D28" s="256" t="s">
        <v>1305</v>
      </c>
      <c r="E28" s="256" t="s">
        <v>1300</v>
      </c>
      <c r="F28" s="256" t="s">
        <v>420</v>
      </c>
      <c r="G28" s="290">
        <v>46105</v>
      </c>
      <c r="H28" s="236" t="b">
        <v>0</v>
      </c>
      <c r="I28" s="236" t="b">
        <v>0</v>
      </c>
      <c r="J28" s="236" t="b">
        <v>0</v>
      </c>
      <c r="K28" s="236" t="b">
        <v>0</v>
      </c>
      <c r="L28" s="236" t="b">
        <v>0</v>
      </c>
      <c r="M28" s="236" t="b">
        <v>0</v>
      </c>
      <c r="N28" s="236" t="b">
        <v>1</v>
      </c>
      <c r="O28" s="236" t="b">
        <v>1</v>
      </c>
      <c r="P28" s="236" t="b">
        <v>1</v>
      </c>
      <c r="Q28" s="236" t="b">
        <v>0</v>
      </c>
      <c r="R28" s="236" t="b">
        <v>1</v>
      </c>
      <c r="S28" s="236" t="b">
        <v>0</v>
      </c>
      <c r="T28" s="236" t="b">
        <v>1</v>
      </c>
      <c r="U28" s="236" t="b">
        <v>0</v>
      </c>
      <c r="V28" s="256" t="str" cm="1">
        <f t="array" ref="V28">IF(SUMPRODUCT((Cert_Matrix!$A$12:$A$21=E28)*(Cert_Matrix!$L$12:$W$21="X")*(H28:S28=TRUE))&lt;SUMPRODUCT((Cert_Matrix!$A$12:$A$21=E28)*(Cert_Matrix!$L$12:$W$21="X")),"Thiếu chứng nhận","Đủ điều kiện")</f>
        <v>Đủ điều kiện</v>
      </c>
      <c r="W28" s="287"/>
      <c r="X28" s="290"/>
      <c r="Y28" s="257" t="str">
        <f>VLOOKUP(B28,'HC Golf'!C:G,5,0)</f>
        <v>S2</v>
      </c>
    </row>
    <row r="29" spans="1:25">
      <c r="A29" s="256">
        <f>ROWS($B$5:B27)</f>
        <v>23</v>
      </c>
      <c r="B29" s="256" t="s">
        <v>690</v>
      </c>
      <c r="C29" s="256" t="s">
        <v>691</v>
      </c>
      <c r="D29" s="256" t="s">
        <v>1296</v>
      </c>
      <c r="E29" s="256" t="s">
        <v>1148</v>
      </c>
      <c r="F29" s="256" t="s">
        <v>420</v>
      </c>
      <c r="G29" s="290"/>
      <c r="H29" s="236" t="b">
        <v>1</v>
      </c>
      <c r="I29" s="236" t="b">
        <v>1</v>
      </c>
      <c r="J29" s="236" t="b">
        <v>1</v>
      </c>
      <c r="K29" s="236" t="b">
        <v>1</v>
      </c>
      <c r="L29" s="236" t="b">
        <v>0</v>
      </c>
      <c r="M29" s="236" t="b">
        <v>0</v>
      </c>
      <c r="N29" s="236" t="b">
        <v>0</v>
      </c>
      <c r="O29" s="236" t="b">
        <v>0</v>
      </c>
      <c r="P29" s="236" t="b">
        <v>0</v>
      </c>
      <c r="Q29" s="236" t="b">
        <v>0</v>
      </c>
      <c r="R29" s="236" t="b">
        <v>0</v>
      </c>
      <c r="S29" s="236" t="b">
        <v>0</v>
      </c>
      <c r="T29" s="236" t="b">
        <v>1</v>
      </c>
      <c r="U29" s="236" t="b">
        <v>0</v>
      </c>
      <c r="V29" s="256" t="str" cm="1">
        <f t="array" ref="V29">IF(SUMPRODUCT((Cert_Matrix!$A$12:$A$21=E29)*(Cert_Matrix!$L$12:$W$21="X")*(H29:S29=TRUE))&lt;SUMPRODUCT((Cert_Matrix!$A$12:$A$21=E29)*(Cert_Matrix!$L$12:$W$21="X")),"Thiếu chứng nhận","Đủ điều kiện")</f>
        <v>Đủ điều kiện</v>
      </c>
      <c r="W29" s="287"/>
      <c r="X29" s="290"/>
      <c r="Y29" s="257" t="str">
        <f>VLOOKUP(B29,'HC Golf'!C:G,5,0)</f>
        <v>S2</v>
      </c>
    </row>
    <row r="30" spans="1:25">
      <c r="A30" s="256">
        <f>ROWS($B$5:B28)</f>
        <v>24</v>
      </c>
      <c r="B30" s="256" t="s">
        <v>1306</v>
      </c>
      <c r="C30" s="256" t="s">
        <v>714</v>
      </c>
      <c r="D30" s="256" t="s">
        <v>1294</v>
      </c>
      <c r="E30" s="256" t="s">
        <v>1149</v>
      </c>
      <c r="F30" s="256" t="s">
        <v>420</v>
      </c>
      <c r="G30" s="290">
        <v>46131</v>
      </c>
      <c r="H30" s="236" t="b">
        <v>1</v>
      </c>
      <c r="I30" s="236" t="b">
        <v>1</v>
      </c>
      <c r="J30" s="236" t="b">
        <v>1</v>
      </c>
      <c r="K30" s="236" t="b">
        <v>0</v>
      </c>
      <c r="L30" s="236" t="b">
        <v>0</v>
      </c>
      <c r="M30" s="236" t="b">
        <v>0</v>
      </c>
      <c r="N30" s="236" t="b">
        <v>0</v>
      </c>
      <c r="O30" s="236" t="b">
        <v>0</v>
      </c>
      <c r="P30" s="236" t="b">
        <v>0</v>
      </c>
      <c r="Q30" s="236" t="b">
        <v>0</v>
      </c>
      <c r="R30" s="236" t="b">
        <v>0</v>
      </c>
      <c r="S30" s="236" t="b">
        <v>0</v>
      </c>
      <c r="T30" s="236" t="b">
        <v>1</v>
      </c>
      <c r="U30" s="236" t="b">
        <v>0</v>
      </c>
      <c r="V30" s="256" t="str" cm="1">
        <f t="array" ref="V30">IF(SUMPRODUCT((Cert_Matrix!$A$12:$A$21=E30)*(Cert_Matrix!$L$12:$W$21="X")*(H30:S30=TRUE))&lt;SUMPRODUCT((Cert_Matrix!$A$12:$A$21=E30)*(Cert_Matrix!$L$12:$W$21="X")),"Thiếu chứng nhận","Đủ điều kiện")</f>
        <v>Đủ điều kiện</v>
      </c>
      <c r="W30" s="287"/>
      <c r="X30" s="290"/>
      <c r="Y30" s="257" t="str">
        <f>VLOOKUP(B30,'HC Golf'!C:G,5,0)</f>
        <v>S2</v>
      </c>
    </row>
    <row r="31" spans="1:25">
      <c r="A31" s="256">
        <f>ROWS($B$5:B29)</f>
        <v>25</v>
      </c>
      <c r="B31" s="256" t="s">
        <v>671</v>
      </c>
      <c r="C31" s="256" t="s">
        <v>672</v>
      </c>
      <c r="D31" s="256" t="s">
        <v>1296</v>
      </c>
      <c r="E31" s="256" t="s">
        <v>1150</v>
      </c>
      <c r="F31" s="256" t="s">
        <v>420</v>
      </c>
      <c r="G31" s="290">
        <v>46003</v>
      </c>
      <c r="H31" s="236" t="b">
        <v>1</v>
      </c>
      <c r="I31" s="236" t="b">
        <v>1</v>
      </c>
      <c r="J31" s="236" t="b">
        <v>1</v>
      </c>
      <c r="K31" s="236" t="b">
        <v>0</v>
      </c>
      <c r="L31" s="236" t="b">
        <v>1</v>
      </c>
      <c r="M31" s="236" t="b">
        <v>1</v>
      </c>
      <c r="N31" s="236" t="b">
        <v>0</v>
      </c>
      <c r="O31" s="236" t="b">
        <v>1</v>
      </c>
      <c r="P31" s="236" t="b">
        <v>0</v>
      </c>
      <c r="Q31" s="236" t="b">
        <v>0</v>
      </c>
      <c r="R31" s="236" t="b">
        <v>0</v>
      </c>
      <c r="S31" s="236" t="b">
        <v>0</v>
      </c>
      <c r="T31" s="236" t="b">
        <v>1</v>
      </c>
      <c r="U31" s="236" t="b">
        <v>0</v>
      </c>
      <c r="V31" s="256" t="str" cm="1">
        <f t="array" ref="V31">IF(SUMPRODUCT((Cert_Matrix!$A$12:$A$21=E31)*(Cert_Matrix!$L$12:$W$21="X")*(H31:S31=TRUE))&lt;SUMPRODUCT((Cert_Matrix!$A$12:$A$21=E31)*(Cert_Matrix!$L$12:$W$21="X")),"Thiếu chứng nhận","Đủ điều kiện")</f>
        <v>Đủ điều kiện</v>
      </c>
      <c r="W31" s="287"/>
      <c r="X31" s="290"/>
      <c r="Y31" s="257" t="str">
        <f>VLOOKUP(B31,'HC Golf'!C:G,5,0)</f>
        <v>S2</v>
      </c>
    </row>
    <row r="32" spans="1:25">
      <c r="A32" s="256">
        <f>ROWS($B$5:B30)</f>
        <v>26</v>
      </c>
      <c r="B32" s="256" t="s">
        <v>1307</v>
      </c>
      <c r="C32" s="256" t="s">
        <v>731</v>
      </c>
      <c r="D32" s="256" t="s">
        <v>1296</v>
      </c>
      <c r="E32" s="256" t="s">
        <v>1148</v>
      </c>
      <c r="F32" s="256" t="s">
        <v>420</v>
      </c>
      <c r="G32" s="290"/>
      <c r="H32" s="236" t="b">
        <v>0</v>
      </c>
      <c r="I32" s="236" t="b">
        <v>1</v>
      </c>
      <c r="J32" s="236" t="b">
        <v>0</v>
      </c>
      <c r="K32" s="236" t="b">
        <v>0</v>
      </c>
      <c r="L32" s="236" t="b">
        <v>0</v>
      </c>
      <c r="M32" s="236" t="b">
        <v>0</v>
      </c>
      <c r="N32" s="236" t="b">
        <v>0</v>
      </c>
      <c r="O32" s="236" t="b">
        <v>0</v>
      </c>
      <c r="P32" s="236" t="b">
        <v>0</v>
      </c>
      <c r="Q32" s="236" t="b">
        <v>0</v>
      </c>
      <c r="R32" s="236" t="b">
        <v>0</v>
      </c>
      <c r="S32" s="236" t="b">
        <v>0</v>
      </c>
      <c r="T32" s="236" t="b">
        <v>1</v>
      </c>
      <c r="U32" s="236" t="b">
        <v>0</v>
      </c>
      <c r="V32" s="256" t="str" cm="1">
        <f t="array" ref="V32">IF(SUMPRODUCT((Cert_Matrix!$A$12:$A$21=E32)*(Cert_Matrix!$L$12:$W$21="X")*(H32:S32=TRUE))&lt;SUMPRODUCT((Cert_Matrix!$A$12:$A$21=E32)*(Cert_Matrix!$L$12:$W$21="X")),"Thiếu chứng nhận","Đủ điều kiện")</f>
        <v>Đủ điều kiện</v>
      </c>
      <c r="W32" s="287"/>
      <c r="X32" s="290"/>
      <c r="Y32" s="257" t="str">
        <f>VLOOKUP(B32,'HC Golf'!C:G,5,0)</f>
        <v>S2</v>
      </c>
    </row>
    <row r="33" spans="1:25">
      <c r="A33" s="256">
        <f>ROWS($B$5:B31)</f>
        <v>27</v>
      </c>
      <c r="B33" s="256" t="s">
        <v>532</v>
      </c>
      <c r="C33" s="256" t="s">
        <v>533</v>
      </c>
      <c r="D33" s="256" t="s">
        <v>1296</v>
      </c>
      <c r="E33" s="256" t="s">
        <v>1149</v>
      </c>
      <c r="F33" s="256" t="s">
        <v>420</v>
      </c>
      <c r="G33" s="290"/>
      <c r="H33" s="236" t="b">
        <v>1</v>
      </c>
      <c r="I33" s="236" t="b">
        <v>1</v>
      </c>
      <c r="J33" s="236" t="b">
        <v>1</v>
      </c>
      <c r="K33" s="236" t="b">
        <v>1</v>
      </c>
      <c r="L33" s="236" t="b">
        <v>0</v>
      </c>
      <c r="M33" s="236" t="b">
        <v>0</v>
      </c>
      <c r="N33" s="236" t="b">
        <v>0</v>
      </c>
      <c r="O33" s="236" t="b">
        <v>0</v>
      </c>
      <c r="P33" s="236" t="b">
        <v>0</v>
      </c>
      <c r="Q33" s="236" t="b">
        <v>0</v>
      </c>
      <c r="R33" s="236" t="b">
        <v>0</v>
      </c>
      <c r="S33" s="236" t="b">
        <v>0</v>
      </c>
      <c r="T33" s="236" t="b">
        <v>1</v>
      </c>
      <c r="U33" s="236" t="b">
        <v>0</v>
      </c>
      <c r="V33" s="256" t="str" cm="1">
        <f t="array" ref="V33">IF(SUMPRODUCT((Cert_Matrix!$A$12:$A$21=E33)*(Cert_Matrix!$L$12:$W$21="X")*(H33:S33=TRUE))&lt;SUMPRODUCT((Cert_Matrix!$A$12:$A$21=E33)*(Cert_Matrix!$L$12:$W$21="X")),"Thiếu chứng nhận","Đủ điều kiện")</f>
        <v>Đủ điều kiện</v>
      </c>
      <c r="W33" s="287"/>
      <c r="X33" s="290"/>
      <c r="Y33" s="257" t="str">
        <f>VLOOKUP(B33,'HC Golf'!C:G,5,0)</f>
        <v>S2</v>
      </c>
    </row>
    <row r="34" spans="1:25">
      <c r="A34" s="256">
        <f>ROWS($B$5:B32)</f>
        <v>28</v>
      </c>
      <c r="B34" s="256" t="s">
        <v>552</v>
      </c>
      <c r="C34" s="256" t="s">
        <v>553</v>
      </c>
      <c r="D34" s="256" t="s">
        <v>1296</v>
      </c>
      <c r="E34" s="256" t="s">
        <v>1148</v>
      </c>
      <c r="F34" s="256" t="s">
        <v>420</v>
      </c>
      <c r="G34" s="290"/>
      <c r="H34" s="236" t="b">
        <v>1</v>
      </c>
      <c r="I34" s="236" t="b">
        <v>1</v>
      </c>
      <c r="J34" s="236" t="b">
        <v>1</v>
      </c>
      <c r="K34" s="236" t="b">
        <v>0</v>
      </c>
      <c r="L34" s="236" t="b">
        <v>0</v>
      </c>
      <c r="M34" s="236" t="b">
        <v>0</v>
      </c>
      <c r="N34" s="236" t="b">
        <v>0</v>
      </c>
      <c r="O34" s="236" t="b">
        <v>0</v>
      </c>
      <c r="P34" s="236" t="b">
        <v>0</v>
      </c>
      <c r="Q34" s="236" t="b">
        <v>0</v>
      </c>
      <c r="R34" s="236" t="b">
        <v>0</v>
      </c>
      <c r="S34" s="236" t="b">
        <v>0</v>
      </c>
      <c r="T34" s="236" t="b">
        <v>1</v>
      </c>
      <c r="U34" s="236" t="b">
        <v>0</v>
      </c>
      <c r="V34" s="256" t="str" cm="1">
        <f t="array" ref="V34">IF(SUMPRODUCT((Cert_Matrix!$A$12:$A$21=E34)*(Cert_Matrix!$L$12:$W$21="X")*(H34:S34=TRUE))&lt;SUMPRODUCT((Cert_Matrix!$A$12:$A$21=E34)*(Cert_Matrix!$L$12:$W$21="X")),"Thiếu chứng nhận","Đủ điều kiện")</f>
        <v>Đủ điều kiện</v>
      </c>
      <c r="W34" s="287"/>
      <c r="X34" s="290"/>
      <c r="Y34" s="257" t="str">
        <f>VLOOKUP(B34,'HC Golf'!C:G,5,0)</f>
        <v>S2</v>
      </c>
    </row>
    <row r="35" spans="1:25">
      <c r="A35" s="256">
        <f>ROWS($B$5:B33)</f>
        <v>29</v>
      </c>
      <c r="B35" s="256" t="s">
        <v>1308</v>
      </c>
      <c r="C35" s="256" t="s">
        <v>900</v>
      </c>
      <c r="D35" s="256" t="s">
        <v>1309</v>
      </c>
      <c r="E35" s="256" t="s">
        <v>1150</v>
      </c>
      <c r="F35" s="256" t="s">
        <v>420</v>
      </c>
      <c r="G35" s="290"/>
      <c r="H35" s="236" t="b">
        <v>1</v>
      </c>
      <c r="I35" s="236" t="b">
        <v>1</v>
      </c>
      <c r="J35" s="236" t="b">
        <v>0</v>
      </c>
      <c r="K35" s="236" t="b">
        <v>0</v>
      </c>
      <c r="L35" s="236" t="b">
        <v>1</v>
      </c>
      <c r="M35" s="236" t="b">
        <v>1</v>
      </c>
      <c r="N35" s="236" t="b">
        <v>0</v>
      </c>
      <c r="O35" s="236" t="b">
        <v>1</v>
      </c>
      <c r="P35" s="236" t="b">
        <v>0</v>
      </c>
      <c r="Q35" s="236" t="b">
        <v>0</v>
      </c>
      <c r="R35" s="236" t="b">
        <v>0</v>
      </c>
      <c r="S35" s="236" t="b">
        <v>0</v>
      </c>
      <c r="T35" s="236" t="b">
        <v>1</v>
      </c>
      <c r="U35" s="236" t="b">
        <v>0</v>
      </c>
      <c r="V35" s="256" t="str" cm="1">
        <f t="array" ref="V35">IF(SUMPRODUCT((Cert_Matrix!$A$12:$A$21=E35)*(Cert_Matrix!$L$12:$W$21="X")*(H35:S35=TRUE))&lt;SUMPRODUCT((Cert_Matrix!$A$12:$A$21=E35)*(Cert_Matrix!$L$12:$W$21="X")),"Thiếu chứng nhận","Đủ điều kiện")</f>
        <v>Đủ điều kiện</v>
      </c>
      <c r="W35" s="287"/>
      <c r="X35" s="290"/>
      <c r="Y35" s="257" t="str">
        <f>VLOOKUP(B35,'HC Golf'!C:G,5,0)</f>
        <v>S2</v>
      </c>
    </row>
    <row r="36" spans="1:25">
      <c r="A36" s="256">
        <f>ROWS($B$5:B34)</f>
        <v>30</v>
      </c>
      <c r="B36" s="256" t="s">
        <v>1310</v>
      </c>
      <c r="C36" s="256" t="s">
        <v>687</v>
      </c>
      <c r="D36" s="256" t="s">
        <v>1296</v>
      </c>
      <c r="E36" s="256" t="s">
        <v>1148</v>
      </c>
      <c r="F36" s="256" t="s">
        <v>420</v>
      </c>
      <c r="G36" s="290">
        <v>46131</v>
      </c>
      <c r="H36" s="236" t="b">
        <v>1</v>
      </c>
      <c r="I36" s="236" t="b">
        <v>1</v>
      </c>
      <c r="J36" s="236" t="b">
        <v>1</v>
      </c>
      <c r="K36" s="236" t="b">
        <v>0</v>
      </c>
      <c r="L36" s="236" t="b">
        <v>0</v>
      </c>
      <c r="M36" s="236" t="b">
        <v>0</v>
      </c>
      <c r="N36" s="236" t="b">
        <v>0</v>
      </c>
      <c r="O36" s="236" t="b">
        <v>0</v>
      </c>
      <c r="P36" s="236" t="b">
        <v>0</v>
      </c>
      <c r="Q36" s="236" t="b">
        <v>0</v>
      </c>
      <c r="R36" s="236" t="b">
        <v>0</v>
      </c>
      <c r="S36" s="236" t="b">
        <v>0</v>
      </c>
      <c r="T36" s="236" t="b">
        <v>1</v>
      </c>
      <c r="U36" s="236" t="b">
        <v>0</v>
      </c>
      <c r="V36" s="256" t="str" cm="1">
        <f t="array" ref="V36">IF(SUMPRODUCT((Cert_Matrix!$A$12:$A$21=E36)*(Cert_Matrix!$L$12:$W$21="X")*(H36:S36=TRUE))&lt;SUMPRODUCT((Cert_Matrix!$A$12:$A$21=E36)*(Cert_Matrix!$L$12:$W$21="X")),"Thiếu chứng nhận","Đủ điều kiện")</f>
        <v>Đủ điều kiện</v>
      </c>
      <c r="W36" s="287"/>
      <c r="X36" s="290"/>
      <c r="Y36" s="257" t="str">
        <f>VLOOKUP(B36,'HC Golf'!C:G,5,0)</f>
        <v>S2</v>
      </c>
    </row>
    <row r="37" spans="1:25">
      <c r="A37" s="256">
        <f>ROWS($B$5:B35)</f>
        <v>31</v>
      </c>
      <c r="B37" s="256" t="s">
        <v>1311</v>
      </c>
      <c r="C37" s="256" t="s">
        <v>755</v>
      </c>
      <c r="D37" s="256" t="s">
        <v>1296</v>
      </c>
      <c r="E37" s="256" t="s">
        <v>1148</v>
      </c>
      <c r="F37" s="256" t="s">
        <v>420</v>
      </c>
      <c r="G37" s="290"/>
      <c r="H37" s="236" t="b">
        <v>1</v>
      </c>
      <c r="I37" s="236" t="b">
        <v>1</v>
      </c>
      <c r="J37" s="236" t="b">
        <v>1</v>
      </c>
      <c r="K37" s="236" t="b">
        <v>0</v>
      </c>
      <c r="L37" s="236" t="b">
        <v>0</v>
      </c>
      <c r="M37" s="236" t="b">
        <v>0</v>
      </c>
      <c r="N37" s="236" t="b">
        <v>0</v>
      </c>
      <c r="O37" s="236" t="b">
        <v>0</v>
      </c>
      <c r="P37" s="236" t="b">
        <v>0</v>
      </c>
      <c r="Q37" s="236" t="b">
        <v>0</v>
      </c>
      <c r="R37" s="236" t="b">
        <v>0</v>
      </c>
      <c r="S37" s="236" t="b">
        <v>0</v>
      </c>
      <c r="T37" s="236" t="b">
        <v>1</v>
      </c>
      <c r="U37" s="236" t="b">
        <v>0</v>
      </c>
      <c r="V37" s="256" t="str" cm="1">
        <f t="array" ref="V37">IF(SUMPRODUCT((Cert_Matrix!$A$12:$A$21=E37)*(Cert_Matrix!$L$12:$W$21="X")*(H37:S37=TRUE))&lt;SUMPRODUCT((Cert_Matrix!$A$12:$A$21=E37)*(Cert_Matrix!$L$12:$W$21="X")),"Thiếu chứng nhận","Đủ điều kiện")</f>
        <v>Đủ điều kiện</v>
      </c>
      <c r="W37" s="287"/>
      <c r="X37" s="290"/>
      <c r="Y37" s="257" t="str">
        <f>VLOOKUP(B37,'HC Golf'!C:G,5,0)</f>
        <v>S2</v>
      </c>
    </row>
    <row r="38" spans="1:25">
      <c r="A38" s="256">
        <f>ROWS($B$5:B36)</f>
        <v>32</v>
      </c>
      <c r="B38" s="256" t="s">
        <v>1312</v>
      </c>
      <c r="C38" s="256" t="s">
        <v>544</v>
      </c>
      <c r="D38" s="256" t="s">
        <v>1225</v>
      </c>
      <c r="E38" s="256" t="s">
        <v>1148</v>
      </c>
      <c r="F38" s="256" t="s">
        <v>420</v>
      </c>
      <c r="G38" s="290">
        <v>46131</v>
      </c>
      <c r="H38" s="236" t="b">
        <v>1</v>
      </c>
      <c r="I38" s="236" t="b">
        <v>1</v>
      </c>
      <c r="J38" s="236" t="b">
        <v>1</v>
      </c>
      <c r="K38" s="236" t="b">
        <v>0</v>
      </c>
      <c r="L38" s="236" t="b">
        <v>0</v>
      </c>
      <c r="M38" s="236" t="b">
        <v>0</v>
      </c>
      <c r="N38" s="236" t="b">
        <v>0</v>
      </c>
      <c r="O38" s="236" t="b">
        <v>0</v>
      </c>
      <c r="P38" s="236" t="b">
        <v>0</v>
      </c>
      <c r="Q38" s="236" t="b">
        <v>0</v>
      </c>
      <c r="R38" s="236" t="b">
        <v>0</v>
      </c>
      <c r="S38" s="236" t="b">
        <v>0</v>
      </c>
      <c r="T38" s="236" t="b">
        <v>1</v>
      </c>
      <c r="U38" s="236" t="b">
        <v>0</v>
      </c>
      <c r="V38" s="256" t="str" cm="1">
        <f t="array" ref="V38">IF(SUMPRODUCT((Cert_Matrix!$A$12:$A$21=E38)*(Cert_Matrix!$L$12:$W$21="X")*(H38:S38=TRUE))&lt;SUMPRODUCT((Cert_Matrix!$A$12:$A$21=E38)*(Cert_Matrix!$L$12:$W$21="X")),"Thiếu chứng nhận","Đủ điều kiện")</f>
        <v>Đủ điều kiện</v>
      </c>
      <c r="W38" s="287"/>
      <c r="X38" s="290"/>
      <c r="Y38" s="257" t="str">
        <f>VLOOKUP(B38,'HC Golf'!C:G,5,0)</f>
        <v>S2</v>
      </c>
    </row>
    <row r="39" spans="1:25">
      <c r="A39" s="256">
        <f>ROWS($B$5:B37)</f>
        <v>33</v>
      </c>
      <c r="B39" s="256" t="s">
        <v>1313</v>
      </c>
      <c r="C39" s="256" t="s">
        <v>547</v>
      </c>
      <c r="D39" s="256" t="s">
        <v>1225</v>
      </c>
      <c r="E39" s="256" t="s">
        <v>1150</v>
      </c>
      <c r="F39" s="256" t="s">
        <v>420</v>
      </c>
      <c r="G39" s="290">
        <v>46131</v>
      </c>
      <c r="H39" s="236" t="b">
        <v>0</v>
      </c>
      <c r="I39" s="236" t="b">
        <v>0</v>
      </c>
      <c r="J39" s="236" t="b">
        <v>0</v>
      </c>
      <c r="K39" s="236" t="b">
        <v>0</v>
      </c>
      <c r="L39" s="236" t="b">
        <v>1</v>
      </c>
      <c r="M39" s="236" t="b">
        <v>1</v>
      </c>
      <c r="N39" s="236" t="b">
        <v>0</v>
      </c>
      <c r="O39" s="236" t="b">
        <v>1</v>
      </c>
      <c r="P39" s="236" t="b">
        <v>0</v>
      </c>
      <c r="Q39" s="236" t="b">
        <v>1</v>
      </c>
      <c r="R39" s="236" t="b">
        <v>0</v>
      </c>
      <c r="S39" s="236" t="b">
        <v>0</v>
      </c>
      <c r="T39" s="236" t="b">
        <v>1</v>
      </c>
      <c r="U39" s="236" t="b">
        <v>0</v>
      </c>
      <c r="V39" s="256" t="str" cm="1">
        <f t="array" ref="V39">IF(SUMPRODUCT((Cert_Matrix!$A$12:$A$21=E39)*(Cert_Matrix!$L$12:$W$21="X")*(H39:S39=TRUE))&lt;SUMPRODUCT((Cert_Matrix!$A$12:$A$21=E39)*(Cert_Matrix!$L$12:$W$21="X")),"Thiếu chứng nhận","Đủ điều kiện")</f>
        <v>Đủ điều kiện</v>
      </c>
      <c r="W39" s="287"/>
      <c r="X39" s="290"/>
      <c r="Y39" s="257" t="str">
        <f>VLOOKUP(B39,'HC Golf'!C:G,5,0)</f>
        <v>S2</v>
      </c>
    </row>
    <row r="40" spans="1:25">
      <c r="A40" s="256">
        <f>ROWS($B$5:B38)</f>
        <v>34</v>
      </c>
      <c r="B40" s="256" t="s">
        <v>720</v>
      </c>
      <c r="C40" s="256" t="s">
        <v>721</v>
      </c>
      <c r="D40" s="256" t="s">
        <v>1225</v>
      </c>
      <c r="E40" s="256" t="s">
        <v>1147</v>
      </c>
      <c r="F40" s="256" t="s">
        <v>420</v>
      </c>
      <c r="G40" s="290">
        <v>46131</v>
      </c>
      <c r="H40" s="236" t="b">
        <v>1</v>
      </c>
      <c r="I40" s="236" t="b">
        <v>1</v>
      </c>
      <c r="J40" s="236" t="b">
        <v>1</v>
      </c>
      <c r="K40" s="236" t="b">
        <v>1</v>
      </c>
      <c r="L40" s="236" t="b">
        <v>0</v>
      </c>
      <c r="M40" s="236" t="b">
        <v>0</v>
      </c>
      <c r="N40" s="236" t="b">
        <v>0</v>
      </c>
      <c r="O40" s="236" t="b">
        <v>0</v>
      </c>
      <c r="P40" s="236" t="b">
        <v>0</v>
      </c>
      <c r="Q40" s="236" t="b">
        <v>0</v>
      </c>
      <c r="R40" s="236" t="b">
        <v>0</v>
      </c>
      <c r="S40" s="236" t="b">
        <v>1</v>
      </c>
      <c r="T40" s="236" t="b">
        <v>1</v>
      </c>
      <c r="U40" s="236" t="b">
        <v>0</v>
      </c>
      <c r="V40" s="256" t="str" cm="1">
        <f t="array" ref="V40">IF(SUMPRODUCT((Cert_Matrix!$A$12:$A$21=E40)*(Cert_Matrix!$L$12:$W$21="X")*(H40:S40=TRUE))&lt;SUMPRODUCT((Cert_Matrix!$A$12:$A$21=E40)*(Cert_Matrix!$L$12:$W$21="X")),"Thiếu chứng nhận","Đủ điều kiện")</f>
        <v>Đủ điều kiện</v>
      </c>
      <c r="W40" s="287"/>
      <c r="X40" s="290"/>
      <c r="Y40" s="257" t="str">
        <f>VLOOKUP(B40,'HC Golf'!C:G,5,0)</f>
        <v>S2</v>
      </c>
    </row>
    <row r="41" spans="1:25">
      <c r="A41" s="256">
        <f>ROWS($B$5:B39)</f>
        <v>35</v>
      </c>
      <c r="B41" s="256" t="s">
        <v>1314</v>
      </c>
      <c r="C41" s="256" t="s">
        <v>722</v>
      </c>
      <c r="D41" s="256" t="s">
        <v>1225</v>
      </c>
      <c r="E41" s="256" t="s">
        <v>1300</v>
      </c>
      <c r="F41" s="256" t="s">
        <v>420</v>
      </c>
      <c r="G41" s="290">
        <v>46003</v>
      </c>
      <c r="H41" s="236" t="b">
        <v>0</v>
      </c>
      <c r="I41" s="236" t="b">
        <v>0</v>
      </c>
      <c r="J41" s="236" t="b">
        <v>0</v>
      </c>
      <c r="K41" s="236" t="b">
        <v>0</v>
      </c>
      <c r="L41" s="236" t="b">
        <v>0</v>
      </c>
      <c r="M41" s="236" t="b">
        <v>0</v>
      </c>
      <c r="N41" s="236" t="b">
        <v>1</v>
      </c>
      <c r="O41" s="236" t="b">
        <v>1</v>
      </c>
      <c r="P41" s="236" t="b">
        <v>1</v>
      </c>
      <c r="Q41" s="236" t="b">
        <v>0</v>
      </c>
      <c r="R41" s="236" t="b">
        <v>0</v>
      </c>
      <c r="S41" s="236" t="b">
        <v>0</v>
      </c>
      <c r="T41" s="236" t="b">
        <v>1</v>
      </c>
      <c r="U41" s="236" t="b">
        <v>0</v>
      </c>
      <c r="V41" s="256" t="str" cm="1">
        <f t="array" ref="V41">IF(SUMPRODUCT((Cert_Matrix!$A$12:$A$21=E41)*(Cert_Matrix!$L$12:$W$21="X")*(H41:S41=TRUE))&lt;SUMPRODUCT((Cert_Matrix!$A$12:$A$21=E41)*(Cert_Matrix!$L$12:$W$21="X")),"Thiếu chứng nhận","Đủ điều kiện")</f>
        <v>Đủ điều kiện</v>
      </c>
      <c r="W41" s="287"/>
      <c r="X41" s="290"/>
      <c r="Y41" s="257" t="str">
        <f>VLOOKUP(B41,'HC Golf'!C:G,5,0)</f>
        <v>S2</v>
      </c>
    </row>
    <row r="42" spans="1:25">
      <c r="A42" s="256">
        <f>ROWS($B$5:B40)</f>
        <v>36</v>
      </c>
      <c r="B42" s="256" t="s">
        <v>1315</v>
      </c>
      <c r="C42" s="256" t="s">
        <v>1316</v>
      </c>
      <c r="D42" s="256" t="s">
        <v>1225</v>
      </c>
      <c r="E42" s="256" t="s">
        <v>1150</v>
      </c>
      <c r="F42" s="256" t="s">
        <v>420</v>
      </c>
      <c r="G42" s="290">
        <v>45892</v>
      </c>
      <c r="H42" s="236" t="b">
        <v>0</v>
      </c>
      <c r="I42" s="236" t="b">
        <v>0</v>
      </c>
      <c r="J42" s="236" t="b">
        <v>0</v>
      </c>
      <c r="K42" s="236" t="b">
        <v>0</v>
      </c>
      <c r="L42" s="236" t="b">
        <v>1</v>
      </c>
      <c r="M42" s="236" t="b">
        <v>0</v>
      </c>
      <c r="N42" s="236" t="b">
        <v>0</v>
      </c>
      <c r="O42" s="236" t="b">
        <v>0</v>
      </c>
      <c r="P42" s="236" t="b">
        <v>0</v>
      </c>
      <c r="Q42" s="236" t="b">
        <v>0</v>
      </c>
      <c r="R42" s="236" t="b">
        <v>0</v>
      </c>
      <c r="S42" s="236" t="b">
        <v>0</v>
      </c>
      <c r="T42" s="236" t="b">
        <v>1</v>
      </c>
      <c r="U42" s="236" t="b">
        <v>0</v>
      </c>
      <c r="V42" s="256" t="str" cm="1">
        <f t="array" ref="V42">IF(SUMPRODUCT((Cert_Matrix!$A$12:$A$21=E42)*(Cert_Matrix!$L$12:$W$21="X")*(H42:S42=TRUE))&lt;SUMPRODUCT((Cert_Matrix!$A$12:$A$21=E42)*(Cert_Matrix!$L$12:$W$21="X")),"Thiếu chứng nhận","Đủ điều kiện")</f>
        <v>Đủ điều kiện</v>
      </c>
      <c r="W42" s="287"/>
      <c r="X42" s="290"/>
      <c r="Y42" s="257" t="str">
        <f>VLOOKUP(B42,'HC Golf'!C:G,5,0)</f>
        <v>S2</v>
      </c>
    </row>
    <row r="43" spans="1:25">
      <c r="A43" s="256">
        <f>ROWS($B$5:B41)</f>
        <v>37</v>
      </c>
      <c r="B43" s="256" t="s">
        <v>1317</v>
      </c>
      <c r="C43" s="256" t="s">
        <v>1318</v>
      </c>
      <c r="D43" s="256" t="s">
        <v>1225</v>
      </c>
      <c r="E43" s="256" t="s">
        <v>1149</v>
      </c>
      <c r="F43" s="256" t="s">
        <v>420</v>
      </c>
      <c r="G43" s="290">
        <v>46131</v>
      </c>
      <c r="H43" s="236" t="b">
        <v>1</v>
      </c>
      <c r="I43" s="236" t="b">
        <v>1</v>
      </c>
      <c r="J43" s="236" t="b">
        <v>1</v>
      </c>
      <c r="K43" s="236" t="b">
        <v>0</v>
      </c>
      <c r="L43" s="236" t="b">
        <v>0</v>
      </c>
      <c r="M43" s="236" t="b">
        <v>0</v>
      </c>
      <c r="N43" s="236" t="b">
        <v>0</v>
      </c>
      <c r="O43" s="236" t="b">
        <v>0</v>
      </c>
      <c r="P43" s="236" t="b">
        <v>0</v>
      </c>
      <c r="Q43" s="236" t="b">
        <v>0</v>
      </c>
      <c r="R43" s="236" t="b">
        <v>0</v>
      </c>
      <c r="S43" s="236" t="b">
        <v>0</v>
      </c>
      <c r="T43" s="236" t="b">
        <v>1</v>
      </c>
      <c r="U43" s="236" t="b">
        <v>0</v>
      </c>
      <c r="V43" s="256" t="str" cm="1">
        <f t="array" ref="V43">IF(SUMPRODUCT((Cert_Matrix!$A$12:$A$21=E43)*(Cert_Matrix!$L$12:$W$21="X")*(H43:S43=TRUE))&lt;SUMPRODUCT((Cert_Matrix!$A$12:$A$21=E43)*(Cert_Matrix!$L$12:$W$21="X")),"Thiếu chứng nhận","Đủ điều kiện")</f>
        <v>Đủ điều kiện</v>
      </c>
      <c r="W43" s="287"/>
      <c r="X43" s="290"/>
      <c r="Y43" s="257" t="str">
        <f>VLOOKUP(B43,'HC Golf'!C:G,5,0)</f>
        <v>S2</v>
      </c>
    </row>
    <row r="44" spans="1:25">
      <c r="A44" s="256">
        <f>ROWS($B$5:B42)</f>
        <v>38</v>
      </c>
      <c r="B44" s="256" t="s">
        <v>1319</v>
      </c>
      <c r="C44" s="256" t="s">
        <v>1320</v>
      </c>
      <c r="D44" s="256" t="s">
        <v>1225</v>
      </c>
      <c r="E44" s="256" t="s">
        <v>1148</v>
      </c>
      <c r="F44" s="256" t="s">
        <v>420</v>
      </c>
      <c r="G44" s="290">
        <v>46131</v>
      </c>
      <c r="H44" s="236" t="b">
        <v>1</v>
      </c>
      <c r="I44" s="236" t="b">
        <v>1</v>
      </c>
      <c r="J44" s="236" t="b">
        <v>1</v>
      </c>
      <c r="K44" s="236" t="b">
        <v>0</v>
      </c>
      <c r="L44" s="236" t="b">
        <v>0</v>
      </c>
      <c r="M44" s="236" t="b">
        <v>0</v>
      </c>
      <c r="N44" s="236" t="b">
        <v>0</v>
      </c>
      <c r="O44" s="236" t="b">
        <v>0</v>
      </c>
      <c r="P44" s="236" t="b">
        <v>0</v>
      </c>
      <c r="Q44" s="236" t="b">
        <v>0</v>
      </c>
      <c r="R44" s="236" t="b">
        <v>0</v>
      </c>
      <c r="S44" s="236" t="b">
        <v>0</v>
      </c>
      <c r="T44" s="236" t="b">
        <v>1</v>
      </c>
      <c r="U44" s="236" t="b">
        <v>0</v>
      </c>
      <c r="V44" s="256" t="str" cm="1">
        <f t="array" ref="V44">IF(SUMPRODUCT((Cert_Matrix!$A$12:$A$21=E44)*(Cert_Matrix!$L$12:$W$21="X")*(H44:S44=TRUE))&lt;SUMPRODUCT((Cert_Matrix!$A$12:$A$21=E44)*(Cert_Matrix!$L$12:$W$21="X")),"Thiếu chứng nhận","Đủ điều kiện")</f>
        <v>Đủ điều kiện</v>
      </c>
      <c r="W44" s="287"/>
      <c r="X44" s="290"/>
      <c r="Y44" s="257" t="str">
        <f>VLOOKUP(B44,'HC Golf'!C:G,5,0)</f>
        <v>S2</v>
      </c>
    </row>
    <row r="45" spans="1:25">
      <c r="A45" s="256">
        <f>ROWS($B$5:B43)</f>
        <v>39</v>
      </c>
      <c r="B45" s="256" t="s">
        <v>1321</v>
      </c>
      <c r="C45" s="256" t="s">
        <v>1322</v>
      </c>
      <c r="D45" s="256" t="s">
        <v>1225</v>
      </c>
      <c r="E45" s="256" t="s">
        <v>1148</v>
      </c>
      <c r="F45" s="256" t="s">
        <v>420</v>
      </c>
      <c r="G45" s="290">
        <v>46131</v>
      </c>
      <c r="H45" s="236" t="b">
        <v>1</v>
      </c>
      <c r="I45" s="236" t="b">
        <v>1</v>
      </c>
      <c r="J45" s="236" t="b">
        <v>1</v>
      </c>
      <c r="K45" s="236" t="b">
        <v>0</v>
      </c>
      <c r="L45" s="236" t="b">
        <v>0</v>
      </c>
      <c r="M45" s="236" t="b">
        <v>0</v>
      </c>
      <c r="N45" s="236" t="b">
        <v>0</v>
      </c>
      <c r="O45" s="236" t="b">
        <v>0</v>
      </c>
      <c r="P45" s="236" t="b">
        <v>0</v>
      </c>
      <c r="Q45" s="236" t="b">
        <v>0</v>
      </c>
      <c r="R45" s="236" t="b">
        <v>0</v>
      </c>
      <c r="S45" s="236" t="b">
        <v>0</v>
      </c>
      <c r="T45" s="236" t="b">
        <v>1</v>
      </c>
      <c r="U45" s="236" t="b">
        <v>0</v>
      </c>
      <c r="V45" s="256" t="str" cm="1">
        <f t="array" ref="V45">IF(SUMPRODUCT((Cert_Matrix!$A$12:$A$21=E45)*(Cert_Matrix!$L$12:$W$21="X")*(H45:S45=TRUE))&lt;SUMPRODUCT((Cert_Matrix!$A$12:$A$21=E45)*(Cert_Matrix!$L$12:$W$21="X")),"Thiếu chứng nhận","Đủ điều kiện")</f>
        <v>Đủ điều kiện</v>
      </c>
      <c r="W45" s="287"/>
      <c r="X45" s="290"/>
      <c r="Y45" s="257" t="str">
        <f>VLOOKUP(B45,'HC Golf'!C:G,5,0)</f>
        <v>S2</v>
      </c>
    </row>
    <row r="46" spans="1:25">
      <c r="A46" s="256">
        <f>ROWS($B$5:B44)</f>
        <v>40</v>
      </c>
      <c r="B46" s="256" t="s">
        <v>1323</v>
      </c>
      <c r="C46" s="256" t="s">
        <v>1324</v>
      </c>
      <c r="D46" s="256" t="s">
        <v>1225</v>
      </c>
      <c r="E46" s="256" t="s">
        <v>1149</v>
      </c>
      <c r="F46" s="256" t="s">
        <v>420</v>
      </c>
      <c r="G46" s="290">
        <v>46131</v>
      </c>
      <c r="H46" s="236" t="b">
        <v>1</v>
      </c>
      <c r="I46" s="236" t="b">
        <v>1</v>
      </c>
      <c r="J46" s="236" t="b">
        <v>1</v>
      </c>
      <c r="K46" s="236" t="b">
        <v>0</v>
      </c>
      <c r="L46" s="236" t="b">
        <v>0</v>
      </c>
      <c r="M46" s="236" t="b">
        <v>0</v>
      </c>
      <c r="N46" s="236" t="b">
        <v>0</v>
      </c>
      <c r="O46" s="236" t="b">
        <v>0</v>
      </c>
      <c r="P46" s="236" t="b">
        <v>0</v>
      </c>
      <c r="Q46" s="236" t="b">
        <v>0</v>
      </c>
      <c r="R46" s="236" t="b">
        <v>0</v>
      </c>
      <c r="S46" s="236" t="b">
        <v>0</v>
      </c>
      <c r="T46" s="236" t="b">
        <v>1</v>
      </c>
      <c r="U46" s="236" t="b">
        <v>0</v>
      </c>
      <c r="V46" s="256" t="str" cm="1">
        <f t="array" ref="V46">IF(SUMPRODUCT((Cert_Matrix!$A$12:$A$21=E46)*(Cert_Matrix!$L$12:$W$21="X")*(H46:S46=TRUE))&lt;SUMPRODUCT((Cert_Matrix!$A$12:$A$21=E46)*(Cert_Matrix!$L$12:$W$21="X")),"Thiếu chứng nhận","Đủ điều kiện")</f>
        <v>Đủ điều kiện</v>
      </c>
      <c r="W46" s="287"/>
      <c r="X46" s="290"/>
      <c r="Y46" s="257" t="str">
        <f>VLOOKUP(B46,'HC Golf'!C:G,5,0)</f>
        <v>S2</v>
      </c>
    </row>
    <row r="47" spans="1:25">
      <c r="A47" s="256">
        <f>ROWS($B$5:B46)</f>
        <v>42</v>
      </c>
      <c r="B47" s="256" t="s">
        <v>1325</v>
      </c>
      <c r="C47" s="256" t="s">
        <v>1326</v>
      </c>
      <c r="D47" s="256" t="s">
        <v>1225</v>
      </c>
      <c r="E47" s="256" t="s">
        <v>1148</v>
      </c>
      <c r="F47" s="256" t="s">
        <v>420</v>
      </c>
      <c r="G47" s="290">
        <v>46131</v>
      </c>
      <c r="H47" s="236" t="b">
        <v>1</v>
      </c>
      <c r="I47" s="236" t="b">
        <v>1</v>
      </c>
      <c r="J47" s="236" t="b">
        <v>1</v>
      </c>
      <c r="K47" s="236" t="b">
        <v>0</v>
      </c>
      <c r="L47" s="236" t="b">
        <v>0</v>
      </c>
      <c r="M47" s="236" t="b">
        <v>0</v>
      </c>
      <c r="N47" s="236" t="b">
        <v>0</v>
      </c>
      <c r="O47" s="236" t="b">
        <v>0</v>
      </c>
      <c r="P47" s="236" t="b">
        <v>0</v>
      </c>
      <c r="Q47" s="236" t="b">
        <v>0</v>
      </c>
      <c r="R47" s="236" t="b">
        <v>0</v>
      </c>
      <c r="S47" s="236" t="b">
        <v>0</v>
      </c>
      <c r="T47" s="236" t="b">
        <v>1</v>
      </c>
      <c r="U47" s="236" t="b">
        <v>0</v>
      </c>
      <c r="V47" s="256" t="str" cm="1">
        <f t="array" ref="V47">IF(SUMPRODUCT((Cert_Matrix!$A$12:$A$21=E47)*(Cert_Matrix!$L$12:$W$21="X")*(H47:S47=TRUE))&lt;SUMPRODUCT((Cert_Matrix!$A$12:$A$21=E47)*(Cert_Matrix!$L$12:$W$21="X")),"Thiếu chứng nhận","Đủ điều kiện")</f>
        <v>Đủ điều kiện</v>
      </c>
      <c r="W47" s="287"/>
      <c r="X47" s="290"/>
      <c r="Y47" s="257" t="str">
        <f>VLOOKUP(B47,'HC Golf'!C:G,5,0)</f>
        <v>S2</v>
      </c>
    </row>
    <row r="48" spans="1:25">
      <c r="A48" s="256">
        <f>ROWS($B$5:B46)</f>
        <v>42</v>
      </c>
      <c r="B48" s="256" t="s">
        <v>1327</v>
      </c>
      <c r="C48" s="256" t="s">
        <v>1328</v>
      </c>
      <c r="D48" s="256" t="s">
        <v>1225</v>
      </c>
      <c r="E48" s="256" t="s">
        <v>1300</v>
      </c>
      <c r="F48" s="256" t="s">
        <v>420</v>
      </c>
      <c r="G48" s="290">
        <v>46089</v>
      </c>
      <c r="H48" s="236" t="b">
        <v>0</v>
      </c>
      <c r="I48" s="236" t="b">
        <v>1</v>
      </c>
      <c r="J48" s="236" t="b">
        <v>0</v>
      </c>
      <c r="K48" s="236" t="b">
        <v>0</v>
      </c>
      <c r="L48" s="236" t="b">
        <v>1</v>
      </c>
      <c r="M48" s="236" t="b">
        <v>1</v>
      </c>
      <c r="N48" s="236" t="b">
        <v>1</v>
      </c>
      <c r="O48" s="236" t="b">
        <v>1</v>
      </c>
      <c r="P48" s="236" t="b">
        <v>1</v>
      </c>
      <c r="Q48" s="236" t="b">
        <v>1</v>
      </c>
      <c r="R48" s="236" t="b">
        <v>1</v>
      </c>
      <c r="S48" s="236" t="b">
        <v>0</v>
      </c>
      <c r="T48" s="236" t="b">
        <v>1</v>
      </c>
      <c r="U48" s="236" t="b">
        <v>0</v>
      </c>
      <c r="V48" s="256" t="str" cm="1">
        <f t="array" ref="V48">IF(SUMPRODUCT((Cert_Matrix!$A$12:$A$21=E48)*(Cert_Matrix!$L$12:$W$21="X")*(H48:S48=TRUE))&lt;SUMPRODUCT((Cert_Matrix!$A$12:$A$21=E48)*(Cert_Matrix!$L$12:$W$21="X")),"Thiếu chứng nhận","Đủ điều kiện")</f>
        <v>Đủ điều kiện</v>
      </c>
      <c r="W48" s="287"/>
      <c r="X48" s="290"/>
      <c r="Y48" s="257" t="str">
        <f>VLOOKUP(B48,'HC Golf'!C:G,5,0)</f>
        <v>S2</v>
      </c>
    </row>
    <row r="49" spans="1:25">
      <c r="A49" s="256">
        <f>ROWS($B$5:B47)</f>
        <v>43</v>
      </c>
      <c r="B49" s="256" t="s">
        <v>1329</v>
      </c>
      <c r="C49" s="256" t="s">
        <v>1330</v>
      </c>
      <c r="D49" s="256" t="s">
        <v>1225</v>
      </c>
      <c r="E49" s="256" t="s">
        <v>1148</v>
      </c>
      <c r="F49" s="256" t="s">
        <v>420</v>
      </c>
      <c r="G49" s="290">
        <v>46090</v>
      </c>
      <c r="H49" s="236" t="b">
        <v>1</v>
      </c>
      <c r="I49" s="236" t="b">
        <v>1</v>
      </c>
      <c r="J49" s="236" t="b">
        <v>0</v>
      </c>
      <c r="K49" s="236" t="b">
        <v>0</v>
      </c>
      <c r="L49" s="236" t="b">
        <v>1</v>
      </c>
      <c r="M49" s="236" t="b">
        <v>1</v>
      </c>
      <c r="N49" s="236" t="b">
        <v>0</v>
      </c>
      <c r="O49" s="236" t="b">
        <v>1</v>
      </c>
      <c r="P49" s="236" t="b">
        <v>0</v>
      </c>
      <c r="Q49" s="236" t="b">
        <v>0</v>
      </c>
      <c r="R49" s="236" t="b">
        <v>0</v>
      </c>
      <c r="S49" s="236" t="b">
        <v>0</v>
      </c>
      <c r="T49" s="236" t="b">
        <v>1</v>
      </c>
      <c r="U49" s="236" t="b">
        <v>0</v>
      </c>
      <c r="V49" s="256" t="str" cm="1">
        <f t="array" ref="V49">IF(SUMPRODUCT((Cert_Matrix!$A$12:$A$21=E49)*(Cert_Matrix!$L$12:$W$21="X")*(H49:S49=TRUE))&lt;SUMPRODUCT((Cert_Matrix!$A$12:$A$21=E49)*(Cert_Matrix!$L$12:$W$21="X")),"Thiếu chứng nhận","Đủ điều kiện")</f>
        <v>Đủ điều kiện</v>
      </c>
      <c r="W49" s="287"/>
      <c r="X49" s="290"/>
      <c r="Y49" s="257" t="str">
        <f>VLOOKUP(B49,'HC Golf'!C:G,5,0)</f>
        <v>S2</v>
      </c>
    </row>
    <row r="50" spans="1:25">
      <c r="A50" s="256">
        <f>ROWS($B$5:B49)</f>
        <v>45</v>
      </c>
      <c r="B50" s="256" t="s">
        <v>1331</v>
      </c>
      <c r="C50" s="256" t="s">
        <v>1332</v>
      </c>
      <c r="D50" s="256" t="s">
        <v>1225</v>
      </c>
      <c r="E50" s="256" t="s">
        <v>1149</v>
      </c>
      <c r="F50" s="256" t="s">
        <v>420</v>
      </c>
      <c r="G50" s="290">
        <v>46130</v>
      </c>
      <c r="H50" s="236" t="b">
        <v>1</v>
      </c>
      <c r="I50" s="236" t="b">
        <v>1</v>
      </c>
      <c r="J50" s="236" t="b">
        <v>1</v>
      </c>
      <c r="K50" s="236" t="b">
        <v>0</v>
      </c>
      <c r="L50" s="236" t="b">
        <v>0</v>
      </c>
      <c r="M50" s="236" t="b">
        <v>0</v>
      </c>
      <c r="N50" s="236" t="b">
        <v>0</v>
      </c>
      <c r="O50" s="236" t="b">
        <v>0</v>
      </c>
      <c r="P50" s="236" t="b">
        <v>0</v>
      </c>
      <c r="Q50" s="236" t="b">
        <v>0</v>
      </c>
      <c r="R50" s="236" t="b">
        <v>0</v>
      </c>
      <c r="S50" s="236" t="b">
        <v>0</v>
      </c>
      <c r="T50" s="236" t="b">
        <v>1</v>
      </c>
      <c r="U50" s="236" t="b">
        <v>0</v>
      </c>
      <c r="V50" s="256" t="str" cm="1">
        <f t="array" ref="V50">IF(SUMPRODUCT((Cert_Matrix!$A$12:$A$21=E50)*(Cert_Matrix!$L$12:$W$21="X")*(H50:S50=TRUE))&lt;SUMPRODUCT((Cert_Matrix!$A$12:$A$21=E50)*(Cert_Matrix!$L$12:$W$21="X")),"Thiếu chứng nhận","Đủ điều kiện")</f>
        <v>Đủ điều kiện</v>
      </c>
      <c r="W50" s="287"/>
      <c r="X50" s="290"/>
      <c r="Y50" s="257" t="str">
        <f>VLOOKUP(B50,'HC Golf'!C:G,5,0)</f>
        <v>S2</v>
      </c>
    </row>
    <row r="51" spans="1:25">
      <c r="A51" s="256">
        <f>ROWS($B$5:B49)</f>
        <v>45</v>
      </c>
      <c r="B51" s="256" t="s">
        <v>1333</v>
      </c>
      <c r="C51" s="256" t="s">
        <v>1334</v>
      </c>
      <c r="D51" s="256" t="s">
        <v>1225</v>
      </c>
      <c r="E51" s="256" t="s">
        <v>1149</v>
      </c>
      <c r="F51" s="256" t="s">
        <v>420</v>
      </c>
      <c r="G51" s="290">
        <v>46130</v>
      </c>
      <c r="H51" s="236" t="b">
        <v>1</v>
      </c>
      <c r="I51" s="236" t="b">
        <v>1</v>
      </c>
      <c r="J51" s="236" t="b">
        <v>1</v>
      </c>
      <c r="K51" s="236" t="b">
        <v>0</v>
      </c>
      <c r="L51" s="236" t="b">
        <v>0</v>
      </c>
      <c r="M51" s="236" t="b">
        <v>0</v>
      </c>
      <c r="N51" s="236" t="b">
        <v>0</v>
      </c>
      <c r="O51" s="236" t="b">
        <v>0</v>
      </c>
      <c r="P51" s="236" t="b">
        <v>0</v>
      </c>
      <c r="Q51" s="236" t="b">
        <v>0</v>
      </c>
      <c r="R51" s="236" t="b">
        <v>0</v>
      </c>
      <c r="S51" s="236" t="b">
        <v>0</v>
      </c>
      <c r="T51" s="236" t="b">
        <v>1</v>
      </c>
      <c r="U51" s="236" t="b">
        <v>0</v>
      </c>
      <c r="V51" s="256" t="str" cm="1">
        <f t="array" ref="V51">IF(SUMPRODUCT((Cert_Matrix!$A$12:$A$21=E51)*(Cert_Matrix!$L$12:$W$21="X")*(H51:S51=TRUE))&lt;SUMPRODUCT((Cert_Matrix!$A$12:$A$21=E51)*(Cert_Matrix!$L$12:$W$21="X")),"Thiếu chứng nhận","Đủ điều kiện")</f>
        <v>Đủ điều kiện</v>
      </c>
      <c r="W51" s="287"/>
      <c r="X51" s="290"/>
      <c r="Y51" s="257" t="str">
        <f>VLOOKUP(B51,'HC Golf'!C:G,5,0)</f>
        <v>S2</v>
      </c>
    </row>
    <row r="52" spans="1:25">
      <c r="A52" s="256">
        <f>ROWS($B$5:B50)</f>
        <v>46</v>
      </c>
      <c r="B52" s="256" t="s">
        <v>489</v>
      </c>
      <c r="C52" s="256" t="s">
        <v>490</v>
      </c>
      <c r="D52" s="256" t="s">
        <v>1292</v>
      </c>
      <c r="E52" s="256"/>
      <c r="F52" s="256" t="s">
        <v>420</v>
      </c>
      <c r="G52" s="290"/>
      <c r="H52" s="236" t="b">
        <v>1</v>
      </c>
      <c r="I52" s="236" t="b">
        <v>1</v>
      </c>
      <c r="J52" s="236" t="b">
        <v>1</v>
      </c>
      <c r="K52" s="236" t="b">
        <v>1</v>
      </c>
      <c r="L52" s="236" t="b">
        <v>1</v>
      </c>
      <c r="M52" s="236" t="b">
        <v>1</v>
      </c>
      <c r="N52" s="236" t="b">
        <v>1</v>
      </c>
      <c r="O52" s="236" t="b">
        <v>1</v>
      </c>
      <c r="P52" s="236" t="b">
        <v>1</v>
      </c>
      <c r="Q52" s="236" t="b">
        <v>1</v>
      </c>
      <c r="R52" s="236" t="b">
        <v>1</v>
      </c>
      <c r="S52" s="236" t="b">
        <v>1</v>
      </c>
      <c r="T52" s="236" t="b">
        <v>1</v>
      </c>
      <c r="U52" s="236" t="b">
        <v>1</v>
      </c>
      <c r="V52" s="256" t="str" cm="1">
        <f t="array" ref="V52">IF(SUMPRODUCT((Cert_Matrix!$A$12:$A$21=E52)*(Cert_Matrix!$L$12:$W$21="X")*(H52:S52=TRUE))&lt;SUMPRODUCT((Cert_Matrix!$A$12:$A$21=E52)*(Cert_Matrix!$L$12:$W$21="X")),"Thiếu chứng nhận","Đủ điều kiện")</f>
        <v>Đủ điều kiện</v>
      </c>
      <c r="W52" s="287"/>
      <c r="X52" s="290"/>
      <c r="Y52" s="257" t="str">
        <f>VLOOKUP(B52,'HC Golf'!C:G,5,0)</f>
        <v>S3</v>
      </c>
    </row>
    <row r="53" spans="1:25">
      <c r="A53" s="256">
        <f>ROWS($B$5:B51)</f>
        <v>47</v>
      </c>
      <c r="B53" s="256" t="s">
        <v>435</v>
      </c>
      <c r="C53" s="256" t="s">
        <v>436</v>
      </c>
      <c r="D53" s="256" t="s">
        <v>1294</v>
      </c>
      <c r="E53" s="256" t="s">
        <v>1149</v>
      </c>
      <c r="F53" s="256" t="s">
        <v>420</v>
      </c>
      <c r="G53" s="290">
        <v>46058</v>
      </c>
      <c r="H53" s="236" t="b">
        <v>1</v>
      </c>
      <c r="I53" s="236" t="b">
        <v>1</v>
      </c>
      <c r="J53" s="236" t="b">
        <v>1</v>
      </c>
      <c r="K53" s="236" t="b">
        <v>0</v>
      </c>
      <c r="L53" s="236" t="b">
        <v>0</v>
      </c>
      <c r="M53" s="236" t="b">
        <v>0</v>
      </c>
      <c r="N53" s="236" t="b">
        <v>0</v>
      </c>
      <c r="O53" s="236" t="b">
        <v>0</v>
      </c>
      <c r="P53" s="236" t="b">
        <v>0</v>
      </c>
      <c r="Q53" s="236" t="b">
        <v>0</v>
      </c>
      <c r="R53" s="236" t="b">
        <v>0</v>
      </c>
      <c r="S53" s="236" t="b">
        <v>0</v>
      </c>
      <c r="T53" s="236" t="b">
        <v>1</v>
      </c>
      <c r="U53" s="236" t="b">
        <v>0</v>
      </c>
      <c r="V53" s="256" t="str" cm="1">
        <f t="array" ref="V53">IF(SUMPRODUCT((Cert_Matrix!$A$12:$A$21=E53)*(Cert_Matrix!$L$12:$W$21="X")*(H53:S53=TRUE))&lt;SUMPRODUCT((Cert_Matrix!$A$12:$A$21=E53)*(Cert_Matrix!$L$12:$W$21="X")),"Thiếu chứng nhận","Đủ điều kiện")</f>
        <v>Đủ điều kiện</v>
      </c>
      <c r="W53" s="287"/>
      <c r="X53" s="290"/>
      <c r="Y53" s="257" t="str">
        <f>VLOOKUP(B53,'HC Golf'!C:G,5,0)</f>
        <v>S3</v>
      </c>
    </row>
    <row r="54" spans="1:25">
      <c r="A54" s="256">
        <f>ROWS($B$5:B52)</f>
        <v>48</v>
      </c>
      <c r="B54" s="256" t="s">
        <v>439</v>
      </c>
      <c r="C54" s="256" t="s">
        <v>440</v>
      </c>
      <c r="D54" s="256" t="s">
        <v>1303</v>
      </c>
      <c r="E54" s="256" t="s">
        <v>1148</v>
      </c>
      <c r="F54" s="256" t="s">
        <v>420</v>
      </c>
      <c r="G54" s="290"/>
      <c r="H54" s="236" t="b">
        <v>1</v>
      </c>
      <c r="I54" s="236" t="b">
        <v>1</v>
      </c>
      <c r="J54" s="236" t="b">
        <v>1</v>
      </c>
      <c r="K54" s="236" t="b">
        <v>0</v>
      </c>
      <c r="L54" s="236" t="b">
        <v>0</v>
      </c>
      <c r="M54" s="236" t="b">
        <v>0</v>
      </c>
      <c r="N54" s="236" t="b">
        <v>0</v>
      </c>
      <c r="O54" s="236" t="b">
        <v>0</v>
      </c>
      <c r="P54" s="236" t="b">
        <v>0</v>
      </c>
      <c r="Q54" s="236" t="b">
        <v>0</v>
      </c>
      <c r="R54" s="236" t="b">
        <v>0</v>
      </c>
      <c r="S54" s="236" t="b">
        <v>0</v>
      </c>
      <c r="T54" s="236" t="b">
        <v>1</v>
      </c>
      <c r="U54" s="236" t="b">
        <v>1</v>
      </c>
      <c r="V54" s="256" t="str" cm="1">
        <f t="array" ref="V54">IF(SUMPRODUCT((Cert_Matrix!$A$12:$A$21=E54)*(Cert_Matrix!$L$12:$W$21="X")*(H54:S54=TRUE))&lt;SUMPRODUCT((Cert_Matrix!$A$12:$A$21=E54)*(Cert_Matrix!$L$12:$W$21="X")),"Thiếu chứng nhận","Đủ điều kiện")</f>
        <v>Đủ điều kiện</v>
      </c>
      <c r="W54" s="287"/>
      <c r="X54" s="290"/>
      <c r="Y54" s="257" t="str">
        <f>VLOOKUP(B54,'HC Golf'!C:G,5,0)</f>
        <v>S3</v>
      </c>
    </row>
    <row r="55" spans="1:25">
      <c r="A55" s="256">
        <f>ROWS($B$5:B53)</f>
        <v>49</v>
      </c>
      <c r="B55" s="256" t="s">
        <v>505</v>
      </c>
      <c r="C55" s="256" t="s">
        <v>506</v>
      </c>
      <c r="D55" s="256" t="s">
        <v>1295</v>
      </c>
      <c r="E55" s="256" t="s">
        <v>1300</v>
      </c>
      <c r="F55" s="256" t="s">
        <v>420</v>
      </c>
      <c r="G55" s="290"/>
      <c r="H55" s="236" t="b">
        <v>0</v>
      </c>
      <c r="I55" s="236" t="b">
        <v>0</v>
      </c>
      <c r="J55" s="236" t="b">
        <v>0</v>
      </c>
      <c r="K55" s="236" t="b">
        <v>0</v>
      </c>
      <c r="L55" s="236" t="b">
        <v>0</v>
      </c>
      <c r="M55" s="236" t="b">
        <v>0</v>
      </c>
      <c r="N55" s="236" t="b">
        <v>0</v>
      </c>
      <c r="O55" s="236" t="b">
        <v>0</v>
      </c>
      <c r="P55" s="236" t="b">
        <v>0</v>
      </c>
      <c r="Q55" s="236" t="b">
        <v>0</v>
      </c>
      <c r="R55" s="236" t="b">
        <v>0</v>
      </c>
      <c r="S55" s="236" t="b">
        <v>0</v>
      </c>
      <c r="T55" s="236" t="b">
        <v>0</v>
      </c>
      <c r="U55" s="236" t="b">
        <v>0</v>
      </c>
      <c r="V55" s="256" t="str" cm="1">
        <f t="array" ref="V55">IF(SUMPRODUCT((Cert_Matrix!$A$12:$A$21=E55)*(Cert_Matrix!$L$12:$W$21="X")*(H55:S55=TRUE))&lt;SUMPRODUCT((Cert_Matrix!$A$12:$A$21=E55)*(Cert_Matrix!$L$12:$W$21="X")),"Thiếu chứng nhận","Đủ điều kiện")</f>
        <v>Đủ điều kiện</v>
      </c>
      <c r="W55" s="287"/>
      <c r="X55" s="290"/>
      <c r="Y55" s="257" t="str">
        <f>VLOOKUP(B55,'HC Golf'!C:G,5,0)</f>
        <v>S3</v>
      </c>
    </row>
    <row r="56" spans="1:25">
      <c r="A56" s="256">
        <f>ROWS($B$5:B54)</f>
        <v>50</v>
      </c>
      <c r="B56" s="256" t="s">
        <v>556</v>
      </c>
      <c r="C56" s="256" t="s">
        <v>557</v>
      </c>
      <c r="D56" s="256" t="s">
        <v>1297</v>
      </c>
      <c r="E56" s="256" t="s">
        <v>1148</v>
      </c>
      <c r="F56" s="256" t="s">
        <v>420</v>
      </c>
      <c r="G56" s="290"/>
      <c r="H56" s="236" t="b">
        <v>1</v>
      </c>
      <c r="I56" s="236" t="b">
        <v>1</v>
      </c>
      <c r="J56" s="236" t="b">
        <v>1</v>
      </c>
      <c r="K56" s="236" t="b">
        <v>1</v>
      </c>
      <c r="L56" s="236" t="b">
        <v>1</v>
      </c>
      <c r="M56" s="236" t="b">
        <v>1</v>
      </c>
      <c r="N56" s="236" t="b">
        <v>1</v>
      </c>
      <c r="O56" s="236" t="b">
        <v>1</v>
      </c>
      <c r="P56" s="236" t="b">
        <v>1</v>
      </c>
      <c r="Q56" s="236" t="b">
        <v>1</v>
      </c>
      <c r="R56" s="236" t="b">
        <v>1</v>
      </c>
      <c r="S56" s="236" t="b">
        <v>1</v>
      </c>
      <c r="T56" s="236" t="b">
        <v>1</v>
      </c>
      <c r="U56" s="236" t="b">
        <v>1</v>
      </c>
      <c r="V56" s="256" t="str" cm="1">
        <f t="array" ref="V56">IF(SUMPRODUCT((Cert_Matrix!$A$12:$A$21=E56)*(Cert_Matrix!$L$12:$W$21="X")*(H56:S56=TRUE))&lt;SUMPRODUCT((Cert_Matrix!$A$12:$A$21=E56)*(Cert_Matrix!$L$12:$W$21="X")),"Thiếu chứng nhận","Đủ điều kiện")</f>
        <v>Đủ điều kiện</v>
      </c>
      <c r="W56" s="287"/>
      <c r="X56" s="290"/>
      <c r="Y56" s="257" t="str">
        <f>VLOOKUP(B56,'HC Golf'!C:G,5,0)</f>
        <v>S3</v>
      </c>
    </row>
    <row r="57" spans="1:25">
      <c r="A57" s="256">
        <f>ROWS($B$5:B55)</f>
        <v>51</v>
      </c>
      <c r="B57" s="256" t="s">
        <v>573</v>
      </c>
      <c r="C57" s="256" t="s">
        <v>450</v>
      </c>
      <c r="D57" s="256" t="s">
        <v>1293</v>
      </c>
      <c r="E57" s="256" t="s">
        <v>1149</v>
      </c>
      <c r="F57" s="256" t="s">
        <v>420</v>
      </c>
      <c r="G57" s="290"/>
      <c r="H57" s="236" t="b">
        <v>1</v>
      </c>
      <c r="I57" s="236" t="b">
        <v>1</v>
      </c>
      <c r="J57" s="236" t="b">
        <v>1</v>
      </c>
      <c r="K57" s="236" t="b">
        <v>1</v>
      </c>
      <c r="L57" s="236" t="b">
        <v>0</v>
      </c>
      <c r="M57" s="236" t="b">
        <v>0</v>
      </c>
      <c r="N57" s="236" t="b">
        <v>0</v>
      </c>
      <c r="O57" s="236" t="b">
        <v>0</v>
      </c>
      <c r="P57" s="236" t="b">
        <v>0</v>
      </c>
      <c r="Q57" s="236" t="b">
        <v>0</v>
      </c>
      <c r="R57" s="236" t="b">
        <v>0</v>
      </c>
      <c r="S57" s="236" t="b">
        <v>0</v>
      </c>
      <c r="T57" s="236" t="b">
        <v>1</v>
      </c>
      <c r="U57" s="236" t="b">
        <v>1</v>
      </c>
      <c r="V57" s="256" t="str" cm="1">
        <f t="array" ref="V57">IF(SUMPRODUCT((Cert_Matrix!$A$12:$A$21=E57)*(Cert_Matrix!$L$12:$W$21="X")*(H57:S57=TRUE))&lt;SUMPRODUCT((Cert_Matrix!$A$12:$A$21=E57)*(Cert_Matrix!$L$12:$W$21="X")),"Thiếu chứng nhận","Đủ điều kiện")</f>
        <v>Đủ điều kiện</v>
      </c>
      <c r="W57" s="287"/>
      <c r="X57" s="290"/>
      <c r="Y57" s="257" t="str">
        <f>VLOOKUP(B57,'HC Golf'!C:G,5,0)</f>
        <v>S3</v>
      </c>
    </row>
    <row r="58" spans="1:25">
      <c r="A58" s="256">
        <f>ROWS($B$5:B56)</f>
        <v>52</v>
      </c>
      <c r="B58" s="256" t="s">
        <v>427</v>
      </c>
      <c r="C58" s="256" t="s">
        <v>428</v>
      </c>
      <c r="D58" s="256" t="s">
        <v>1294</v>
      </c>
      <c r="E58" s="256" t="s">
        <v>1149</v>
      </c>
      <c r="F58" s="256" t="s">
        <v>420</v>
      </c>
      <c r="G58" s="290"/>
      <c r="H58" s="236" t="b">
        <v>1</v>
      </c>
      <c r="I58" s="236" t="b">
        <v>1</v>
      </c>
      <c r="J58" s="236" t="b">
        <v>1</v>
      </c>
      <c r="K58" s="236" t="b">
        <v>0</v>
      </c>
      <c r="L58" s="236" t="b">
        <v>0</v>
      </c>
      <c r="M58" s="236" t="b">
        <v>0</v>
      </c>
      <c r="N58" s="236" t="b">
        <v>0</v>
      </c>
      <c r="O58" s="236" t="b">
        <v>0</v>
      </c>
      <c r="P58" s="236" t="b">
        <v>0</v>
      </c>
      <c r="Q58" s="236" t="b">
        <v>0</v>
      </c>
      <c r="R58" s="236" t="b">
        <v>0</v>
      </c>
      <c r="S58" s="236" t="b">
        <v>0</v>
      </c>
      <c r="T58" s="236" t="b">
        <v>1</v>
      </c>
      <c r="U58" s="236" t="b">
        <v>0</v>
      </c>
      <c r="V58" s="256" t="str" cm="1">
        <f t="array" ref="V58">IF(SUMPRODUCT((Cert_Matrix!$A$12:$A$21=E58)*(Cert_Matrix!$L$12:$W$21="X")*(H58:S58=TRUE))&lt;SUMPRODUCT((Cert_Matrix!$A$12:$A$21=E58)*(Cert_Matrix!$L$12:$W$21="X")),"Thiếu chứng nhận","Đủ điều kiện")</f>
        <v>Đủ điều kiện</v>
      </c>
      <c r="W58" s="287"/>
      <c r="X58" s="290"/>
      <c r="Y58" s="257" t="str">
        <f>VLOOKUP(B58,'HC Golf'!C:G,5,0)</f>
        <v>S3</v>
      </c>
    </row>
    <row r="59" spans="1:25">
      <c r="A59" s="256">
        <f>ROWS($B$5:B57)</f>
        <v>53</v>
      </c>
      <c r="B59" s="256" t="s">
        <v>469</v>
      </c>
      <c r="C59" s="256" t="s">
        <v>470</v>
      </c>
      <c r="D59" s="256" t="s">
        <v>1298</v>
      </c>
      <c r="E59" s="256" t="s">
        <v>1147</v>
      </c>
      <c r="F59" s="256" t="s">
        <v>420</v>
      </c>
      <c r="G59" s="290"/>
      <c r="H59" s="236" t="b">
        <v>0</v>
      </c>
      <c r="I59" s="236" t="b">
        <v>1</v>
      </c>
      <c r="J59" s="236" t="b">
        <v>1</v>
      </c>
      <c r="K59" s="236" t="b">
        <v>1</v>
      </c>
      <c r="L59" s="236" t="b">
        <v>0</v>
      </c>
      <c r="M59" s="236" t="b">
        <v>0</v>
      </c>
      <c r="N59" s="236" t="b">
        <v>0</v>
      </c>
      <c r="O59" s="236" t="b">
        <v>0</v>
      </c>
      <c r="P59" s="236" t="b">
        <v>0</v>
      </c>
      <c r="Q59" s="236" t="b">
        <v>0</v>
      </c>
      <c r="R59" s="236" t="b">
        <v>0</v>
      </c>
      <c r="S59" s="236" t="b">
        <v>0</v>
      </c>
      <c r="T59" s="236" t="b">
        <v>1</v>
      </c>
      <c r="U59" s="236" t="b">
        <v>0</v>
      </c>
      <c r="V59" s="256" t="str" cm="1">
        <f t="array" ref="V59">IF(SUMPRODUCT((Cert_Matrix!$A$12:$A$21=E59)*(Cert_Matrix!$L$12:$W$21="X")*(H59:S59=TRUE))&lt;SUMPRODUCT((Cert_Matrix!$A$12:$A$21=E59)*(Cert_Matrix!$L$12:$W$21="X")),"Thiếu chứng nhận","Đủ điều kiện")</f>
        <v>Đủ điều kiện</v>
      </c>
      <c r="W59" s="287"/>
      <c r="X59" s="290"/>
      <c r="Y59" s="257" t="str">
        <f>VLOOKUP(B59,'HC Golf'!C:G,5,0)</f>
        <v>S3</v>
      </c>
    </row>
    <row r="60" spans="1:25">
      <c r="A60" s="256">
        <f>ROWS($B$5:B58)</f>
        <v>54</v>
      </c>
      <c r="B60" s="256" t="s">
        <v>418</v>
      </c>
      <c r="C60" s="256" t="s">
        <v>419</v>
      </c>
      <c r="D60" s="256" t="s">
        <v>1301</v>
      </c>
      <c r="E60" s="256" t="s">
        <v>1155</v>
      </c>
      <c r="F60" s="256" t="s">
        <v>420</v>
      </c>
      <c r="G60" s="290"/>
      <c r="H60" s="236" t="b">
        <v>0</v>
      </c>
      <c r="I60" s="236" t="b">
        <v>0</v>
      </c>
      <c r="J60" s="236" t="b">
        <v>0</v>
      </c>
      <c r="K60" s="236" t="b">
        <v>0</v>
      </c>
      <c r="L60" s="236" t="b">
        <v>0</v>
      </c>
      <c r="M60" s="236" t="b">
        <v>0</v>
      </c>
      <c r="N60" s="236" t="b">
        <v>1</v>
      </c>
      <c r="O60" s="236" t="b">
        <v>1</v>
      </c>
      <c r="P60" s="236" t="b">
        <v>1</v>
      </c>
      <c r="Q60" s="236" t="b">
        <v>1</v>
      </c>
      <c r="R60" s="236" t="b">
        <v>1</v>
      </c>
      <c r="S60" s="236" t="b">
        <v>0</v>
      </c>
      <c r="T60" s="236" t="b">
        <v>1</v>
      </c>
      <c r="U60" s="236" t="b">
        <v>1</v>
      </c>
      <c r="V60" s="256" t="str" cm="1">
        <f t="array" ref="V60">IF(SUMPRODUCT((Cert_Matrix!$A$12:$A$21=E60)*(Cert_Matrix!$L$12:$W$21="X")*(H60:S60=TRUE))&lt;SUMPRODUCT((Cert_Matrix!$A$12:$A$21=E60)*(Cert_Matrix!$L$12:$W$21="X")),"Thiếu chứng nhận","Đủ điều kiện")</f>
        <v>Đủ điều kiện</v>
      </c>
      <c r="W60" s="287"/>
      <c r="X60" s="290"/>
      <c r="Y60" s="257" t="str">
        <f>VLOOKUP(B60,'HC Golf'!C:G,5,0)</f>
        <v>S3</v>
      </c>
    </row>
    <row r="61" spans="1:25">
      <c r="A61" s="256">
        <f>ROWS($B$5:B59)</f>
        <v>55</v>
      </c>
      <c r="B61" s="256" t="s">
        <v>429</v>
      </c>
      <c r="C61" s="256" t="s">
        <v>430</v>
      </c>
      <c r="D61" s="256" t="s">
        <v>1294</v>
      </c>
      <c r="E61" s="256" t="s">
        <v>1149</v>
      </c>
      <c r="F61" s="256" t="s">
        <v>420</v>
      </c>
      <c r="G61" s="290">
        <v>46092</v>
      </c>
      <c r="H61" s="236" t="b">
        <v>1</v>
      </c>
      <c r="I61" s="236" t="b">
        <v>1</v>
      </c>
      <c r="J61" s="236" t="b">
        <v>1</v>
      </c>
      <c r="K61" s="236" t="b">
        <v>0</v>
      </c>
      <c r="L61" s="236" t="b">
        <v>0</v>
      </c>
      <c r="M61" s="236" t="b">
        <v>0</v>
      </c>
      <c r="N61" s="236" t="b">
        <v>0</v>
      </c>
      <c r="O61" s="236" t="b">
        <v>0</v>
      </c>
      <c r="P61" s="236" t="b">
        <v>0</v>
      </c>
      <c r="Q61" s="236" t="b">
        <v>0</v>
      </c>
      <c r="R61" s="236" t="b">
        <v>0</v>
      </c>
      <c r="S61" s="236" t="b">
        <v>0</v>
      </c>
      <c r="T61" s="236" t="b">
        <v>1</v>
      </c>
      <c r="U61" s="236" t="b">
        <v>1</v>
      </c>
      <c r="V61" s="256" t="str" cm="1">
        <f t="array" ref="V61">IF(SUMPRODUCT((Cert_Matrix!$A$12:$A$21=E61)*(Cert_Matrix!$L$12:$W$21="X")*(H61:S61=TRUE))&lt;SUMPRODUCT((Cert_Matrix!$A$12:$A$21=E61)*(Cert_Matrix!$L$12:$W$21="X")),"Thiếu chứng nhận","Đủ điều kiện")</f>
        <v>Đủ điều kiện</v>
      </c>
      <c r="W61" s="287"/>
      <c r="X61" s="290"/>
      <c r="Y61" s="257" t="str">
        <f>VLOOKUP(B61,'HC Golf'!C:G,5,0)</f>
        <v>S3</v>
      </c>
    </row>
    <row r="62" spans="1:25">
      <c r="A62" s="256">
        <f>ROWS($B$5:B60)</f>
        <v>56</v>
      </c>
      <c r="B62" s="256" t="s">
        <v>501</v>
      </c>
      <c r="C62" s="256" t="s">
        <v>502</v>
      </c>
      <c r="D62" s="256" t="s">
        <v>1302</v>
      </c>
      <c r="E62" s="256" t="s">
        <v>1150</v>
      </c>
      <c r="F62" s="256" t="s">
        <v>420</v>
      </c>
      <c r="G62" s="290"/>
      <c r="H62" s="236" t="b">
        <v>0</v>
      </c>
      <c r="I62" s="236" t="b">
        <v>0</v>
      </c>
      <c r="J62" s="236" t="b">
        <v>0</v>
      </c>
      <c r="K62" s="236" t="b">
        <v>0</v>
      </c>
      <c r="L62" s="236" t="b">
        <v>1</v>
      </c>
      <c r="M62" s="236" t="b">
        <v>1</v>
      </c>
      <c r="N62" s="236" t="b">
        <v>0</v>
      </c>
      <c r="O62" s="236" t="b">
        <v>0</v>
      </c>
      <c r="P62" s="236" t="b">
        <v>0</v>
      </c>
      <c r="Q62" s="236" t="b">
        <v>0</v>
      </c>
      <c r="R62" s="236" t="b">
        <v>0</v>
      </c>
      <c r="S62" s="236" t="b">
        <v>0</v>
      </c>
      <c r="T62" s="236" t="b">
        <v>0</v>
      </c>
      <c r="U62" s="236" t="b">
        <v>0</v>
      </c>
      <c r="V62" s="256" t="str" cm="1">
        <f t="array" ref="V62">IF(SUMPRODUCT((Cert_Matrix!$A$12:$A$21=E62)*(Cert_Matrix!$L$12:$W$21="X")*(H62:S62=TRUE))&lt;SUMPRODUCT((Cert_Matrix!$A$12:$A$21=E62)*(Cert_Matrix!$L$12:$W$21="X")),"Thiếu chứng nhận","Đủ điều kiện")</f>
        <v>Đủ điều kiện</v>
      </c>
      <c r="W62" s="287"/>
      <c r="X62" s="290"/>
      <c r="Y62" s="257" t="str">
        <f>VLOOKUP(B62,'HC Golf'!C:G,5,0)</f>
        <v>S3</v>
      </c>
    </row>
    <row r="63" spans="1:25">
      <c r="A63" s="256">
        <f>ROWS($B$5:B61)</f>
        <v>57</v>
      </c>
      <c r="B63" s="256" t="s">
        <v>433</v>
      </c>
      <c r="C63" s="256" t="s">
        <v>434</v>
      </c>
      <c r="D63" s="256" t="s">
        <v>1296</v>
      </c>
      <c r="E63" s="256" t="s">
        <v>1148</v>
      </c>
      <c r="F63" s="256" t="s">
        <v>420</v>
      </c>
      <c r="G63" s="290"/>
      <c r="H63" s="236" t="b">
        <v>0</v>
      </c>
      <c r="I63" s="236" t="b">
        <v>1</v>
      </c>
      <c r="J63" s="236" t="b">
        <v>1</v>
      </c>
      <c r="K63" s="236" t="b">
        <v>0</v>
      </c>
      <c r="L63" s="236" t="b">
        <v>0</v>
      </c>
      <c r="M63" s="236" t="b">
        <v>0</v>
      </c>
      <c r="N63" s="236" t="b">
        <v>0</v>
      </c>
      <c r="O63" s="236" t="b">
        <v>0</v>
      </c>
      <c r="P63" s="236" t="b">
        <v>0</v>
      </c>
      <c r="Q63" s="236" t="b">
        <v>0</v>
      </c>
      <c r="R63" s="236" t="b">
        <v>0</v>
      </c>
      <c r="S63" s="236" t="b">
        <v>0</v>
      </c>
      <c r="T63" s="236" t="b">
        <v>1</v>
      </c>
      <c r="U63" s="236" t="b">
        <v>0</v>
      </c>
      <c r="V63" s="256" t="str" cm="1">
        <f t="array" ref="V63">IF(SUMPRODUCT((Cert_Matrix!$A$12:$A$21=E63)*(Cert_Matrix!$L$12:$W$21="X")*(H63:S63=TRUE))&lt;SUMPRODUCT((Cert_Matrix!$A$12:$A$21=E63)*(Cert_Matrix!$L$12:$W$21="X")),"Thiếu chứng nhận","Đủ điều kiện")</f>
        <v>Đủ điều kiện</v>
      </c>
      <c r="W63" s="287"/>
      <c r="X63" s="290"/>
      <c r="Y63" s="257" t="str">
        <f>VLOOKUP(B63,'HC Golf'!C:G,5,0)</f>
        <v>S3</v>
      </c>
    </row>
    <row r="64" spans="1:25">
      <c r="A64" s="256">
        <f>ROWS($B$5:B62)</f>
        <v>58</v>
      </c>
      <c r="B64" s="256" t="s">
        <v>351</v>
      </c>
      <c r="C64" s="256" t="s">
        <v>352</v>
      </c>
      <c r="D64" s="256" t="s">
        <v>1294</v>
      </c>
      <c r="E64" s="256" t="s">
        <v>1148</v>
      </c>
      <c r="F64" s="256" t="s">
        <v>420</v>
      </c>
      <c r="G64" s="290"/>
      <c r="H64" s="236" t="b">
        <v>1</v>
      </c>
      <c r="I64" s="236" t="b">
        <v>1</v>
      </c>
      <c r="J64" s="236" t="b">
        <v>1</v>
      </c>
      <c r="K64" s="236" t="b">
        <v>0</v>
      </c>
      <c r="L64" s="236" t="b">
        <v>0</v>
      </c>
      <c r="M64" s="236" t="b">
        <v>0</v>
      </c>
      <c r="N64" s="236" t="b">
        <v>0</v>
      </c>
      <c r="O64" s="236" t="b">
        <v>0</v>
      </c>
      <c r="P64" s="236" t="b">
        <v>0</v>
      </c>
      <c r="Q64" s="236" t="b">
        <v>0</v>
      </c>
      <c r="R64" s="236" t="b">
        <v>0</v>
      </c>
      <c r="S64" s="236" t="b">
        <v>0</v>
      </c>
      <c r="T64" s="236" t="b">
        <v>1</v>
      </c>
      <c r="U64" s="236" t="b">
        <v>1</v>
      </c>
      <c r="V64" s="256" t="str" cm="1">
        <f t="array" ref="V64">IF(SUMPRODUCT((Cert_Matrix!$A$12:$A$21=E64)*(Cert_Matrix!$L$12:$W$21="X")*(H64:S64=TRUE))&lt;SUMPRODUCT((Cert_Matrix!$A$12:$A$21=E64)*(Cert_Matrix!$L$12:$W$21="X")),"Thiếu chứng nhận","Đủ điều kiện")</f>
        <v>Đủ điều kiện</v>
      </c>
      <c r="W64" s="287"/>
      <c r="X64" s="290"/>
      <c r="Y64" s="257" t="str">
        <f>VLOOKUP(B64,'HC Golf'!C:G,5,0)</f>
        <v>S3</v>
      </c>
    </row>
    <row r="65" spans="1:25">
      <c r="A65" s="256">
        <f>ROWS($B$5:B64)</f>
        <v>60</v>
      </c>
      <c r="B65" s="256" t="s">
        <v>523</v>
      </c>
      <c r="C65" s="256" t="s">
        <v>524</v>
      </c>
      <c r="D65" s="256" t="s">
        <v>1303</v>
      </c>
      <c r="E65" s="256" t="s">
        <v>1148</v>
      </c>
      <c r="F65" s="256" t="s">
        <v>420</v>
      </c>
      <c r="G65" s="290">
        <v>46126</v>
      </c>
      <c r="H65" s="236" t="b">
        <v>1</v>
      </c>
      <c r="I65" s="236" t="b">
        <v>1</v>
      </c>
      <c r="J65" s="236" t="b">
        <v>1</v>
      </c>
      <c r="K65" s="236" t="b">
        <v>0</v>
      </c>
      <c r="L65" s="236" t="b">
        <v>1</v>
      </c>
      <c r="M65" s="236" t="b">
        <v>0</v>
      </c>
      <c r="N65" s="236" t="b">
        <v>1</v>
      </c>
      <c r="O65" s="236" t="b">
        <v>1</v>
      </c>
      <c r="P65" s="236" t="b">
        <v>1</v>
      </c>
      <c r="Q65" s="236" t="b">
        <v>0</v>
      </c>
      <c r="R65" s="236" t="b">
        <v>0</v>
      </c>
      <c r="S65" s="236" t="b">
        <v>0</v>
      </c>
      <c r="T65" s="236" t="b">
        <v>1</v>
      </c>
      <c r="U65" s="236" t="b">
        <v>1</v>
      </c>
      <c r="V65" s="256" t="str" cm="1">
        <f t="array" ref="V65">IF(SUMPRODUCT((Cert_Matrix!$A$12:$A$21=E65)*(Cert_Matrix!$L$12:$W$21="X")*(H65:S65=TRUE))&lt;SUMPRODUCT((Cert_Matrix!$A$12:$A$21=E65)*(Cert_Matrix!$L$12:$W$21="X")),"Thiếu chứng nhận","Đủ điều kiện")</f>
        <v>Đủ điều kiện</v>
      </c>
      <c r="W65" s="287"/>
      <c r="X65" s="290"/>
      <c r="Y65" s="257" t="str">
        <f>VLOOKUP(B65,'HC Golf'!C:G,5,0)</f>
        <v>S3</v>
      </c>
    </row>
    <row r="66" spans="1:25">
      <c r="A66" s="256">
        <f>ROWS($B$5:B64)</f>
        <v>60</v>
      </c>
      <c r="B66" s="256" t="s">
        <v>289</v>
      </c>
      <c r="C66" s="256" t="s">
        <v>290</v>
      </c>
      <c r="D66" s="256" t="s">
        <v>1296</v>
      </c>
      <c r="E66" s="256" t="s">
        <v>1156</v>
      </c>
      <c r="F66" s="256" t="s">
        <v>420</v>
      </c>
      <c r="G66" s="290"/>
      <c r="H66" s="236" t="b">
        <v>0</v>
      </c>
      <c r="I66" s="236" t="b">
        <v>0</v>
      </c>
      <c r="J66" s="236" t="b">
        <v>0</v>
      </c>
      <c r="K66" s="236" t="b">
        <v>0</v>
      </c>
      <c r="L66" s="236" t="b">
        <v>0</v>
      </c>
      <c r="M66" s="236" t="b">
        <v>0</v>
      </c>
      <c r="N66" s="236" t="b">
        <v>0</v>
      </c>
      <c r="O66" s="236" t="b">
        <v>0</v>
      </c>
      <c r="P66" s="236" t="b">
        <v>0</v>
      </c>
      <c r="Q66" s="236" t="b">
        <v>0</v>
      </c>
      <c r="R66" s="236" t="b">
        <v>0</v>
      </c>
      <c r="S66" s="236" t="b">
        <v>1</v>
      </c>
      <c r="T66" s="236" t="b">
        <v>0</v>
      </c>
      <c r="U66" s="236" t="b">
        <v>0</v>
      </c>
      <c r="V66" s="256" t="str" cm="1">
        <f t="array" ref="V66">IF(SUMPRODUCT((Cert_Matrix!$A$12:$A$21=E66)*(Cert_Matrix!$L$12:$W$21="X")*(H66:S66=TRUE))&lt;SUMPRODUCT((Cert_Matrix!$A$12:$A$21=E66)*(Cert_Matrix!$L$12:$W$21="X")),"Thiếu chứng nhận","Đủ điều kiện")</f>
        <v>Đủ điều kiện</v>
      </c>
      <c r="W66" s="287"/>
      <c r="X66" s="290"/>
      <c r="Y66" s="257" t="str">
        <f>VLOOKUP(B66,'HC Golf'!C:G,5,0)</f>
        <v>S1</v>
      </c>
    </row>
    <row r="67" spans="1:25">
      <c r="A67" s="256">
        <f>ROWS($B$5:B65)</f>
        <v>61</v>
      </c>
      <c r="B67" s="256" t="s">
        <v>1335</v>
      </c>
      <c r="C67" s="256" t="s">
        <v>730</v>
      </c>
      <c r="D67" s="256" t="s">
        <v>1303</v>
      </c>
      <c r="E67" s="256" t="s">
        <v>1147</v>
      </c>
      <c r="F67" s="256" t="s">
        <v>420</v>
      </c>
      <c r="G67" s="290">
        <v>46126</v>
      </c>
      <c r="H67" s="236" t="b">
        <v>1</v>
      </c>
      <c r="I67" s="236" t="b">
        <v>1</v>
      </c>
      <c r="J67" s="236" t="b">
        <v>1</v>
      </c>
      <c r="K67" s="236" t="b">
        <v>1</v>
      </c>
      <c r="L67" s="236" t="b">
        <v>0</v>
      </c>
      <c r="M67" s="236" t="b">
        <v>0</v>
      </c>
      <c r="N67" s="236" t="b">
        <v>0</v>
      </c>
      <c r="O67" s="236" t="b">
        <v>0</v>
      </c>
      <c r="P67" s="236" t="b">
        <v>0</v>
      </c>
      <c r="Q67" s="236" t="b">
        <v>0</v>
      </c>
      <c r="R67" s="236" t="b">
        <v>0</v>
      </c>
      <c r="S67" s="236" t="b">
        <v>0</v>
      </c>
      <c r="T67" s="236" t="b">
        <v>1</v>
      </c>
      <c r="U67" s="236" t="b">
        <v>1</v>
      </c>
      <c r="V67" s="256" t="str" cm="1">
        <f t="array" ref="V67">IF(SUMPRODUCT((Cert_Matrix!$A$12:$A$21=E67)*(Cert_Matrix!$L$12:$W$21="X")*(H67:S67=TRUE))&lt;SUMPRODUCT((Cert_Matrix!$A$12:$A$21=E67)*(Cert_Matrix!$L$12:$W$21="X")),"Thiếu chứng nhận","Đủ điều kiện")</f>
        <v>Đủ điều kiện</v>
      </c>
      <c r="W67" s="287"/>
      <c r="X67" s="290"/>
      <c r="Y67" s="257" t="str">
        <f>VLOOKUP(B67,'HC Golf'!C:G,5,0)</f>
        <v>S3</v>
      </c>
    </row>
    <row r="68" spans="1:25">
      <c r="A68" s="256">
        <f>ROWS($B$5:B66)</f>
        <v>62</v>
      </c>
      <c r="B68" s="256" t="s">
        <v>527</v>
      </c>
      <c r="C68" s="256" t="s">
        <v>528</v>
      </c>
      <c r="D68" s="256" t="s">
        <v>1296</v>
      </c>
      <c r="E68" s="256" t="s">
        <v>1148</v>
      </c>
      <c r="F68" s="256" t="s">
        <v>420</v>
      </c>
      <c r="G68" s="290">
        <v>46058</v>
      </c>
      <c r="H68" s="236" t="b">
        <v>1</v>
      </c>
      <c r="I68" s="236" t="b">
        <v>1</v>
      </c>
      <c r="J68" s="236" t="b">
        <v>1</v>
      </c>
      <c r="K68" s="236" t="b">
        <v>0</v>
      </c>
      <c r="L68" s="236" t="b">
        <v>0</v>
      </c>
      <c r="M68" s="236" t="b">
        <v>0</v>
      </c>
      <c r="N68" s="236" t="b">
        <v>0</v>
      </c>
      <c r="O68" s="236" t="b">
        <v>0</v>
      </c>
      <c r="P68" s="236" t="b">
        <v>0</v>
      </c>
      <c r="Q68" s="236" t="b">
        <v>0</v>
      </c>
      <c r="R68" s="236" t="b">
        <v>0</v>
      </c>
      <c r="S68" s="236" t="b">
        <v>0</v>
      </c>
      <c r="T68" s="236" t="b">
        <v>1</v>
      </c>
      <c r="U68" s="236" t="b">
        <v>0</v>
      </c>
      <c r="V68" s="256" t="str" cm="1">
        <f t="array" ref="V68">IF(SUMPRODUCT((Cert_Matrix!$A$12:$A$21=E68)*(Cert_Matrix!$L$12:$W$21="X")*(H68:S68=TRUE))&lt;SUMPRODUCT((Cert_Matrix!$A$12:$A$21=E68)*(Cert_Matrix!$L$12:$W$21="X")),"Thiếu chứng nhận","Đủ điều kiện")</f>
        <v>Đủ điều kiện</v>
      </c>
      <c r="W68" s="287"/>
      <c r="X68" s="290"/>
      <c r="Y68" s="257" t="str">
        <f>VLOOKUP(B68,'HC Golf'!C:G,5,0)</f>
        <v>S3</v>
      </c>
    </row>
    <row r="69" spans="1:25">
      <c r="A69" s="256">
        <f>ROWS($B$5:B67)</f>
        <v>63</v>
      </c>
      <c r="B69" s="256" t="s">
        <v>511</v>
      </c>
      <c r="C69" s="256" t="s">
        <v>512</v>
      </c>
      <c r="D69" s="256" t="s">
        <v>1296</v>
      </c>
      <c r="E69" s="256" t="s">
        <v>1148</v>
      </c>
      <c r="F69" s="256" t="s">
        <v>420</v>
      </c>
      <c r="G69" s="290"/>
      <c r="H69" s="236" t="b">
        <v>1</v>
      </c>
      <c r="I69" s="236" t="b">
        <v>1</v>
      </c>
      <c r="J69" s="236" t="b">
        <v>0</v>
      </c>
      <c r="K69" s="236" t="b">
        <v>0</v>
      </c>
      <c r="L69" s="236" t="b">
        <v>1</v>
      </c>
      <c r="M69" s="236" t="b">
        <v>0</v>
      </c>
      <c r="N69" s="236" t="b">
        <v>1</v>
      </c>
      <c r="O69" s="236" t="b">
        <v>1</v>
      </c>
      <c r="P69" s="236" t="b">
        <v>1</v>
      </c>
      <c r="Q69" s="236" t="b">
        <v>1</v>
      </c>
      <c r="R69" s="236" t="b">
        <v>0</v>
      </c>
      <c r="S69" s="236" t="b">
        <v>0</v>
      </c>
      <c r="T69" s="236" t="b">
        <v>1</v>
      </c>
      <c r="U69" s="236" t="b">
        <v>1</v>
      </c>
      <c r="V69" s="256" t="str" cm="1">
        <f t="array" ref="V69">IF(SUMPRODUCT((Cert_Matrix!$A$12:$A$21=E69)*(Cert_Matrix!$L$12:$W$21="X")*(H69:S69=TRUE))&lt;SUMPRODUCT((Cert_Matrix!$A$12:$A$21=E69)*(Cert_Matrix!$L$12:$W$21="X")),"Thiếu chứng nhận","Đủ điều kiện")</f>
        <v>Đủ điều kiện</v>
      </c>
      <c r="W69" s="287"/>
      <c r="X69" s="290"/>
      <c r="Y69" s="257" t="str">
        <f>VLOOKUP(B69,'HC Golf'!C:G,5,0)</f>
        <v>S3</v>
      </c>
    </row>
    <row r="70" spans="1:25">
      <c r="A70" s="256">
        <f>ROWS($B$5:B68)</f>
        <v>64</v>
      </c>
      <c r="B70" s="256" t="s">
        <v>363</v>
      </c>
      <c r="C70" s="256" t="s">
        <v>364</v>
      </c>
      <c r="D70" s="256" t="s">
        <v>1296</v>
      </c>
      <c r="E70" s="256" t="s">
        <v>1149</v>
      </c>
      <c r="F70" s="256" t="s">
        <v>420</v>
      </c>
      <c r="G70" s="290"/>
      <c r="H70" s="236" t="b">
        <v>1</v>
      </c>
      <c r="I70" s="236" t="b">
        <v>1</v>
      </c>
      <c r="J70" s="236" t="b">
        <v>1</v>
      </c>
      <c r="K70" s="236" t="b">
        <v>1</v>
      </c>
      <c r="L70" s="236" t="b">
        <v>0</v>
      </c>
      <c r="M70" s="236" t="b">
        <v>0</v>
      </c>
      <c r="N70" s="236" t="b">
        <v>0</v>
      </c>
      <c r="O70" s="236" t="b">
        <v>0</v>
      </c>
      <c r="P70" s="236" t="b">
        <v>0</v>
      </c>
      <c r="Q70" s="236" t="b">
        <v>0</v>
      </c>
      <c r="R70" s="236" t="b">
        <v>0</v>
      </c>
      <c r="S70" s="236" t="b">
        <v>0</v>
      </c>
      <c r="T70" s="236" t="b">
        <v>1</v>
      </c>
      <c r="U70" s="236" t="b">
        <v>0</v>
      </c>
      <c r="V70" s="256" t="str" cm="1">
        <f t="array" ref="V70">IF(SUMPRODUCT((Cert_Matrix!$A$12:$A$21=E70)*(Cert_Matrix!$L$12:$W$21="X")*(H70:S70=TRUE))&lt;SUMPRODUCT((Cert_Matrix!$A$12:$A$21=E70)*(Cert_Matrix!$L$12:$W$21="X")),"Thiếu chứng nhận","Đủ điều kiện")</f>
        <v>Đủ điều kiện</v>
      </c>
      <c r="W70" s="287"/>
      <c r="X70" s="290"/>
      <c r="Y70" s="257" t="str">
        <f>VLOOKUP(B70,'HC Golf'!C:G,5,0)</f>
        <v>S3</v>
      </c>
    </row>
    <row r="71" spans="1:25">
      <c r="A71" s="256">
        <f>ROWS($B$5:B69)</f>
        <v>65</v>
      </c>
      <c r="B71" s="256" t="s">
        <v>517</v>
      </c>
      <c r="C71" s="256" t="s">
        <v>518</v>
      </c>
      <c r="D71" s="256" t="s">
        <v>1302</v>
      </c>
      <c r="E71" s="256" t="s">
        <v>1155</v>
      </c>
      <c r="F71" s="256" t="s">
        <v>420</v>
      </c>
      <c r="G71" s="290">
        <v>45955</v>
      </c>
      <c r="H71" s="236" t="b">
        <v>0</v>
      </c>
      <c r="I71" s="236" t="b">
        <v>0</v>
      </c>
      <c r="J71" s="236" t="b">
        <v>0</v>
      </c>
      <c r="K71" s="236" t="b">
        <v>0</v>
      </c>
      <c r="L71" s="236" t="b">
        <v>0</v>
      </c>
      <c r="M71" s="236" t="b">
        <v>0</v>
      </c>
      <c r="N71" s="236" t="b">
        <v>1</v>
      </c>
      <c r="O71" s="236" t="b">
        <v>1</v>
      </c>
      <c r="P71" s="236" t="b">
        <v>1</v>
      </c>
      <c r="Q71" s="236" t="b">
        <v>0</v>
      </c>
      <c r="R71" s="236" t="b">
        <v>1</v>
      </c>
      <c r="S71" s="236" t="b">
        <v>0</v>
      </c>
      <c r="T71" s="236" t="b">
        <v>1</v>
      </c>
      <c r="U71" s="236" t="b">
        <v>1</v>
      </c>
      <c r="V71" s="256" t="str" cm="1">
        <f t="array" ref="V71">IF(SUMPRODUCT((Cert_Matrix!$A$12:$A$21=E71)*(Cert_Matrix!$L$12:$W$21="X")*(H71:S71=TRUE))&lt;SUMPRODUCT((Cert_Matrix!$A$12:$A$21=E71)*(Cert_Matrix!$L$12:$W$21="X")),"Thiếu chứng nhận","Đủ điều kiện")</f>
        <v>Đủ điều kiện</v>
      </c>
      <c r="W71" s="287"/>
      <c r="X71" s="290"/>
      <c r="Y71" s="257" t="str">
        <f>VLOOKUP(B71,'HC Golf'!C:G,5,0)</f>
        <v>S3</v>
      </c>
    </row>
    <row r="72" spans="1:25">
      <c r="A72" s="256">
        <f>ROWS($B$5:B70)</f>
        <v>66</v>
      </c>
      <c r="B72" s="256" t="s">
        <v>1336</v>
      </c>
      <c r="C72" s="256" t="s">
        <v>675</v>
      </c>
      <c r="D72" s="256" t="s">
        <v>1309</v>
      </c>
      <c r="E72" s="256" t="s">
        <v>1150</v>
      </c>
      <c r="F72" s="256" t="s">
        <v>420</v>
      </c>
      <c r="G72" s="290">
        <v>46053</v>
      </c>
      <c r="H72" s="236" t="b">
        <v>0</v>
      </c>
      <c r="I72" s="236" t="b">
        <v>0</v>
      </c>
      <c r="J72" s="236" t="b">
        <v>0</v>
      </c>
      <c r="K72" s="236" t="b">
        <v>0</v>
      </c>
      <c r="L72" s="236" t="b">
        <v>1</v>
      </c>
      <c r="M72" s="236" t="b">
        <v>1</v>
      </c>
      <c r="N72" s="236" t="b">
        <v>0</v>
      </c>
      <c r="O72" s="236" t="b">
        <v>1</v>
      </c>
      <c r="P72" s="236" t="b">
        <v>0</v>
      </c>
      <c r="Q72" s="236" t="b">
        <v>0</v>
      </c>
      <c r="R72" s="236" t="b">
        <v>0</v>
      </c>
      <c r="S72" s="236" t="b">
        <v>0</v>
      </c>
      <c r="T72" s="236" t="b">
        <v>1</v>
      </c>
      <c r="U72" s="236" t="b">
        <v>0</v>
      </c>
      <c r="V72" s="256" t="str" cm="1">
        <f t="array" ref="V72">IF(SUMPRODUCT((Cert_Matrix!$A$12:$A$21=E72)*(Cert_Matrix!$L$12:$W$21="X")*(H72:S72=TRUE))&lt;SUMPRODUCT((Cert_Matrix!$A$12:$A$21=E72)*(Cert_Matrix!$L$12:$W$21="X")),"Thiếu chứng nhận","Đủ điều kiện")</f>
        <v>Đủ điều kiện</v>
      </c>
      <c r="W72" s="287"/>
      <c r="X72" s="290"/>
      <c r="Y72" s="257" t="str">
        <f>VLOOKUP(B72,'HC Golf'!C:G,5,0)</f>
        <v>S3</v>
      </c>
    </row>
    <row r="73" spans="1:25">
      <c r="A73" s="256">
        <f>ROWS($B$5:B71)</f>
        <v>67</v>
      </c>
      <c r="B73" s="256" t="s">
        <v>1337</v>
      </c>
      <c r="C73" s="256" t="s">
        <v>670</v>
      </c>
      <c r="D73" s="256" t="s">
        <v>1296</v>
      </c>
      <c r="E73" s="256" t="s">
        <v>1148</v>
      </c>
      <c r="F73" s="256" t="s">
        <v>420</v>
      </c>
      <c r="G73" s="290">
        <v>46126</v>
      </c>
      <c r="H73" s="236" t="b">
        <v>1</v>
      </c>
      <c r="I73" s="236" t="b">
        <v>1</v>
      </c>
      <c r="J73" s="236" t="b">
        <v>1</v>
      </c>
      <c r="K73" s="236" t="b">
        <v>0</v>
      </c>
      <c r="L73" s="236" t="b">
        <v>1</v>
      </c>
      <c r="M73" s="236" t="b">
        <v>1</v>
      </c>
      <c r="N73" s="236" t="b">
        <v>1</v>
      </c>
      <c r="O73" s="236" t="b">
        <v>1</v>
      </c>
      <c r="P73" s="236" t="b">
        <v>1</v>
      </c>
      <c r="Q73" s="236" t="b">
        <v>0</v>
      </c>
      <c r="R73" s="236" t="b">
        <v>0</v>
      </c>
      <c r="S73" s="236" t="b">
        <v>0</v>
      </c>
      <c r="T73" s="236" t="b">
        <v>1</v>
      </c>
      <c r="U73" s="236" t="b">
        <v>1</v>
      </c>
      <c r="V73" s="256" t="str" cm="1">
        <f t="array" ref="V73">IF(SUMPRODUCT((Cert_Matrix!$A$12:$A$21=E73)*(Cert_Matrix!$L$12:$W$21="X")*(H73:S73=TRUE))&lt;SUMPRODUCT((Cert_Matrix!$A$12:$A$21=E73)*(Cert_Matrix!$L$12:$W$21="X")),"Thiếu chứng nhận","Đủ điều kiện")</f>
        <v>Đủ điều kiện</v>
      </c>
      <c r="W73" s="287"/>
      <c r="X73" s="290"/>
      <c r="Y73" s="257" t="str">
        <f>VLOOKUP(B73,'HC Golf'!C:G,5,0)</f>
        <v>S3</v>
      </c>
    </row>
    <row r="74" spans="1:25">
      <c r="A74" s="256">
        <f>ROWS($B$5:B72)</f>
        <v>68</v>
      </c>
      <c r="B74" s="256" t="s">
        <v>1338</v>
      </c>
      <c r="C74" s="256" t="s">
        <v>729</v>
      </c>
      <c r="D74" s="256" t="s">
        <v>1296</v>
      </c>
      <c r="E74" s="256" t="s">
        <v>1148</v>
      </c>
      <c r="F74" s="256" t="s">
        <v>420</v>
      </c>
      <c r="G74" s="290"/>
      <c r="H74" s="236" t="b">
        <v>0</v>
      </c>
      <c r="I74" s="236" t="b">
        <v>1</v>
      </c>
      <c r="J74" s="236" t="b">
        <v>1</v>
      </c>
      <c r="K74" s="236" t="b">
        <v>0</v>
      </c>
      <c r="L74" s="236" t="b">
        <v>0</v>
      </c>
      <c r="M74" s="236" t="b">
        <v>0</v>
      </c>
      <c r="N74" s="236" t="b">
        <v>0</v>
      </c>
      <c r="O74" s="236" t="b">
        <v>0</v>
      </c>
      <c r="P74" s="236" t="b">
        <v>0</v>
      </c>
      <c r="Q74" s="236" t="b">
        <v>0</v>
      </c>
      <c r="R74" s="236" t="b">
        <v>0</v>
      </c>
      <c r="S74" s="236" t="b">
        <v>0</v>
      </c>
      <c r="T74" s="236" t="b">
        <v>1</v>
      </c>
      <c r="U74" s="236" t="b">
        <v>1</v>
      </c>
      <c r="V74" s="256" t="str" cm="1">
        <f t="array" ref="V74">IF(SUMPRODUCT((Cert_Matrix!$A$12:$A$21=E74)*(Cert_Matrix!$L$12:$W$21="X")*(H74:S74=TRUE))&lt;SUMPRODUCT((Cert_Matrix!$A$12:$A$21=E74)*(Cert_Matrix!$L$12:$W$21="X")),"Thiếu chứng nhận","Đủ điều kiện")</f>
        <v>Đủ điều kiện</v>
      </c>
      <c r="W74" s="287"/>
      <c r="X74" s="290"/>
      <c r="Y74" s="257" t="str">
        <f>VLOOKUP(B74,'HC Golf'!C:G,5,0)</f>
        <v>S3</v>
      </c>
    </row>
    <row r="75" spans="1:25">
      <c r="A75" s="256">
        <f>ROWS($B$5:B73)</f>
        <v>69</v>
      </c>
      <c r="B75" s="256" t="s">
        <v>1339</v>
      </c>
      <c r="C75" s="256" t="s">
        <v>535</v>
      </c>
      <c r="D75" s="256" t="s">
        <v>1225</v>
      </c>
      <c r="E75" s="256" t="s">
        <v>1148</v>
      </c>
      <c r="F75" s="256" t="s">
        <v>420</v>
      </c>
      <c r="G75" s="290"/>
      <c r="H75" s="236" t="b">
        <v>1</v>
      </c>
      <c r="I75" s="236" t="b">
        <v>1</v>
      </c>
      <c r="J75" s="236" t="b">
        <v>0</v>
      </c>
      <c r="K75" s="236" t="b">
        <v>0</v>
      </c>
      <c r="L75" s="236" t="b">
        <v>0</v>
      </c>
      <c r="M75" s="236" t="b">
        <v>0</v>
      </c>
      <c r="N75" s="236" t="b">
        <v>0</v>
      </c>
      <c r="O75" s="236" t="b">
        <v>0</v>
      </c>
      <c r="P75" s="236" t="b">
        <v>0</v>
      </c>
      <c r="Q75" s="236" t="b">
        <v>0</v>
      </c>
      <c r="R75" s="236" t="b">
        <v>0</v>
      </c>
      <c r="S75" s="236" t="b">
        <v>0</v>
      </c>
      <c r="T75" s="236" t="b">
        <v>1</v>
      </c>
      <c r="U75" s="236" t="b">
        <v>1</v>
      </c>
      <c r="V75" s="256" t="str" cm="1">
        <f t="array" ref="V75">IF(SUMPRODUCT((Cert_Matrix!$A$12:$A$21=E75)*(Cert_Matrix!$L$12:$W$21="X")*(H75:S75=TRUE))&lt;SUMPRODUCT((Cert_Matrix!$A$12:$A$21=E75)*(Cert_Matrix!$L$12:$W$21="X")),"Thiếu chứng nhận","Đủ điều kiện")</f>
        <v>Đủ điều kiện</v>
      </c>
      <c r="W75" s="287"/>
      <c r="X75" s="290"/>
      <c r="Y75" s="257" t="str">
        <f>VLOOKUP(B75,'HC Golf'!C:G,5,0)</f>
        <v>S3</v>
      </c>
    </row>
    <row r="76" spans="1:25">
      <c r="A76" s="256">
        <f>ROWS($B$5:B74)</f>
        <v>70</v>
      </c>
      <c r="B76" s="256" t="s">
        <v>1340</v>
      </c>
      <c r="C76" s="256" t="s">
        <v>520</v>
      </c>
      <c r="D76" s="256" t="s">
        <v>1341</v>
      </c>
      <c r="E76" s="256" t="s">
        <v>1149</v>
      </c>
      <c r="F76" s="256" t="s">
        <v>420</v>
      </c>
      <c r="G76" s="290"/>
      <c r="H76" s="236" t="b">
        <v>0</v>
      </c>
      <c r="I76" s="236" t="b">
        <v>1</v>
      </c>
      <c r="J76" s="236" t="b">
        <v>1</v>
      </c>
      <c r="K76" s="236" t="b">
        <v>0</v>
      </c>
      <c r="L76" s="236" t="b">
        <v>0</v>
      </c>
      <c r="M76" s="236" t="b">
        <v>0</v>
      </c>
      <c r="N76" s="236" t="b">
        <v>0</v>
      </c>
      <c r="O76" s="236" t="b">
        <v>0</v>
      </c>
      <c r="P76" s="236" t="b">
        <v>0</v>
      </c>
      <c r="Q76" s="236" t="b">
        <v>0</v>
      </c>
      <c r="R76" s="236" t="b">
        <v>0</v>
      </c>
      <c r="S76" s="236" t="b">
        <v>0</v>
      </c>
      <c r="T76" s="236" t="b">
        <v>1</v>
      </c>
      <c r="U76" s="236" t="b">
        <v>1</v>
      </c>
      <c r="V76" s="256" t="str" cm="1">
        <f t="array" ref="V76">IF(SUMPRODUCT((Cert_Matrix!$A$12:$A$21=E76)*(Cert_Matrix!$L$12:$W$21="X")*(H76:S76=TRUE))&lt;SUMPRODUCT((Cert_Matrix!$A$12:$A$21=E76)*(Cert_Matrix!$L$12:$W$21="X")),"Thiếu chứng nhận","Đủ điều kiện")</f>
        <v>Đủ điều kiện</v>
      </c>
      <c r="W76" s="287"/>
      <c r="X76" s="290"/>
      <c r="Y76" s="257" t="str">
        <f>VLOOKUP(B76,'HC Golf'!C:G,5,0)</f>
        <v>S3</v>
      </c>
    </row>
    <row r="77" spans="1:25">
      <c r="A77" s="256">
        <f>ROWS($B$5:B75)</f>
        <v>71</v>
      </c>
      <c r="B77" s="256" t="s">
        <v>1342</v>
      </c>
      <c r="C77" s="256" t="s">
        <v>689</v>
      </c>
      <c r="D77" s="256" t="s">
        <v>1225</v>
      </c>
      <c r="E77" s="256" t="s">
        <v>1148</v>
      </c>
      <c r="F77" s="256" t="s">
        <v>420</v>
      </c>
      <c r="G77" s="290">
        <v>45955</v>
      </c>
      <c r="H77" s="236" t="b">
        <v>1</v>
      </c>
      <c r="I77" s="236" t="b">
        <v>1</v>
      </c>
      <c r="J77" s="236" t="b">
        <v>1</v>
      </c>
      <c r="K77" s="236" t="b">
        <v>0</v>
      </c>
      <c r="L77" s="236" t="b">
        <v>0</v>
      </c>
      <c r="M77" s="236" t="b">
        <v>0</v>
      </c>
      <c r="N77" s="236" t="b">
        <v>0</v>
      </c>
      <c r="O77" s="236" t="b">
        <v>0</v>
      </c>
      <c r="P77" s="236" t="b">
        <v>0</v>
      </c>
      <c r="Q77" s="236" t="b">
        <v>0</v>
      </c>
      <c r="R77" s="236" t="b">
        <v>0</v>
      </c>
      <c r="S77" s="236" t="b">
        <v>0</v>
      </c>
      <c r="T77" s="236" t="b">
        <v>1</v>
      </c>
      <c r="U77" s="236" t="b">
        <v>1</v>
      </c>
      <c r="V77" s="256" t="str" cm="1">
        <f t="array" ref="V77">IF(SUMPRODUCT((Cert_Matrix!$A$12:$A$21=E77)*(Cert_Matrix!$L$12:$W$21="X")*(H77:S77=TRUE))&lt;SUMPRODUCT((Cert_Matrix!$A$12:$A$21=E77)*(Cert_Matrix!$L$12:$W$21="X")),"Thiếu chứng nhận","Đủ điều kiện")</f>
        <v>Đủ điều kiện</v>
      </c>
      <c r="W77" s="287"/>
      <c r="X77" s="290"/>
      <c r="Y77" s="257" t="str">
        <f>VLOOKUP(B77,'HC Golf'!C:G,5,0)</f>
        <v>S3</v>
      </c>
    </row>
    <row r="78" spans="1:25">
      <c r="A78" s="256">
        <f>ROWS($B$5:B76)</f>
        <v>72</v>
      </c>
      <c r="B78" s="256" t="s">
        <v>1343</v>
      </c>
      <c r="C78" s="256" t="s">
        <v>756</v>
      </c>
      <c r="D78" s="256" t="s">
        <v>1225</v>
      </c>
      <c r="E78" s="256" t="s">
        <v>1148</v>
      </c>
      <c r="F78" s="256" t="s">
        <v>420</v>
      </c>
      <c r="G78" s="290"/>
      <c r="H78" s="236" t="b">
        <v>1</v>
      </c>
      <c r="I78" s="236" t="b">
        <v>1</v>
      </c>
      <c r="J78" s="236" t="b">
        <v>0</v>
      </c>
      <c r="K78" s="236" t="b">
        <v>0</v>
      </c>
      <c r="L78" s="236" t="b">
        <v>0</v>
      </c>
      <c r="M78" s="236" t="b">
        <v>0</v>
      </c>
      <c r="N78" s="236" t="b">
        <v>0</v>
      </c>
      <c r="O78" s="236" t="b">
        <v>0</v>
      </c>
      <c r="P78" s="236" t="b">
        <v>0</v>
      </c>
      <c r="Q78" s="236" t="b">
        <v>0</v>
      </c>
      <c r="R78" s="236" t="b">
        <v>0</v>
      </c>
      <c r="S78" s="236" t="b">
        <v>0</v>
      </c>
      <c r="T78" s="236" t="b">
        <v>1</v>
      </c>
      <c r="U78" s="236" t="b">
        <v>1</v>
      </c>
      <c r="V78" s="256" t="str" cm="1">
        <f t="array" ref="V78">IF(SUMPRODUCT((Cert_Matrix!$A$12:$A$21=E78)*(Cert_Matrix!$L$12:$W$21="X")*(H78:S78=TRUE))&lt;SUMPRODUCT((Cert_Matrix!$A$12:$A$21=E78)*(Cert_Matrix!$L$12:$W$21="X")),"Thiếu chứng nhận","Đủ điều kiện")</f>
        <v>Đủ điều kiện</v>
      </c>
      <c r="W78" s="287"/>
      <c r="X78" s="290"/>
      <c r="Y78" s="257" t="str">
        <f>VLOOKUP(B78,'HC Golf'!C:G,5,0)</f>
        <v>S3</v>
      </c>
    </row>
    <row r="79" spans="1:25">
      <c r="A79" s="256">
        <f>ROWS($B$5:B77)</f>
        <v>73</v>
      </c>
      <c r="B79" s="256" t="s">
        <v>1344</v>
      </c>
      <c r="C79" s="256" t="s">
        <v>726</v>
      </c>
      <c r="D79" s="256" t="s">
        <v>1341</v>
      </c>
      <c r="E79" s="256" t="s">
        <v>1147</v>
      </c>
      <c r="F79" s="256" t="s">
        <v>420</v>
      </c>
      <c r="G79" s="290">
        <v>45975</v>
      </c>
      <c r="H79" s="236" t="b">
        <v>1</v>
      </c>
      <c r="I79" s="236" t="b">
        <v>1</v>
      </c>
      <c r="J79" s="236" t="b">
        <v>1</v>
      </c>
      <c r="K79" s="236" t="b">
        <v>1</v>
      </c>
      <c r="L79" s="236" t="b">
        <v>0</v>
      </c>
      <c r="M79" s="236" t="b">
        <v>0</v>
      </c>
      <c r="N79" s="236" t="b">
        <v>0</v>
      </c>
      <c r="O79" s="236" t="b">
        <v>0</v>
      </c>
      <c r="P79" s="236" t="b">
        <v>0</v>
      </c>
      <c r="Q79" s="236" t="b">
        <v>0</v>
      </c>
      <c r="R79" s="236" t="b">
        <v>0</v>
      </c>
      <c r="S79" s="236" t="b">
        <v>0</v>
      </c>
      <c r="T79" s="236" t="b">
        <v>1</v>
      </c>
      <c r="U79" s="236" t="b">
        <v>1</v>
      </c>
      <c r="V79" s="256" t="str" cm="1">
        <f t="array" ref="V79">IF(SUMPRODUCT((Cert_Matrix!$A$12:$A$21=E79)*(Cert_Matrix!$L$12:$W$21="X")*(H79:S79=TRUE))&lt;SUMPRODUCT((Cert_Matrix!$A$12:$A$21=E79)*(Cert_Matrix!$L$12:$W$21="X")),"Thiếu chứng nhận","Đủ điều kiện")</f>
        <v>Đủ điều kiện</v>
      </c>
      <c r="W79" s="287"/>
      <c r="X79" s="290"/>
      <c r="Y79" s="257" t="str">
        <f>VLOOKUP(B79,'HC Golf'!C:G,5,0)</f>
        <v>S3</v>
      </c>
    </row>
    <row r="80" spans="1:25">
      <c r="A80" s="256">
        <f>ROWS($B$5:B78)</f>
        <v>74</v>
      </c>
      <c r="B80" s="256" t="s">
        <v>1345</v>
      </c>
      <c r="C80" s="256" t="s">
        <v>935</v>
      </c>
      <c r="D80" s="256" t="s">
        <v>1225</v>
      </c>
      <c r="E80" s="256" t="s">
        <v>1147</v>
      </c>
      <c r="F80" s="256" t="s">
        <v>420</v>
      </c>
      <c r="G80" s="290">
        <v>45975</v>
      </c>
      <c r="H80" s="236" t="b">
        <v>1</v>
      </c>
      <c r="I80" s="236" t="b">
        <v>1</v>
      </c>
      <c r="J80" s="236" t="b">
        <v>1</v>
      </c>
      <c r="K80" s="236" t="b">
        <v>1</v>
      </c>
      <c r="L80" s="236" t="b">
        <v>0</v>
      </c>
      <c r="M80" s="236" t="b">
        <v>0</v>
      </c>
      <c r="N80" s="236" t="b">
        <v>0</v>
      </c>
      <c r="O80" s="236" t="b">
        <v>0</v>
      </c>
      <c r="P80" s="236" t="b">
        <v>0</v>
      </c>
      <c r="Q80" s="236" t="b">
        <v>0</v>
      </c>
      <c r="R80" s="236" t="b">
        <v>0</v>
      </c>
      <c r="S80" s="236" t="b">
        <v>0</v>
      </c>
      <c r="T80" s="236" t="b">
        <v>1</v>
      </c>
      <c r="U80" s="236" t="b">
        <v>1</v>
      </c>
      <c r="V80" s="256" t="str" cm="1">
        <f t="array" ref="V80">IF(SUMPRODUCT((Cert_Matrix!$A$12:$A$21=E80)*(Cert_Matrix!$L$12:$W$21="X")*(H80:S80=TRUE))&lt;SUMPRODUCT((Cert_Matrix!$A$12:$A$21=E80)*(Cert_Matrix!$L$12:$W$21="X")),"Thiếu chứng nhận","Đủ điều kiện")</f>
        <v>Đủ điều kiện</v>
      </c>
      <c r="W80" s="287"/>
      <c r="X80" s="290"/>
      <c r="Y80" s="257" t="str">
        <f>VLOOKUP(B80,'HC Golf'!C:G,5,0)</f>
        <v>S3</v>
      </c>
    </row>
    <row r="81" spans="1:25">
      <c r="A81" s="256">
        <f>ROWS($B$5:B79)</f>
        <v>75</v>
      </c>
      <c r="B81" s="256" t="s">
        <v>1346</v>
      </c>
      <c r="C81" s="256" t="s">
        <v>929</v>
      </c>
      <c r="D81" s="256" t="s">
        <v>1225</v>
      </c>
      <c r="E81" s="256" t="s">
        <v>1148</v>
      </c>
      <c r="F81" s="256" t="s">
        <v>420</v>
      </c>
      <c r="G81" s="290">
        <v>46126</v>
      </c>
      <c r="H81" s="236" t="b">
        <v>1</v>
      </c>
      <c r="I81" s="236" t="b">
        <v>1</v>
      </c>
      <c r="J81" s="236" t="b">
        <v>0</v>
      </c>
      <c r="K81" s="236" t="b">
        <v>0</v>
      </c>
      <c r="L81" s="236" t="b">
        <v>0</v>
      </c>
      <c r="M81" s="236" t="b">
        <v>0</v>
      </c>
      <c r="N81" s="236" t="b">
        <v>0</v>
      </c>
      <c r="O81" s="236" t="b">
        <v>0</v>
      </c>
      <c r="P81" s="236" t="b">
        <v>0</v>
      </c>
      <c r="Q81" s="236" t="b">
        <v>0</v>
      </c>
      <c r="R81" s="236" t="b">
        <v>0</v>
      </c>
      <c r="S81" s="236" t="b">
        <v>0</v>
      </c>
      <c r="T81" s="236" t="b">
        <v>1</v>
      </c>
      <c r="U81" s="236" t="b">
        <v>0</v>
      </c>
      <c r="V81" s="256" t="str" cm="1">
        <f t="array" ref="V81">IF(SUMPRODUCT((Cert_Matrix!$A$12:$A$21=E81)*(Cert_Matrix!$L$12:$W$21="X")*(H81:S81=TRUE))&lt;SUMPRODUCT((Cert_Matrix!$A$12:$A$21=E81)*(Cert_Matrix!$L$12:$W$21="X")),"Thiếu chứng nhận","Đủ điều kiện")</f>
        <v>Đủ điều kiện</v>
      </c>
      <c r="W81" s="287"/>
      <c r="X81" s="290"/>
      <c r="Y81" s="257" t="str">
        <f>VLOOKUP(B81,'HC Golf'!C:G,5,0)</f>
        <v>S3</v>
      </c>
    </row>
    <row r="82" spans="1:25">
      <c r="A82" s="256">
        <f>ROWS($B$5:B80)</f>
        <v>76</v>
      </c>
      <c r="B82" s="256" t="s">
        <v>1347</v>
      </c>
      <c r="C82" s="256" t="s">
        <v>921</v>
      </c>
      <c r="D82" s="256" t="s">
        <v>1225</v>
      </c>
      <c r="E82" s="256" t="s">
        <v>1300</v>
      </c>
      <c r="F82" s="256" t="s">
        <v>420</v>
      </c>
      <c r="G82" s="290">
        <v>46053</v>
      </c>
      <c r="H82" s="236" t="b">
        <v>0</v>
      </c>
      <c r="I82" s="236" t="b">
        <v>0</v>
      </c>
      <c r="J82" s="236" t="b">
        <v>0</v>
      </c>
      <c r="K82" s="236" t="b">
        <v>0</v>
      </c>
      <c r="L82" s="236" t="b">
        <v>1</v>
      </c>
      <c r="M82" s="236" t="b">
        <v>0</v>
      </c>
      <c r="N82" s="236" t="b">
        <v>0</v>
      </c>
      <c r="O82" s="236" t="b">
        <v>1</v>
      </c>
      <c r="P82" s="236" t="b">
        <v>1</v>
      </c>
      <c r="Q82" s="236" t="b">
        <v>1</v>
      </c>
      <c r="R82" s="236" t="b">
        <v>0</v>
      </c>
      <c r="S82" s="236" t="b">
        <v>0</v>
      </c>
      <c r="T82" s="236" t="b">
        <v>1</v>
      </c>
      <c r="U82" s="236" t="b">
        <v>1</v>
      </c>
      <c r="V82" s="256" t="str" cm="1">
        <f t="array" ref="V82">IF(SUMPRODUCT((Cert_Matrix!$A$12:$A$21=E82)*(Cert_Matrix!$L$12:$W$21="X")*(H82:S82=TRUE))&lt;SUMPRODUCT((Cert_Matrix!$A$12:$A$21=E82)*(Cert_Matrix!$L$12:$W$21="X")),"Thiếu chứng nhận","Đủ điều kiện")</f>
        <v>Đủ điều kiện</v>
      </c>
      <c r="W82" s="287"/>
      <c r="X82" s="290"/>
      <c r="Y82" s="257" t="str">
        <f>VLOOKUP(B82,'HC Golf'!C:G,5,0)</f>
        <v>S3</v>
      </c>
    </row>
    <row r="83" spans="1:25">
      <c r="A83" s="256">
        <f>ROWS($B$5:B81)</f>
        <v>77</v>
      </c>
      <c r="B83" s="256" t="s">
        <v>1348</v>
      </c>
      <c r="C83" s="256" t="s">
        <v>919</v>
      </c>
      <c r="D83" s="256" t="s">
        <v>1225</v>
      </c>
      <c r="E83" s="256" t="s">
        <v>1148</v>
      </c>
      <c r="F83" s="256" t="s">
        <v>420</v>
      </c>
      <c r="G83" s="290"/>
      <c r="H83" s="236" t="b">
        <v>1</v>
      </c>
      <c r="I83" s="236" t="b">
        <v>1</v>
      </c>
      <c r="J83" s="236" t="b">
        <v>0</v>
      </c>
      <c r="K83" s="236" t="b">
        <v>0</v>
      </c>
      <c r="L83" s="236" t="b">
        <v>0</v>
      </c>
      <c r="M83" s="236" t="b">
        <v>0</v>
      </c>
      <c r="N83" s="236" t="b">
        <v>0</v>
      </c>
      <c r="O83" s="236" t="b">
        <v>0</v>
      </c>
      <c r="P83" s="236" t="b">
        <v>0</v>
      </c>
      <c r="Q83" s="236" t="b">
        <v>0</v>
      </c>
      <c r="R83" s="236" t="b">
        <v>0</v>
      </c>
      <c r="S83" s="236" t="b">
        <v>0</v>
      </c>
      <c r="T83" s="236" t="b">
        <v>1</v>
      </c>
      <c r="U83" s="236" t="b">
        <v>1</v>
      </c>
      <c r="V83" s="256" t="str" cm="1">
        <f t="array" ref="V83">IF(SUMPRODUCT((Cert_Matrix!$A$12:$A$21=E83)*(Cert_Matrix!$L$12:$W$21="X")*(H83:S83=TRUE))&lt;SUMPRODUCT((Cert_Matrix!$A$12:$A$21=E83)*(Cert_Matrix!$L$12:$W$21="X")),"Thiếu chứng nhận","Đủ điều kiện")</f>
        <v>Đủ điều kiện</v>
      </c>
      <c r="W83" s="287"/>
      <c r="X83" s="290"/>
      <c r="Y83" s="257" t="str">
        <f>VLOOKUP(B83,'HC Golf'!C:G,5,0)</f>
        <v>S3</v>
      </c>
    </row>
    <row r="84" spans="1:25">
      <c r="A84" s="256">
        <f>ROWS($B$5:B82)</f>
        <v>78</v>
      </c>
      <c r="B84" s="256" t="s">
        <v>1349</v>
      </c>
      <c r="C84" s="256" t="s">
        <v>971</v>
      </c>
      <c r="D84" s="256" t="s">
        <v>1225</v>
      </c>
      <c r="E84" s="256" t="s">
        <v>1300</v>
      </c>
      <c r="F84" s="256" t="s">
        <v>420</v>
      </c>
      <c r="G84" s="290">
        <v>46126</v>
      </c>
      <c r="H84" s="236" t="b">
        <v>0</v>
      </c>
      <c r="I84" s="236" t="b">
        <v>0</v>
      </c>
      <c r="J84" s="236" t="b">
        <v>0</v>
      </c>
      <c r="K84" s="236" t="b">
        <v>0</v>
      </c>
      <c r="L84" s="236" t="b">
        <v>1</v>
      </c>
      <c r="M84" s="236" t="b">
        <v>0</v>
      </c>
      <c r="N84" s="236" t="b">
        <v>1</v>
      </c>
      <c r="O84" s="236" t="b">
        <v>1</v>
      </c>
      <c r="P84" s="236" t="b">
        <v>1</v>
      </c>
      <c r="Q84" s="236" t="b">
        <v>1</v>
      </c>
      <c r="R84" s="236" t="b">
        <v>1</v>
      </c>
      <c r="S84" s="236" t="b">
        <v>0</v>
      </c>
      <c r="T84" s="236" t="b">
        <v>1</v>
      </c>
      <c r="U84" s="236" t="b">
        <v>1</v>
      </c>
      <c r="V84" s="256" t="str" cm="1">
        <f t="array" ref="V84">IF(SUMPRODUCT((Cert_Matrix!$A$12:$A$21=E84)*(Cert_Matrix!$L$12:$W$21="X")*(H84:S84=TRUE))&lt;SUMPRODUCT((Cert_Matrix!$A$12:$A$21=E84)*(Cert_Matrix!$L$12:$W$21="X")),"Thiếu chứng nhận","Đủ điều kiện")</f>
        <v>Đủ điều kiện</v>
      </c>
      <c r="W84" s="287"/>
      <c r="X84" s="290"/>
      <c r="Y84" s="257" t="str">
        <f>VLOOKUP(B84,'HC Golf'!C:G,5,0)</f>
        <v>S3</v>
      </c>
    </row>
    <row r="85" spans="1:25">
      <c r="A85" s="256">
        <f>ROWS($B$5:B83)</f>
        <v>79</v>
      </c>
      <c r="B85" s="256" t="s">
        <v>1350</v>
      </c>
      <c r="C85" s="256" t="s">
        <v>972</v>
      </c>
      <c r="D85" s="256" t="s">
        <v>1225</v>
      </c>
      <c r="E85" s="256" t="s">
        <v>1149</v>
      </c>
      <c r="F85" s="256" t="s">
        <v>420</v>
      </c>
      <c r="G85" s="290">
        <v>46053</v>
      </c>
      <c r="H85" s="236" t="b">
        <v>1</v>
      </c>
      <c r="I85" s="236" t="b">
        <v>1</v>
      </c>
      <c r="J85" s="236" t="b">
        <v>1</v>
      </c>
      <c r="K85" s="236" t="b">
        <v>1</v>
      </c>
      <c r="L85" s="236" t="b">
        <v>0</v>
      </c>
      <c r="M85" s="236" t="b">
        <v>0</v>
      </c>
      <c r="N85" s="236" t="b">
        <v>0</v>
      </c>
      <c r="O85" s="236" t="b">
        <v>0</v>
      </c>
      <c r="P85" s="236" t="b">
        <v>0</v>
      </c>
      <c r="Q85" s="236" t="b">
        <v>0</v>
      </c>
      <c r="R85" s="236" t="b">
        <v>0</v>
      </c>
      <c r="S85" s="236" t="b">
        <v>0</v>
      </c>
      <c r="T85" s="236" t="b">
        <v>1</v>
      </c>
      <c r="U85" s="236" t="b">
        <v>1</v>
      </c>
      <c r="V85" s="256" t="str" cm="1">
        <f t="array" ref="V85">IF(SUMPRODUCT((Cert_Matrix!$A$12:$A$21=E85)*(Cert_Matrix!$L$12:$W$21="X")*(H85:S85=TRUE))&lt;SUMPRODUCT((Cert_Matrix!$A$12:$A$21=E85)*(Cert_Matrix!$L$12:$W$21="X")),"Thiếu chứng nhận","Đủ điều kiện")</f>
        <v>Đủ điều kiện</v>
      </c>
      <c r="W85" s="287"/>
      <c r="X85" s="290"/>
      <c r="Y85" s="257" t="str">
        <f>VLOOKUP(B85,'HC Golf'!C:G,5,0)</f>
        <v>S3</v>
      </c>
    </row>
    <row r="86" spans="1:25">
      <c r="A86" s="256">
        <f>ROWS($B$5:B84)</f>
        <v>80</v>
      </c>
      <c r="B86" s="256" t="s">
        <v>1351</v>
      </c>
      <c r="C86" s="256" t="s">
        <v>1352</v>
      </c>
      <c r="D86" s="256" t="s">
        <v>1225</v>
      </c>
      <c r="E86" s="256" t="s">
        <v>1149</v>
      </c>
      <c r="F86" s="256" t="s">
        <v>420</v>
      </c>
      <c r="G86" s="290">
        <v>46126</v>
      </c>
      <c r="H86" s="236" t="b">
        <v>1</v>
      </c>
      <c r="I86" s="236" t="b">
        <v>1</v>
      </c>
      <c r="J86" s="236" t="b">
        <v>1</v>
      </c>
      <c r="K86" s="236" t="b">
        <v>0</v>
      </c>
      <c r="L86" s="236" t="b">
        <v>0</v>
      </c>
      <c r="M86" s="236" t="b">
        <v>0</v>
      </c>
      <c r="N86" s="236" t="b">
        <v>0</v>
      </c>
      <c r="O86" s="236" t="b">
        <v>0</v>
      </c>
      <c r="P86" s="236" t="b">
        <v>0</v>
      </c>
      <c r="Q86" s="236" t="b">
        <v>0</v>
      </c>
      <c r="R86" s="236" t="b">
        <v>0</v>
      </c>
      <c r="S86" s="236" t="b">
        <v>0</v>
      </c>
      <c r="T86" s="236" t="b">
        <v>1</v>
      </c>
      <c r="U86" s="236" t="b">
        <v>1</v>
      </c>
      <c r="V86" s="256" t="str" cm="1">
        <f t="array" ref="V86">IF(SUMPRODUCT((Cert_Matrix!$A$12:$A$21=E86)*(Cert_Matrix!$L$12:$W$21="X")*(H86:S86=TRUE))&lt;SUMPRODUCT((Cert_Matrix!$A$12:$A$21=E86)*(Cert_Matrix!$L$12:$W$21="X")),"Thiếu chứng nhận","Đủ điều kiện")</f>
        <v>Đủ điều kiện</v>
      </c>
      <c r="W86" s="287"/>
      <c r="X86" s="290"/>
      <c r="Y86" s="257" t="str">
        <f>VLOOKUP(B86,'HC Golf'!C:G,5,0)</f>
        <v>S3</v>
      </c>
    </row>
    <row r="87" spans="1:25">
      <c r="A87" s="256">
        <f>ROWS($B$5:B85)</f>
        <v>81</v>
      </c>
      <c r="B87" s="256" t="s">
        <v>988</v>
      </c>
      <c r="C87" s="256" t="s">
        <v>989</v>
      </c>
      <c r="D87" s="256" t="s">
        <v>1225</v>
      </c>
      <c r="E87" s="256" t="s">
        <v>1148</v>
      </c>
      <c r="F87" s="256" t="s">
        <v>420</v>
      </c>
      <c r="G87" s="290">
        <v>46126</v>
      </c>
      <c r="H87" s="236" t="b">
        <v>1</v>
      </c>
      <c r="I87" s="236" t="b">
        <v>1</v>
      </c>
      <c r="J87" s="236" t="b">
        <v>1</v>
      </c>
      <c r="K87" s="236" t="b">
        <v>1</v>
      </c>
      <c r="L87" s="236" t="b">
        <v>0</v>
      </c>
      <c r="M87" s="236" t="b">
        <v>0</v>
      </c>
      <c r="N87" s="236" t="b">
        <v>0</v>
      </c>
      <c r="O87" s="236" t="b">
        <v>0</v>
      </c>
      <c r="P87" s="236" t="b">
        <v>0</v>
      </c>
      <c r="Q87" s="236" t="b">
        <v>0</v>
      </c>
      <c r="R87" s="236" t="b">
        <v>0</v>
      </c>
      <c r="S87" s="236" t="b">
        <v>1</v>
      </c>
      <c r="T87" s="236" t="b">
        <v>1</v>
      </c>
      <c r="U87" s="236" t="b">
        <v>1</v>
      </c>
      <c r="V87" s="256" t="str" cm="1">
        <f t="array" ref="V87">IF(SUMPRODUCT((Cert_Matrix!$A$12:$A$21=E87)*(Cert_Matrix!$L$12:$W$21="X")*(H87:S87=TRUE))&lt;SUMPRODUCT((Cert_Matrix!$A$12:$A$21=E87)*(Cert_Matrix!$L$12:$W$21="X")),"Thiếu chứng nhận","Đủ điều kiện")</f>
        <v>Đủ điều kiện</v>
      </c>
      <c r="W87" s="287"/>
      <c r="X87" s="290"/>
      <c r="Y87" s="257" t="str">
        <f>VLOOKUP(B87,'HC Golf'!C:G,5,0)</f>
        <v>S3</v>
      </c>
    </row>
    <row r="88" spans="1:25">
      <c r="A88" s="256">
        <f>ROWS($B$5:B86)</f>
        <v>82</v>
      </c>
      <c r="B88" s="256" t="s">
        <v>1353</v>
      </c>
      <c r="C88" s="256" t="s">
        <v>1354</v>
      </c>
      <c r="D88" s="256" t="s">
        <v>1225</v>
      </c>
      <c r="E88" s="256" t="s">
        <v>1148</v>
      </c>
      <c r="F88" s="256" t="s">
        <v>420</v>
      </c>
      <c r="G88" s="290">
        <v>46126</v>
      </c>
      <c r="H88" s="236" t="b">
        <v>1</v>
      </c>
      <c r="I88" s="236" t="b">
        <v>1</v>
      </c>
      <c r="J88" s="236" t="b">
        <v>1</v>
      </c>
      <c r="K88" s="236" t="b">
        <v>1</v>
      </c>
      <c r="L88" s="236" t="b">
        <v>0</v>
      </c>
      <c r="M88" s="236" t="b">
        <v>0</v>
      </c>
      <c r="N88" s="236" t="b">
        <v>0</v>
      </c>
      <c r="O88" s="236" t="b">
        <v>0</v>
      </c>
      <c r="P88" s="236" t="b">
        <v>0</v>
      </c>
      <c r="Q88" s="236" t="b">
        <v>0</v>
      </c>
      <c r="R88" s="236" t="b">
        <v>0</v>
      </c>
      <c r="S88" s="236" t="b">
        <v>0</v>
      </c>
      <c r="T88" s="236" t="b">
        <v>1</v>
      </c>
      <c r="U88" s="236" t="b">
        <v>1</v>
      </c>
      <c r="V88" s="256" t="str" cm="1">
        <f t="array" ref="V88">IF(SUMPRODUCT((Cert_Matrix!$A$12:$A$21=E88)*(Cert_Matrix!$L$12:$W$21="X")*(H88:S88=TRUE))&lt;SUMPRODUCT((Cert_Matrix!$A$12:$A$21=E88)*(Cert_Matrix!$L$12:$W$21="X")),"Thiếu chứng nhận","Đủ điều kiện")</f>
        <v>Đủ điều kiện</v>
      </c>
      <c r="W88" s="287"/>
      <c r="X88" s="290"/>
      <c r="Y88" s="257" t="str">
        <f>VLOOKUP(B88,'HC Golf'!C:G,5,0)</f>
        <v>S3</v>
      </c>
    </row>
    <row r="89" spans="1:25">
      <c r="A89" s="256">
        <f>ROWS($B$5:B87)</f>
        <v>83</v>
      </c>
      <c r="B89" s="256" t="s">
        <v>1355</v>
      </c>
      <c r="C89" s="256" t="s">
        <v>1356</v>
      </c>
      <c r="D89" s="256" t="s">
        <v>1309</v>
      </c>
      <c r="E89" s="256" t="s">
        <v>1150</v>
      </c>
      <c r="F89" s="256" t="s">
        <v>420</v>
      </c>
      <c r="G89" s="290">
        <v>45975</v>
      </c>
      <c r="H89" s="236" t="b">
        <v>0</v>
      </c>
      <c r="I89" s="236" t="b">
        <v>0</v>
      </c>
      <c r="J89" s="236" t="b">
        <v>0</v>
      </c>
      <c r="K89" s="236" t="b">
        <v>0</v>
      </c>
      <c r="L89" s="236" t="b">
        <v>1</v>
      </c>
      <c r="M89" s="236" t="b">
        <v>1</v>
      </c>
      <c r="N89" s="236" t="b">
        <v>0</v>
      </c>
      <c r="O89" s="236" t="b">
        <v>0</v>
      </c>
      <c r="P89" s="236" t="b">
        <v>0</v>
      </c>
      <c r="Q89" s="236" t="b">
        <v>0</v>
      </c>
      <c r="R89" s="236" t="b">
        <v>0</v>
      </c>
      <c r="S89" s="236" t="b">
        <v>0</v>
      </c>
      <c r="T89" s="236" t="b">
        <v>1</v>
      </c>
      <c r="U89" s="236" t="b">
        <v>1</v>
      </c>
      <c r="V89" s="256" t="str" cm="1">
        <f t="array" ref="V89">IF(SUMPRODUCT((Cert_Matrix!$A$12:$A$21=E89)*(Cert_Matrix!$L$12:$W$21="X")*(H89:S89=TRUE))&lt;SUMPRODUCT((Cert_Matrix!$A$12:$A$21=E89)*(Cert_Matrix!$L$12:$W$21="X")),"Thiếu chứng nhận","Đủ điều kiện")</f>
        <v>Đủ điều kiện</v>
      </c>
      <c r="W89" s="287"/>
      <c r="X89" s="290"/>
      <c r="Y89" s="257" t="str">
        <f>VLOOKUP(B89,'HC Golf'!C:G,5,0)</f>
        <v>S3</v>
      </c>
    </row>
    <row r="90" spans="1:25">
      <c r="A90" s="256">
        <f>ROWS($B$5:B88)</f>
        <v>84</v>
      </c>
      <c r="B90" s="256" t="s">
        <v>1357</v>
      </c>
      <c r="C90" s="256" t="s">
        <v>1358</v>
      </c>
      <c r="D90" s="256" t="s">
        <v>1225</v>
      </c>
      <c r="E90" s="256" t="s">
        <v>1150</v>
      </c>
      <c r="F90" s="256" t="s">
        <v>420</v>
      </c>
      <c r="G90" s="290">
        <v>46126</v>
      </c>
      <c r="H90" s="236" t="b">
        <v>1</v>
      </c>
      <c r="I90" s="236" t="b">
        <v>1</v>
      </c>
      <c r="J90" s="236" t="b">
        <v>0</v>
      </c>
      <c r="K90" s="236" t="b">
        <v>0</v>
      </c>
      <c r="L90" s="236" t="b">
        <v>1</v>
      </c>
      <c r="M90" s="236" t="b">
        <v>1</v>
      </c>
      <c r="N90" s="236" t="b">
        <v>0</v>
      </c>
      <c r="O90" s="236" t="b">
        <v>0</v>
      </c>
      <c r="P90" s="236" t="b">
        <v>0</v>
      </c>
      <c r="Q90" s="236" t="b">
        <v>0</v>
      </c>
      <c r="R90" s="236" t="b">
        <v>0</v>
      </c>
      <c r="S90" s="236" t="b">
        <v>0</v>
      </c>
      <c r="T90" s="236" t="b">
        <v>1</v>
      </c>
      <c r="U90" s="236" t="b">
        <v>1</v>
      </c>
      <c r="V90" s="256" t="str" cm="1">
        <f t="array" ref="V90">IF(SUMPRODUCT((Cert_Matrix!$A$12:$A$21=E90)*(Cert_Matrix!$L$12:$W$21="X")*(H90:S90=TRUE))&lt;SUMPRODUCT((Cert_Matrix!$A$12:$A$21=E90)*(Cert_Matrix!$L$12:$W$21="X")),"Thiếu chứng nhận","Đủ điều kiện")</f>
        <v>Đủ điều kiện</v>
      </c>
      <c r="W90" s="287"/>
      <c r="X90" s="290"/>
      <c r="Y90" s="257" t="str">
        <f>VLOOKUP(B90,'HC Golf'!C:G,5,0)</f>
        <v>S3</v>
      </c>
    </row>
    <row r="91" spans="1:25">
      <c r="A91" s="256">
        <f>ROWS($B$5:B89)</f>
        <v>85</v>
      </c>
      <c r="B91" s="256" t="s">
        <v>1359</v>
      </c>
      <c r="C91" s="256" t="s">
        <v>1360</v>
      </c>
      <c r="D91" s="256" t="s">
        <v>1225</v>
      </c>
      <c r="E91" s="256" t="s">
        <v>1148</v>
      </c>
      <c r="F91" s="256" t="s">
        <v>420</v>
      </c>
      <c r="G91" s="290">
        <v>45962</v>
      </c>
      <c r="H91" s="236" t="b">
        <v>1</v>
      </c>
      <c r="I91" s="236" t="b">
        <v>1</v>
      </c>
      <c r="J91" s="236" t="b">
        <v>0</v>
      </c>
      <c r="K91" s="236" t="b">
        <v>0</v>
      </c>
      <c r="L91" s="236" t="b">
        <v>1</v>
      </c>
      <c r="M91" s="236" t="b">
        <v>0</v>
      </c>
      <c r="N91" s="236" t="b">
        <v>0</v>
      </c>
      <c r="O91" s="236" t="b">
        <v>0</v>
      </c>
      <c r="P91" s="236" t="b">
        <v>0</v>
      </c>
      <c r="Q91" s="236" t="b">
        <v>0</v>
      </c>
      <c r="R91" s="236" t="b">
        <v>0</v>
      </c>
      <c r="S91" s="236" t="b">
        <v>0</v>
      </c>
      <c r="T91" s="236" t="b">
        <v>1</v>
      </c>
      <c r="U91" s="236" t="b">
        <v>1</v>
      </c>
      <c r="V91" s="256" t="str" cm="1">
        <f t="array" ref="V91">IF(SUMPRODUCT((Cert_Matrix!$A$12:$A$21=E91)*(Cert_Matrix!$L$12:$W$21="X")*(H91:S91=TRUE))&lt;SUMPRODUCT((Cert_Matrix!$A$12:$A$21=E91)*(Cert_Matrix!$L$12:$W$21="X")),"Thiếu chứng nhận","Đủ điều kiện")</f>
        <v>Đủ điều kiện</v>
      </c>
      <c r="W91" s="287"/>
      <c r="X91" s="290"/>
      <c r="Y91" s="257" t="str">
        <f>VLOOKUP(B91,'HC Golf'!C:G,5,0)</f>
        <v>S3</v>
      </c>
    </row>
    <row r="92" spans="1:25">
      <c r="A92" s="256">
        <f>ROWS($B$5:B90)</f>
        <v>86</v>
      </c>
      <c r="B92" s="256" t="s">
        <v>1361</v>
      </c>
      <c r="C92" s="256" t="s">
        <v>1362</v>
      </c>
      <c r="D92" s="256" t="s">
        <v>1225</v>
      </c>
      <c r="E92" s="256" t="s">
        <v>1149</v>
      </c>
      <c r="F92" s="256" t="s">
        <v>420</v>
      </c>
      <c r="G92" s="290">
        <v>45975</v>
      </c>
      <c r="H92" s="236" t="b">
        <v>0</v>
      </c>
      <c r="I92" s="236" t="b">
        <v>0</v>
      </c>
      <c r="J92" s="236" t="b">
        <v>1</v>
      </c>
      <c r="K92" s="236" t="b">
        <v>0</v>
      </c>
      <c r="L92" s="236" t="b">
        <v>0</v>
      </c>
      <c r="M92" s="236" t="b">
        <v>0</v>
      </c>
      <c r="N92" s="236" t="b">
        <v>0</v>
      </c>
      <c r="O92" s="236" t="b">
        <v>0</v>
      </c>
      <c r="P92" s="236" t="b">
        <v>0</v>
      </c>
      <c r="Q92" s="236" t="b">
        <v>0</v>
      </c>
      <c r="R92" s="236" t="b">
        <v>0</v>
      </c>
      <c r="S92" s="236" t="b">
        <v>0</v>
      </c>
      <c r="T92" s="236" t="b">
        <v>1</v>
      </c>
      <c r="U92" s="236" t="b">
        <v>1</v>
      </c>
      <c r="V92" s="256" t="str" cm="1">
        <f t="array" ref="V92">IF(SUMPRODUCT((Cert_Matrix!$A$12:$A$21=E92)*(Cert_Matrix!$L$12:$W$21="X")*(H92:S92=TRUE))&lt;SUMPRODUCT((Cert_Matrix!$A$12:$A$21=E92)*(Cert_Matrix!$L$12:$W$21="X")),"Thiếu chứng nhận","Đủ điều kiện")</f>
        <v>Đủ điều kiện</v>
      </c>
      <c r="W92" s="287"/>
      <c r="X92" s="290"/>
      <c r="Y92" s="257" t="str">
        <f>VLOOKUP(B92,'HC Golf'!C:G,5,0)</f>
        <v>S3</v>
      </c>
    </row>
    <row r="93" spans="1:25">
      <c r="A93" s="256">
        <f>ROWS($B$5:B91)</f>
        <v>87</v>
      </c>
      <c r="B93" s="256" t="s">
        <v>1363</v>
      </c>
      <c r="C93" s="256" t="s">
        <v>1364</v>
      </c>
      <c r="D93" s="256" t="s">
        <v>1225</v>
      </c>
      <c r="E93" s="256" t="s">
        <v>1149</v>
      </c>
      <c r="F93" s="256" t="s">
        <v>420</v>
      </c>
      <c r="G93" s="290">
        <v>45975</v>
      </c>
      <c r="H93" s="236" t="b">
        <v>1</v>
      </c>
      <c r="I93" s="236" t="b">
        <v>1</v>
      </c>
      <c r="J93" s="236" t="b">
        <v>1</v>
      </c>
      <c r="K93" s="236" t="b">
        <v>0</v>
      </c>
      <c r="L93" s="236" t="b">
        <v>0</v>
      </c>
      <c r="M93" s="236" t="b">
        <v>0</v>
      </c>
      <c r="N93" s="236" t="b">
        <v>0</v>
      </c>
      <c r="O93" s="236" t="b">
        <v>0</v>
      </c>
      <c r="P93" s="236" t="b">
        <v>0</v>
      </c>
      <c r="Q93" s="236" t="b">
        <v>0</v>
      </c>
      <c r="R93" s="236" t="b">
        <v>0</v>
      </c>
      <c r="S93" s="236" t="b">
        <v>1</v>
      </c>
      <c r="T93" s="236" t="b">
        <v>1</v>
      </c>
      <c r="U93" s="236" t="b">
        <v>1</v>
      </c>
      <c r="V93" s="256" t="str" cm="1">
        <f t="array" ref="V93">IF(SUMPRODUCT((Cert_Matrix!$A$12:$A$21=E93)*(Cert_Matrix!$L$12:$W$21="X")*(H93:S93=TRUE))&lt;SUMPRODUCT((Cert_Matrix!$A$12:$A$21=E93)*(Cert_Matrix!$L$12:$W$21="X")),"Thiếu chứng nhận","Đủ điều kiện")</f>
        <v>Đủ điều kiện</v>
      </c>
      <c r="W93" s="287"/>
      <c r="X93" s="290"/>
      <c r="Y93" s="257" t="str">
        <f>VLOOKUP(B93,'HC Golf'!C:G,5,0)</f>
        <v>S3</v>
      </c>
    </row>
    <row r="94" spans="1:25">
      <c r="A94" s="256">
        <f>ROWS($B$5:B92)</f>
        <v>88</v>
      </c>
      <c r="B94" s="256" t="s">
        <v>1365</v>
      </c>
      <c r="C94" s="256" t="s">
        <v>1366</v>
      </c>
      <c r="D94" s="256" t="s">
        <v>1225</v>
      </c>
      <c r="E94" s="256" t="s">
        <v>1148</v>
      </c>
      <c r="F94" s="256" t="s">
        <v>420</v>
      </c>
      <c r="G94" s="290"/>
      <c r="H94" s="236" t="b">
        <v>1</v>
      </c>
      <c r="I94" s="236" t="b">
        <v>1</v>
      </c>
      <c r="J94" s="236" t="b">
        <v>1</v>
      </c>
      <c r="K94" s="236" t="b">
        <v>0</v>
      </c>
      <c r="L94" s="236" t="b">
        <v>0</v>
      </c>
      <c r="M94" s="236" t="b">
        <v>0</v>
      </c>
      <c r="N94" s="236" t="b">
        <v>0</v>
      </c>
      <c r="O94" s="236" t="b">
        <v>0</v>
      </c>
      <c r="P94" s="236" t="b">
        <v>0</v>
      </c>
      <c r="Q94" s="236" t="b">
        <v>0</v>
      </c>
      <c r="R94" s="236" t="b">
        <v>0</v>
      </c>
      <c r="S94" s="236" t="b">
        <v>0</v>
      </c>
      <c r="T94" s="236" t="b">
        <v>1</v>
      </c>
      <c r="U94" s="236" t="b">
        <v>1</v>
      </c>
      <c r="V94" s="256" t="str" cm="1">
        <f t="array" ref="V94">IF(SUMPRODUCT((Cert_Matrix!$A$12:$A$21=E94)*(Cert_Matrix!$L$12:$W$21="X")*(H94:S94=TRUE))&lt;SUMPRODUCT((Cert_Matrix!$A$12:$A$21=E94)*(Cert_Matrix!$L$12:$W$21="X")),"Thiếu chứng nhận","Đủ điều kiện")</f>
        <v>Đủ điều kiện</v>
      </c>
      <c r="W94" s="287"/>
      <c r="X94" s="290"/>
      <c r="Y94" s="257" t="str">
        <f>VLOOKUP(B94,'HC Golf'!C:G,5,0)</f>
        <v>S3</v>
      </c>
    </row>
    <row r="95" spans="1:25">
      <c r="A95" s="256">
        <f>ROWS($B$5:B93)</f>
        <v>89</v>
      </c>
      <c r="B95" s="256" t="s">
        <v>1367</v>
      </c>
      <c r="C95" s="256" t="s">
        <v>450</v>
      </c>
      <c r="D95" s="256" t="s">
        <v>1225</v>
      </c>
      <c r="E95" s="256" t="s">
        <v>1149</v>
      </c>
      <c r="F95" s="256" t="s">
        <v>420</v>
      </c>
      <c r="G95" s="290">
        <v>46126</v>
      </c>
      <c r="H95" s="236" t="b">
        <v>1</v>
      </c>
      <c r="I95" s="236" t="b">
        <v>1</v>
      </c>
      <c r="J95" s="236" t="b">
        <v>1</v>
      </c>
      <c r="K95" s="236" t="b">
        <v>0</v>
      </c>
      <c r="L95" s="236" t="b">
        <v>0</v>
      </c>
      <c r="M95" s="236" t="b">
        <v>0</v>
      </c>
      <c r="N95" s="236" t="b">
        <v>0</v>
      </c>
      <c r="O95" s="236" t="b">
        <v>0</v>
      </c>
      <c r="P95" s="236" t="b">
        <v>0</v>
      </c>
      <c r="Q95" s="236" t="b">
        <v>0</v>
      </c>
      <c r="R95" s="236" t="b">
        <v>0</v>
      </c>
      <c r="S95" s="236" t="b">
        <v>1</v>
      </c>
      <c r="T95" s="236" t="b">
        <v>1</v>
      </c>
      <c r="U95" s="236" t="b">
        <v>1</v>
      </c>
      <c r="V95" s="256" t="str" cm="1">
        <f t="array" ref="V95">IF(SUMPRODUCT((Cert_Matrix!$A$12:$A$21=E95)*(Cert_Matrix!$L$12:$W$21="X")*(H95:S95=TRUE))&lt;SUMPRODUCT((Cert_Matrix!$A$12:$A$21=E95)*(Cert_Matrix!$L$12:$W$21="X")),"Thiếu chứng nhận","Đủ điều kiện")</f>
        <v>Đủ điều kiện</v>
      </c>
      <c r="W95" s="287"/>
      <c r="X95" s="290"/>
      <c r="Y95" s="257" t="str">
        <f>VLOOKUP(B95,'HC Golf'!C:G,5,0)</f>
        <v>S3</v>
      </c>
    </row>
    <row r="96" spans="1:25">
      <c r="A96" s="256">
        <f>ROWS($B$5:B94)</f>
        <v>90</v>
      </c>
      <c r="B96" s="256" t="s">
        <v>1368</v>
      </c>
      <c r="C96" s="256" t="s">
        <v>970</v>
      </c>
      <c r="D96" s="256" t="s">
        <v>1225</v>
      </c>
      <c r="E96" s="256" t="s">
        <v>1149</v>
      </c>
      <c r="F96" s="256" t="s">
        <v>420</v>
      </c>
      <c r="G96" s="290">
        <v>45858</v>
      </c>
      <c r="H96" s="236" t="b">
        <v>0</v>
      </c>
      <c r="I96" s="236" t="b">
        <v>0</v>
      </c>
      <c r="J96" s="236" t="b">
        <v>1</v>
      </c>
      <c r="K96" s="236" t="b">
        <v>0</v>
      </c>
      <c r="L96" s="236" t="b">
        <v>0</v>
      </c>
      <c r="M96" s="236" t="b">
        <v>0</v>
      </c>
      <c r="N96" s="236" t="b">
        <v>0</v>
      </c>
      <c r="O96" s="236" t="b">
        <v>0</v>
      </c>
      <c r="P96" s="236" t="b">
        <v>0</v>
      </c>
      <c r="Q96" s="236" t="b">
        <v>0</v>
      </c>
      <c r="R96" s="236" t="b">
        <v>0</v>
      </c>
      <c r="S96" s="236" t="b">
        <v>0</v>
      </c>
      <c r="T96" s="236" t="b">
        <v>1</v>
      </c>
      <c r="U96" s="236" t="b">
        <v>1</v>
      </c>
      <c r="V96" s="256" t="str" cm="1">
        <f t="array" ref="V96">IF(SUMPRODUCT((Cert_Matrix!$A$12:$A$21=E96)*(Cert_Matrix!$L$12:$W$21="X")*(H96:S96=TRUE))&lt;SUMPRODUCT((Cert_Matrix!$A$12:$A$21=E96)*(Cert_Matrix!$L$12:$W$21="X")),"Thiếu chứng nhận","Đủ điều kiện")</f>
        <v>Đủ điều kiện</v>
      </c>
      <c r="W96" s="287"/>
      <c r="X96" s="290"/>
      <c r="Y96" s="257" t="str">
        <f>VLOOKUP(B96,'HC Golf'!C:G,5,0)</f>
        <v>S3</v>
      </c>
    </row>
    <row r="97" spans="1:25">
      <c r="A97" s="256">
        <f>ROWS($B$5:B96)</f>
        <v>92</v>
      </c>
      <c r="B97" s="256" t="s">
        <v>451</v>
      </c>
      <c r="C97" s="256" t="s">
        <v>452</v>
      </c>
      <c r="D97" s="256" t="s">
        <v>1296</v>
      </c>
      <c r="E97" s="256" t="s">
        <v>1147</v>
      </c>
      <c r="F97" s="256" t="s">
        <v>420</v>
      </c>
      <c r="G97" s="290"/>
      <c r="H97" s="236" t="b">
        <v>1</v>
      </c>
      <c r="I97" s="236" t="b">
        <v>1</v>
      </c>
      <c r="J97" s="236" t="b">
        <v>1</v>
      </c>
      <c r="K97" s="236" t="b">
        <v>1</v>
      </c>
      <c r="L97" s="236" t="b">
        <v>0</v>
      </c>
      <c r="M97" s="236" t="b">
        <v>0</v>
      </c>
      <c r="N97" s="236" t="b">
        <v>0</v>
      </c>
      <c r="O97" s="236" t="b">
        <v>0</v>
      </c>
      <c r="P97" s="236" t="b">
        <v>0</v>
      </c>
      <c r="Q97" s="236" t="b">
        <v>0</v>
      </c>
      <c r="R97" s="236" t="b">
        <v>0</v>
      </c>
      <c r="S97" s="236" t="b">
        <v>0</v>
      </c>
      <c r="T97" s="236" t="b">
        <v>1</v>
      </c>
      <c r="U97" s="236" t="b">
        <v>0</v>
      </c>
      <c r="V97" s="256" t="str" cm="1">
        <f t="array" ref="V97">IF(SUMPRODUCT((Cert_Matrix!$A$12:$A$21=E97)*(Cert_Matrix!$L$12:$W$21="X")*(H97:S97=TRUE))&lt;SUMPRODUCT((Cert_Matrix!$A$12:$A$21=E97)*(Cert_Matrix!$L$12:$W$21="X")),"Thiếu chứng nhận","Đủ điều kiện")</f>
        <v>Đủ điều kiện</v>
      </c>
      <c r="W97" s="287"/>
      <c r="X97" s="290"/>
      <c r="Y97" s="257" t="str">
        <f>VLOOKUP(B97,'HC Golf'!C:G,5,0)</f>
        <v>S1</v>
      </c>
    </row>
    <row r="98" spans="1:25">
      <c r="A98" s="256">
        <f>ROWS($B$5:B96)</f>
        <v>92</v>
      </c>
      <c r="B98" s="256" t="s">
        <v>563</v>
      </c>
      <c r="C98" s="256" t="s">
        <v>564</v>
      </c>
      <c r="D98" s="256" t="s">
        <v>1293</v>
      </c>
      <c r="E98" s="256" t="s">
        <v>1147</v>
      </c>
      <c r="F98" s="256" t="s">
        <v>420</v>
      </c>
      <c r="G98" s="290"/>
      <c r="H98" s="236" t="b">
        <v>1</v>
      </c>
      <c r="I98" s="236" t="b">
        <v>1</v>
      </c>
      <c r="J98" s="236" t="b">
        <v>1</v>
      </c>
      <c r="K98" s="236" t="b">
        <v>1</v>
      </c>
      <c r="L98" s="236" t="b">
        <v>0</v>
      </c>
      <c r="M98" s="236" t="b">
        <v>0</v>
      </c>
      <c r="N98" s="236" t="b">
        <v>0</v>
      </c>
      <c r="O98" s="236" t="b">
        <v>0</v>
      </c>
      <c r="P98" s="236" t="b">
        <v>0</v>
      </c>
      <c r="Q98" s="236" t="b">
        <v>0</v>
      </c>
      <c r="R98" s="236" t="b">
        <v>0</v>
      </c>
      <c r="S98" s="236" t="b">
        <v>0</v>
      </c>
      <c r="T98" s="236" t="b">
        <v>1</v>
      </c>
      <c r="U98" s="236" t="b">
        <v>0</v>
      </c>
      <c r="V98" s="256" t="str" cm="1">
        <f t="array" ref="V98">IF(SUMPRODUCT((Cert_Matrix!$A$12:$A$21=E98)*(Cert_Matrix!$L$12:$W$21="X")*(H98:S98=TRUE))&lt;SUMPRODUCT((Cert_Matrix!$A$12:$A$21=E98)*(Cert_Matrix!$L$12:$W$21="X")),"Thiếu chứng nhận","Đủ điều kiện")</f>
        <v>Đủ điều kiện</v>
      </c>
      <c r="W98" s="287"/>
      <c r="X98" s="290"/>
      <c r="Y98" s="257" t="str">
        <f>VLOOKUP(B98,'HC Golf'!C:G,5,0)</f>
        <v>S1</v>
      </c>
    </row>
    <row r="99" spans="1:25">
      <c r="A99" s="256">
        <f>ROWS($B$5:B97)</f>
        <v>93</v>
      </c>
      <c r="B99" s="256" t="s">
        <v>631</v>
      </c>
      <c r="C99" s="256" t="s">
        <v>632</v>
      </c>
      <c r="D99" s="256" t="s">
        <v>1296</v>
      </c>
      <c r="E99" s="256" t="s">
        <v>1148</v>
      </c>
      <c r="F99" s="256" t="s">
        <v>420</v>
      </c>
      <c r="G99" s="290"/>
      <c r="H99" s="236" t="b">
        <v>1</v>
      </c>
      <c r="I99" s="236" t="b">
        <v>1</v>
      </c>
      <c r="J99" s="236" t="b">
        <v>1</v>
      </c>
      <c r="K99" s="236" t="b">
        <v>0</v>
      </c>
      <c r="L99" s="236" t="b">
        <v>0</v>
      </c>
      <c r="M99" s="236" t="b">
        <v>0</v>
      </c>
      <c r="N99" s="236" t="b">
        <v>0</v>
      </c>
      <c r="O99" s="236" t="b">
        <v>0</v>
      </c>
      <c r="P99" s="236" t="b">
        <v>0</v>
      </c>
      <c r="Q99" s="236" t="b">
        <v>0</v>
      </c>
      <c r="R99" s="236" t="b">
        <v>0</v>
      </c>
      <c r="S99" s="236" t="b">
        <v>0</v>
      </c>
      <c r="T99" s="236" t="b">
        <v>1</v>
      </c>
      <c r="U99" s="236" t="b">
        <v>0</v>
      </c>
      <c r="V99" s="256" t="str" cm="1">
        <f t="array" ref="V99">IF(SUMPRODUCT((Cert_Matrix!$A$12:$A$21=E99)*(Cert_Matrix!$L$12:$W$21="X")*(H99:S99=TRUE))&lt;SUMPRODUCT((Cert_Matrix!$A$12:$A$21=E99)*(Cert_Matrix!$L$12:$W$21="X")),"Thiếu chứng nhận","Đủ điều kiện")</f>
        <v>Đủ điều kiện</v>
      </c>
      <c r="W99" s="287"/>
      <c r="X99" s="290"/>
      <c r="Y99" s="257" t="str">
        <f>VLOOKUP(B99,'HC Golf'!C:G,5,0)</f>
        <v>S1</v>
      </c>
    </row>
    <row r="100" spans="1:25">
      <c r="A100" s="256">
        <f>ROWS($B$5:B98)</f>
        <v>94</v>
      </c>
      <c r="B100" s="256" t="s">
        <v>463</v>
      </c>
      <c r="C100" s="256" t="s">
        <v>464</v>
      </c>
      <c r="D100" s="256" t="s">
        <v>1303</v>
      </c>
      <c r="E100" s="256" t="s">
        <v>1149</v>
      </c>
      <c r="F100" s="256" t="s">
        <v>420</v>
      </c>
      <c r="G100" s="290"/>
      <c r="H100" s="236" t="b">
        <v>1</v>
      </c>
      <c r="I100" s="236" t="b">
        <v>1</v>
      </c>
      <c r="J100" s="236" t="b">
        <v>1</v>
      </c>
      <c r="K100" s="236" t="b">
        <v>0</v>
      </c>
      <c r="L100" s="236" t="b">
        <v>0</v>
      </c>
      <c r="M100" s="236" t="b">
        <v>0</v>
      </c>
      <c r="N100" s="236" t="b">
        <v>0</v>
      </c>
      <c r="O100" s="236" t="b">
        <v>0</v>
      </c>
      <c r="P100" s="236" t="b">
        <v>0</v>
      </c>
      <c r="Q100" s="236" t="b">
        <v>0</v>
      </c>
      <c r="R100" s="236" t="b">
        <v>0</v>
      </c>
      <c r="S100" s="236" t="b">
        <v>0</v>
      </c>
      <c r="T100" s="236" t="b">
        <v>1</v>
      </c>
      <c r="U100" s="236" t="b">
        <v>0</v>
      </c>
      <c r="V100" s="256" t="str" cm="1">
        <f t="array" ref="V100">IF(SUMPRODUCT((Cert_Matrix!$A$12:$A$21=E100)*(Cert_Matrix!$L$12:$W$21="X")*(H100:S100=TRUE))&lt;SUMPRODUCT((Cert_Matrix!$A$12:$A$21=E100)*(Cert_Matrix!$L$12:$W$21="X")),"Thiếu chứng nhận","Đủ điều kiện")</f>
        <v>Đủ điều kiện</v>
      </c>
      <c r="W100" s="287"/>
      <c r="X100" s="290"/>
      <c r="Y100" s="257" t="str">
        <f>VLOOKUP(B100,'HC Golf'!C:G,5,0)</f>
        <v>S1</v>
      </c>
    </row>
    <row r="101" spans="1:25">
      <c r="A101" s="256">
        <f>ROWS($B$5:B99)</f>
        <v>95</v>
      </c>
      <c r="B101" s="256" t="s">
        <v>487</v>
      </c>
      <c r="C101" s="256" t="s">
        <v>488</v>
      </c>
      <c r="D101" s="256" t="s">
        <v>1296</v>
      </c>
      <c r="E101" s="256" t="s">
        <v>1148</v>
      </c>
      <c r="F101" s="256" t="s">
        <v>420</v>
      </c>
      <c r="G101" s="290"/>
      <c r="H101" s="236" t="b">
        <v>1</v>
      </c>
      <c r="I101" s="236" t="b">
        <v>1</v>
      </c>
      <c r="J101" s="236" t="b">
        <v>1</v>
      </c>
      <c r="K101" s="236" t="b">
        <v>1</v>
      </c>
      <c r="L101" s="236" t="b">
        <v>0</v>
      </c>
      <c r="M101" s="236" t="b">
        <v>0</v>
      </c>
      <c r="N101" s="236" t="b">
        <v>0</v>
      </c>
      <c r="O101" s="236" t="b">
        <v>0</v>
      </c>
      <c r="P101" s="236" t="b">
        <v>0</v>
      </c>
      <c r="Q101" s="236" t="b">
        <v>0</v>
      </c>
      <c r="R101" s="236" t="b">
        <v>0</v>
      </c>
      <c r="S101" s="236" t="b">
        <v>0</v>
      </c>
      <c r="T101" s="236" t="b">
        <v>1</v>
      </c>
      <c r="U101" s="236" t="b">
        <v>0</v>
      </c>
      <c r="V101" s="256" t="str" cm="1">
        <f t="array" ref="V101">IF(SUMPRODUCT((Cert_Matrix!$A$12:$A$21=E101)*(Cert_Matrix!$L$12:$W$21="X")*(H101:S101=TRUE))&lt;SUMPRODUCT((Cert_Matrix!$A$12:$A$21=E101)*(Cert_Matrix!$L$12:$W$21="X")),"Thiếu chứng nhận","Đủ điều kiện")</f>
        <v>Đủ điều kiện</v>
      </c>
      <c r="W101" s="287"/>
      <c r="X101" s="290"/>
      <c r="Y101" s="257" t="str">
        <f>VLOOKUP(B101,'HC Golf'!C:G,5,0)</f>
        <v>S1</v>
      </c>
    </row>
    <row r="102" spans="1:25">
      <c r="A102" s="256">
        <f>ROWS($B$5:B100)</f>
        <v>96</v>
      </c>
      <c r="B102" s="256" t="s">
        <v>467</v>
      </c>
      <c r="C102" s="256" t="s">
        <v>468</v>
      </c>
      <c r="D102" s="256" t="s">
        <v>1369</v>
      </c>
      <c r="E102" s="256" t="s">
        <v>1300</v>
      </c>
      <c r="F102" s="256" t="s">
        <v>420</v>
      </c>
      <c r="G102" s="290"/>
      <c r="H102" s="236" t="b">
        <v>0</v>
      </c>
      <c r="I102" s="236" t="b">
        <v>0</v>
      </c>
      <c r="J102" s="236" t="b">
        <v>0</v>
      </c>
      <c r="K102" s="236" t="b">
        <v>0</v>
      </c>
      <c r="L102" s="236" t="b">
        <v>0</v>
      </c>
      <c r="M102" s="236" t="b">
        <v>0</v>
      </c>
      <c r="N102" s="236" t="b">
        <v>1</v>
      </c>
      <c r="O102" s="236" t="b">
        <v>1</v>
      </c>
      <c r="P102" s="236" t="b">
        <v>1</v>
      </c>
      <c r="Q102" s="236" t="b">
        <v>0</v>
      </c>
      <c r="R102" s="236" t="b">
        <v>0</v>
      </c>
      <c r="S102" s="236" t="b">
        <v>0</v>
      </c>
      <c r="T102" s="236" t="b">
        <v>1</v>
      </c>
      <c r="U102" s="236" t="b">
        <v>0</v>
      </c>
      <c r="V102" s="256" t="str" cm="1">
        <f t="array" ref="V102">IF(SUMPRODUCT((Cert_Matrix!$A$12:$A$21=E102)*(Cert_Matrix!$L$12:$W$21="X")*(H102:S102=TRUE))&lt;SUMPRODUCT((Cert_Matrix!$A$12:$A$21=E102)*(Cert_Matrix!$L$12:$W$21="X")),"Thiếu chứng nhận","Đủ điều kiện")</f>
        <v>Đủ điều kiện</v>
      </c>
      <c r="W102" s="287"/>
      <c r="X102" s="290"/>
      <c r="Y102" s="257" t="str">
        <f>VLOOKUP(B102,'HC Golf'!C:G,5,0)</f>
        <v>S1</v>
      </c>
    </row>
    <row r="103" spans="1:25">
      <c r="A103" s="256">
        <f>ROWS($B$5:B101)</f>
        <v>97</v>
      </c>
      <c r="B103" s="256" t="s">
        <v>567</v>
      </c>
      <c r="C103" s="256" t="s">
        <v>568</v>
      </c>
      <c r="D103" s="256" t="s">
        <v>1293</v>
      </c>
      <c r="E103" s="256" t="s">
        <v>1148</v>
      </c>
      <c r="F103" s="256" t="s">
        <v>420</v>
      </c>
      <c r="G103" s="290"/>
      <c r="H103" s="236" t="b">
        <v>1</v>
      </c>
      <c r="I103" s="236" t="b">
        <v>1</v>
      </c>
      <c r="J103" s="236" t="b">
        <v>1</v>
      </c>
      <c r="K103" s="236" t="b">
        <v>0</v>
      </c>
      <c r="L103" s="236" t="b">
        <v>0</v>
      </c>
      <c r="M103" s="236" t="b">
        <v>0</v>
      </c>
      <c r="N103" s="236" t="b">
        <v>0</v>
      </c>
      <c r="O103" s="236" t="b">
        <v>0</v>
      </c>
      <c r="P103" s="236" t="b">
        <v>0</v>
      </c>
      <c r="Q103" s="236" t="b">
        <v>0</v>
      </c>
      <c r="R103" s="236" t="b">
        <v>0</v>
      </c>
      <c r="S103" s="236" t="b">
        <v>0</v>
      </c>
      <c r="T103" s="236" t="b">
        <v>1</v>
      </c>
      <c r="U103" s="236" t="b">
        <v>0</v>
      </c>
      <c r="V103" s="256" t="str" cm="1">
        <f t="array" ref="V103">IF(SUMPRODUCT((Cert_Matrix!$A$12:$A$21=E103)*(Cert_Matrix!$L$12:$W$21="X")*(H103:S103=TRUE))&lt;SUMPRODUCT((Cert_Matrix!$A$12:$A$21=E103)*(Cert_Matrix!$L$12:$W$21="X")),"Thiếu chứng nhận","Đủ điều kiện")</f>
        <v>Đủ điều kiện</v>
      </c>
      <c r="W103" s="287"/>
      <c r="X103" s="290"/>
      <c r="Y103" s="257" t="str">
        <f>VLOOKUP(B103,'HC Golf'!C:G,5,0)</f>
        <v>S1</v>
      </c>
    </row>
    <row r="104" spans="1:25">
      <c r="A104" s="256">
        <f>ROWS($B$5:B102)</f>
        <v>98</v>
      </c>
      <c r="B104" s="256" t="s">
        <v>449</v>
      </c>
      <c r="C104" s="256" t="s">
        <v>450</v>
      </c>
      <c r="D104" s="256" t="s">
        <v>1296</v>
      </c>
      <c r="E104" s="256" t="s">
        <v>1149</v>
      </c>
      <c r="F104" s="256" t="s">
        <v>420</v>
      </c>
      <c r="G104" s="290"/>
      <c r="H104" s="236" t="b">
        <v>1</v>
      </c>
      <c r="I104" s="236" t="b">
        <v>1</v>
      </c>
      <c r="J104" s="236" t="b">
        <v>1</v>
      </c>
      <c r="K104" s="236" t="b">
        <v>0</v>
      </c>
      <c r="L104" s="236" t="b">
        <v>0</v>
      </c>
      <c r="M104" s="236" t="b">
        <v>0</v>
      </c>
      <c r="N104" s="236" t="b">
        <v>0</v>
      </c>
      <c r="O104" s="236" t="b">
        <v>0</v>
      </c>
      <c r="P104" s="236" t="b">
        <v>0</v>
      </c>
      <c r="Q104" s="236" t="b">
        <v>0</v>
      </c>
      <c r="R104" s="236" t="b">
        <v>0</v>
      </c>
      <c r="S104" s="236" t="b">
        <v>0</v>
      </c>
      <c r="T104" s="236" t="b">
        <v>1</v>
      </c>
      <c r="U104" s="236" t="b">
        <v>0</v>
      </c>
      <c r="V104" s="256" t="str" cm="1">
        <f t="array" ref="V104">IF(SUMPRODUCT((Cert_Matrix!$A$12:$A$21=E104)*(Cert_Matrix!$L$12:$W$21="X")*(H104:S104=TRUE))&lt;SUMPRODUCT((Cert_Matrix!$A$12:$A$21=E104)*(Cert_Matrix!$L$12:$W$21="X")),"Thiếu chứng nhận","Đủ điều kiện")</f>
        <v>Đủ điều kiện</v>
      </c>
      <c r="W104" s="287"/>
      <c r="X104" s="290"/>
      <c r="Y104" s="257" t="str">
        <f>VLOOKUP(B104,'HC Golf'!C:G,5,0)</f>
        <v>S1</v>
      </c>
    </row>
    <row r="105" spans="1:25">
      <c r="A105" s="256">
        <f>ROWS($B$5:B103)</f>
        <v>99</v>
      </c>
      <c r="B105" s="256" t="s">
        <v>453</v>
      </c>
      <c r="C105" s="256" t="s">
        <v>454</v>
      </c>
      <c r="D105" s="256" t="s">
        <v>1293</v>
      </c>
      <c r="E105" s="256" t="s">
        <v>1147</v>
      </c>
      <c r="F105" s="256" t="s">
        <v>420</v>
      </c>
      <c r="G105" s="290"/>
      <c r="H105" s="236" t="b">
        <v>1</v>
      </c>
      <c r="I105" s="236" t="b">
        <v>1</v>
      </c>
      <c r="J105" s="236" t="b">
        <v>1</v>
      </c>
      <c r="K105" s="236" t="b">
        <v>1</v>
      </c>
      <c r="L105" s="236" t="b">
        <v>0</v>
      </c>
      <c r="M105" s="236" t="b">
        <v>0</v>
      </c>
      <c r="N105" s="236" t="b">
        <v>0</v>
      </c>
      <c r="O105" s="236" t="b">
        <v>0</v>
      </c>
      <c r="P105" s="236" t="b">
        <v>0</v>
      </c>
      <c r="Q105" s="236" t="b">
        <v>0</v>
      </c>
      <c r="R105" s="236" t="b">
        <v>0</v>
      </c>
      <c r="S105" s="236" t="b">
        <v>0</v>
      </c>
      <c r="T105" s="236" t="b">
        <v>1</v>
      </c>
      <c r="U105" s="236" t="b">
        <v>0</v>
      </c>
      <c r="V105" s="256" t="str" cm="1">
        <f t="array" ref="V105">IF(SUMPRODUCT((Cert_Matrix!$A$12:$A$21=E105)*(Cert_Matrix!$L$12:$W$21="X")*(H105:S105=TRUE))&lt;SUMPRODUCT((Cert_Matrix!$A$12:$A$21=E105)*(Cert_Matrix!$L$12:$W$21="X")),"Thiếu chứng nhận","Đủ điều kiện")</f>
        <v>Đủ điều kiện</v>
      </c>
      <c r="W105" s="287"/>
      <c r="X105" s="290"/>
      <c r="Y105" s="257" t="str">
        <f>VLOOKUP(B105,'HC Golf'!C:G,5,0)</f>
        <v>S1</v>
      </c>
    </row>
    <row r="106" spans="1:25">
      <c r="A106" s="256">
        <f>ROWS($B$5:B104)</f>
        <v>100</v>
      </c>
      <c r="B106" s="256" t="s">
        <v>558</v>
      </c>
      <c r="C106" s="256" t="s">
        <v>338</v>
      </c>
      <c r="D106" s="256" t="s">
        <v>1297</v>
      </c>
      <c r="E106" s="256" t="s">
        <v>1148</v>
      </c>
      <c r="F106" s="256" t="s">
        <v>420</v>
      </c>
      <c r="G106" s="290"/>
      <c r="H106" s="236" t="b">
        <v>1</v>
      </c>
      <c r="I106" s="236" t="b">
        <v>1</v>
      </c>
      <c r="J106" s="236" t="b">
        <v>1</v>
      </c>
      <c r="K106" s="236" t="b">
        <v>1</v>
      </c>
      <c r="L106" s="236" t="b">
        <v>1</v>
      </c>
      <c r="M106" s="236" t="b">
        <v>1</v>
      </c>
      <c r="N106" s="236" t="b">
        <v>1</v>
      </c>
      <c r="O106" s="236" t="b">
        <v>1</v>
      </c>
      <c r="P106" s="236" t="b">
        <v>1</v>
      </c>
      <c r="Q106" s="236" t="b">
        <v>1</v>
      </c>
      <c r="R106" s="236" t="b">
        <v>1</v>
      </c>
      <c r="S106" s="236" t="b">
        <v>0</v>
      </c>
      <c r="T106" s="236" t="b">
        <v>1</v>
      </c>
      <c r="U106" s="236" t="b">
        <v>1</v>
      </c>
      <c r="V106" s="256" t="str" cm="1">
        <f t="array" ref="V106">IF(SUMPRODUCT((Cert_Matrix!$A$12:$A$21=E106)*(Cert_Matrix!$L$12:$W$21="X")*(H106:S106=TRUE))&lt;SUMPRODUCT((Cert_Matrix!$A$12:$A$21=E106)*(Cert_Matrix!$L$12:$W$21="X")),"Thiếu chứng nhận","Đủ điều kiện")</f>
        <v>Đủ điều kiện</v>
      </c>
      <c r="W106" s="287"/>
      <c r="X106" s="290"/>
      <c r="Y106" s="257" t="str">
        <f>VLOOKUP(B106,'HC Golf'!C:G,5,0)</f>
        <v>S1</v>
      </c>
    </row>
    <row r="107" spans="1:25">
      <c r="A107" s="256">
        <f>ROWS($B$5:B105)</f>
        <v>101</v>
      </c>
      <c r="B107" s="256" t="s">
        <v>495</v>
      </c>
      <c r="C107" s="256" t="s">
        <v>496</v>
      </c>
      <c r="D107" s="256" t="s">
        <v>1302</v>
      </c>
      <c r="E107" s="256" t="s">
        <v>1150</v>
      </c>
      <c r="F107" s="256" t="s">
        <v>420</v>
      </c>
      <c r="G107" s="290"/>
      <c r="H107" s="236" t="b">
        <v>0</v>
      </c>
      <c r="I107" s="236" t="b">
        <v>0</v>
      </c>
      <c r="J107" s="236" t="b">
        <v>0</v>
      </c>
      <c r="K107" s="236" t="b">
        <v>0</v>
      </c>
      <c r="L107" s="236" t="b">
        <v>1</v>
      </c>
      <c r="M107" s="236" t="b">
        <v>1</v>
      </c>
      <c r="N107" s="236" t="b">
        <v>0</v>
      </c>
      <c r="O107" s="236" t="b">
        <v>0</v>
      </c>
      <c r="P107" s="236" t="b">
        <v>0</v>
      </c>
      <c r="Q107" s="236" t="b">
        <v>0</v>
      </c>
      <c r="R107" s="236" t="b">
        <v>0</v>
      </c>
      <c r="S107" s="236" t="b">
        <v>0</v>
      </c>
      <c r="T107" s="236" t="b">
        <v>1</v>
      </c>
      <c r="U107" s="236" t="b">
        <v>0</v>
      </c>
      <c r="V107" s="256" t="str" cm="1">
        <f t="array" ref="V107">IF(SUMPRODUCT((Cert_Matrix!$A$12:$A$21=E107)*(Cert_Matrix!$L$12:$W$21="X")*(H107:S107=TRUE))&lt;SUMPRODUCT((Cert_Matrix!$A$12:$A$21=E107)*(Cert_Matrix!$L$12:$W$21="X")),"Thiếu chứng nhận","Đủ điều kiện")</f>
        <v>Đủ điều kiện</v>
      </c>
      <c r="W107" s="287"/>
      <c r="X107" s="290"/>
      <c r="Y107" s="257" t="str">
        <f>VLOOKUP(B107,'HC Golf'!C:G,5,0)</f>
        <v>S1</v>
      </c>
    </row>
    <row r="108" spans="1:25">
      <c r="A108" s="256">
        <f>ROWS($B$5:B106)</f>
        <v>102</v>
      </c>
      <c r="B108" s="256" t="s">
        <v>443</v>
      </c>
      <c r="C108" s="256" t="s">
        <v>444</v>
      </c>
      <c r="D108" s="256" t="s">
        <v>1296</v>
      </c>
      <c r="E108" s="256" t="s">
        <v>1148</v>
      </c>
      <c r="F108" s="256" t="s">
        <v>420</v>
      </c>
      <c r="G108" s="290"/>
      <c r="H108" s="236" t="b">
        <v>1</v>
      </c>
      <c r="I108" s="236" t="b">
        <v>1</v>
      </c>
      <c r="J108" s="236" t="b">
        <v>1</v>
      </c>
      <c r="K108" s="236" t="b">
        <v>0</v>
      </c>
      <c r="L108" s="236" t="b">
        <v>0</v>
      </c>
      <c r="M108" s="236" t="b">
        <v>0</v>
      </c>
      <c r="N108" s="236" t="b">
        <v>0</v>
      </c>
      <c r="O108" s="236" t="b">
        <v>0</v>
      </c>
      <c r="P108" s="236" t="b">
        <v>0</v>
      </c>
      <c r="Q108" s="236" t="b">
        <v>0</v>
      </c>
      <c r="R108" s="236" t="b">
        <v>0</v>
      </c>
      <c r="S108" s="236" t="b">
        <v>0</v>
      </c>
      <c r="T108" s="236" t="b">
        <v>1</v>
      </c>
      <c r="U108" s="236" t="b">
        <v>0</v>
      </c>
      <c r="V108" s="256" t="str" cm="1">
        <f t="array" ref="V108">IF(SUMPRODUCT((Cert_Matrix!$A$12:$A$21=E108)*(Cert_Matrix!$L$12:$W$21="X")*(H108:S108=TRUE))&lt;SUMPRODUCT((Cert_Matrix!$A$12:$A$21=E108)*(Cert_Matrix!$L$12:$W$21="X")),"Thiếu chứng nhận","Đủ điều kiện")</f>
        <v>Đủ điều kiện</v>
      </c>
      <c r="W108" s="287"/>
      <c r="X108" s="290"/>
      <c r="Y108" s="257" t="str">
        <f>VLOOKUP(B108,'HC Golf'!C:G,5,0)</f>
        <v>S1</v>
      </c>
    </row>
    <row r="109" spans="1:25">
      <c r="A109" s="256">
        <f>ROWS($B$5:B107)</f>
        <v>103</v>
      </c>
      <c r="B109" s="256" t="s">
        <v>445</v>
      </c>
      <c r="C109" s="256" t="s">
        <v>446</v>
      </c>
      <c r="D109" s="256" t="s">
        <v>1303</v>
      </c>
      <c r="E109" s="256" t="s">
        <v>1148</v>
      </c>
      <c r="F109" s="256" t="s">
        <v>420</v>
      </c>
      <c r="G109" s="290"/>
      <c r="H109" s="236" t="b">
        <v>1</v>
      </c>
      <c r="I109" s="236" t="b">
        <v>1</v>
      </c>
      <c r="J109" s="236" t="b">
        <v>1</v>
      </c>
      <c r="K109" s="236" t="b">
        <v>0</v>
      </c>
      <c r="L109" s="236" t="b">
        <v>1</v>
      </c>
      <c r="M109" s="236" t="b">
        <v>0</v>
      </c>
      <c r="N109" s="236" t="b">
        <v>1</v>
      </c>
      <c r="O109" s="236" t="b">
        <v>0</v>
      </c>
      <c r="P109" s="236" t="b">
        <v>0</v>
      </c>
      <c r="Q109" s="236" t="b">
        <v>0</v>
      </c>
      <c r="R109" s="236" t="b">
        <v>0</v>
      </c>
      <c r="S109" s="236" t="b">
        <v>0</v>
      </c>
      <c r="T109" s="236" t="b">
        <v>1</v>
      </c>
      <c r="U109" s="236" t="b">
        <v>0</v>
      </c>
      <c r="V109" s="256" t="str" cm="1">
        <f t="array" ref="V109">IF(SUMPRODUCT((Cert_Matrix!$A$12:$A$21=E109)*(Cert_Matrix!$L$12:$W$21="X")*(H109:S109=TRUE))&lt;SUMPRODUCT((Cert_Matrix!$A$12:$A$21=E109)*(Cert_Matrix!$L$12:$W$21="X")),"Thiếu chứng nhận","Đủ điều kiện")</f>
        <v>Đủ điều kiện</v>
      </c>
      <c r="W109" s="287"/>
      <c r="X109" s="290"/>
      <c r="Y109" s="257" t="str">
        <f>VLOOKUP(B109,'HC Golf'!C:G,5,0)</f>
        <v>S1</v>
      </c>
    </row>
    <row r="110" spans="1:25">
      <c r="A110" s="256">
        <f>ROWS($B$5:B108)</f>
        <v>104</v>
      </c>
      <c r="B110" s="256" t="s">
        <v>710</v>
      </c>
      <c r="C110" s="256" t="s">
        <v>711</v>
      </c>
      <c r="D110" s="256" t="s">
        <v>1294</v>
      </c>
      <c r="E110" s="256" t="s">
        <v>1149</v>
      </c>
      <c r="F110" s="256" t="s">
        <v>420</v>
      </c>
      <c r="G110" s="290"/>
      <c r="H110" s="236" t="b">
        <v>0</v>
      </c>
      <c r="I110" s="236" t="b">
        <v>1</v>
      </c>
      <c r="J110" s="236" t="b">
        <v>1</v>
      </c>
      <c r="K110" s="236" t="b">
        <v>0</v>
      </c>
      <c r="L110" s="236" t="b">
        <v>0</v>
      </c>
      <c r="M110" s="236" t="b">
        <v>0</v>
      </c>
      <c r="N110" s="236" t="b">
        <v>0</v>
      </c>
      <c r="O110" s="236" t="b">
        <v>0</v>
      </c>
      <c r="P110" s="236" t="b">
        <v>0</v>
      </c>
      <c r="Q110" s="236" t="b">
        <v>0</v>
      </c>
      <c r="R110" s="236" t="b">
        <v>0</v>
      </c>
      <c r="S110" s="236" t="b">
        <v>0</v>
      </c>
      <c r="T110" s="236" t="b">
        <v>1</v>
      </c>
      <c r="U110" s="236" t="b">
        <v>0</v>
      </c>
      <c r="V110" s="256" t="str" cm="1">
        <f t="array" ref="V110">IF(SUMPRODUCT((Cert_Matrix!$A$12:$A$21=E110)*(Cert_Matrix!$L$12:$W$21="X")*(H110:S110=TRUE))&lt;SUMPRODUCT((Cert_Matrix!$A$12:$A$21=E110)*(Cert_Matrix!$L$12:$W$21="X")),"Thiếu chứng nhận","Đủ điều kiện")</f>
        <v>Đủ điều kiện</v>
      </c>
      <c r="W110" s="287"/>
      <c r="X110" s="290"/>
      <c r="Y110" s="257" t="str">
        <f>VLOOKUP(B110,'HC Golf'!C:G,5,0)</f>
        <v>S1</v>
      </c>
    </row>
    <row r="111" spans="1:25">
      <c r="A111" s="256">
        <f>ROWS($B$5:B109)</f>
        <v>105</v>
      </c>
      <c r="B111" s="256" t="s">
        <v>459</v>
      </c>
      <c r="C111" s="256" t="s">
        <v>460</v>
      </c>
      <c r="D111" s="256" t="s">
        <v>1296</v>
      </c>
      <c r="E111" s="256" t="s">
        <v>1148</v>
      </c>
      <c r="F111" s="256" t="s">
        <v>420</v>
      </c>
      <c r="G111" s="290"/>
      <c r="H111" s="236" t="b">
        <v>1</v>
      </c>
      <c r="I111" s="236" t="b">
        <v>1</v>
      </c>
      <c r="J111" s="236" t="b">
        <v>0</v>
      </c>
      <c r="K111" s="236" t="b">
        <v>0</v>
      </c>
      <c r="L111" s="236" t="b">
        <v>0</v>
      </c>
      <c r="M111" s="236" t="b">
        <v>0</v>
      </c>
      <c r="N111" s="236" t="b">
        <v>1</v>
      </c>
      <c r="O111" s="236" t="b">
        <v>1</v>
      </c>
      <c r="P111" s="236" t="b">
        <v>1</v>
      </c>
      <c r="Q111" s="236" t="b">
        <v>0</v>
      </c>
      <c r="R111" s="236" t="b">
        <v>0</v>
      </c>
      <c r="S111" s="236" t="b">
        <v>0</v>
      </c>
      <c r="T111" s="236" t="b">
        <v>1</v>
      </c>
      <c r="U111" s="236" t="b">
        <v>0</v>
      </c>
      <c r="V111" s="256" t="str" cm="1">
        <f t="array" ref="V111">IF(SUMPRODUCT((Cert_Matrix!$A$12:$A$21=E111)*(Cert_Matrix!$L$12:$W$21="X")*(H111:S111=TRUE))&lt;SUMPRODUCT((Cert_Matrix!$A$12:$A$21=E111)*(Cert_Matrix!$L$12:$W$21="X")),"Thiếu chứng nhận","Đủ điều kiện")</f>
        <v>Đủ điều kiện</v>
      </c>
      <c r="W111" s="287"/>
      <c r="X111" s="290"/>
      <c r="Y111" s="257" t="str">
        <f>VLOOKUP(B111,'HC Golf'!C:G,5,0)</f>
        <v>S1</v>
      </c>
    </row>
    <row r="112" spans="1:25">
      <c r="A112" s="256">
        <f>ROWS($B$5:B110)</f>
        <v>106</v>
      </c>
      <c r="B112" s="256" t="s">
        <v>561</v>
      </c>
      <c r="C112" s="256" t="s">
        <v>562</v>
      </c>
      <c r="D112" s="256" t="s">
        <v>1303</v>
      </c>
      <c r="E112" s="256" t="s">
        <v>1148</v>
      </c>
      <c r="F112" s="256" t="s">
        <v>420</v>
      </c>
      <c r="G112" s="290"/>
      <c r="H112" s="236" t="b">
        <v>1</v>
      </c>
      <c r="I112" s="236" t="b">
        <v>1</v>
      </c>
      <c r="J112" s="236" t="b">
        <v>1</v>
      </c>
      <c r="K112" s="236" t="b">
        <v>1</v>
      </c>
      <c r="L112" s="236" t="b">
        <v>1</v>
      </c>
      <c r="M112" s="236" t="b">
        <v>1</v>
      </c>
      <c r="N112" s="236" t="b">
        <v>0</v>
      </c>
      <c r="O112" s="236" t="b">
        <v>0</v>
      </c>
      <c r="P112" s="236" t="b">
        <v>0</v>
      </c>
      <c r="Q112" s="236" t="b">
        <v>0</v>
      </c>
      <c r="R112" s="236" t="b">
        <v>0</v>
      </c>
      <c r="S112" s="236" t="b">
        <v>0</v>
      </c>
      <c r="T112" s="236" t="b">
        <v>1</v>
      </c>
      <c r="U112" s="236" t="b">
        <v>0</v>
      </c>
      <c r="V112" s="256" t="str" cm="1">
        <f t="array" ref="V112">IF(SUMPRODUCT((Cert_Matrix!$A$12:$A$21=E112)*(Cert_Matrix!$L$12:$W$21="X")*(H112:S112=TRUE))&lt;SUMPRODUCT((Cert_Matrix!$A$12:$A$21=E112)*(Cert_Matrix!$L$12:$W$21="X")),"Thiếu chứng nhận","Đủ điều kiện")</f>
        <v>Đủ điều kiện</v>
      </c>
      <c r="W112" s="287"/>
      <c r="X112" s="290"/>
      <c r="Y112" s="257" t="str">
        <f>VLOOKUP(B112,'HC Golf'!C:G,5,0)</f>
        <v>S1</v>
      </c>
    </row>
    <row r="113" spans="1:25">
      <c r="A113" s="256">
        <f>ROWS($B$5:B111)</f>
        <v>107</v>
      </c>
      <c r="B113" s="256" t="s">
        <v>473</v>
      </c>
      <c r="C113" s="256" t="s">
        <v>474</v>
      </c>
      <c r="D113" s="256" t="s">
        <v>1296</v>
      </c>
      <c r="E113" s="256" t="s">
        <v>1149</v>
      </c>
      <c r="F113" s="256" t="s">
        <v>420</v>
      </c>
      <c r="G113" s="290"/>
      <c r="H113" s="236" t="b">
        <v>1</v>
      </c>
      <c r="I113" s="236" t="b">
        <v>1</v>
      </c>
      <c r="J113" s="236" t="b">
        <v>1</v>
      </c>
      <c r="K113" s="236" t="b">
        <v>0</v>
      </c>
      <c r="L113" s="236" t="b">
        <v>0</v>
      </c>
      <c r="M113" s="236" t="b">
        <v>0</v>
      </c>
      <c r="N113" s="236" t="b">
        <v>0</v>
      </c>
      <c r="O113" s="236" t="b">
        <v>0</v>
      </c>
      <c r="P113" s="236" t="b">
        <v>0</v>
      </c>
      <c r="Q113" s="236" t="b">
        <v>0</v>
      </c>
      <c r="R113" s="236" t="b">
        <v>0</v>
      </c>
      <c r="S113" s="236" t="b">
        <v>0</v>
      </c>
      <c r="T113" s="236" t="b">
        <v>1</v>
      </c>
      <c r="U113" s="236" t="b">
        <v>0</v>
      </c>
      <c r="V113" s="256" t="str" cm="1">
        <f t="array" ref="V113">IF(SUMPRODUCT((Cert_Matrix!$A$12:$A$21=E113)*(Cert_Matrix!$L$12:$W$21="X")*(H113:S113=TRUE))&lt;SUMPRODUCT((Cert_Matrix!$A$12:$A$21=E113)*(Cert_Matrix!$L$12:$W$21="X")),"Thiếu chứng nhận","Đủ điều kiện")</f>
        <v>Đủ điều kiện</v>
      </c>
      <c r="W113" s="287"/>
      <c r="X113" s="290"/>
      <c r="Y113" s="257" t="str">
        <f>VLOOKUP(B113,'HC Golf'!C:G,5,0)</f>
        <v>S1</v>
      </c>
    </row>
    <row r="114" spans="1:25">
      <c r="A114" s="256">
        <f>ROWS($B$5:B112)</f>
        <v>108</v>
      </c>
      <c r="B114" s="256" t="s">
        <v>471</v>
      </c>
      <c r="C114" s="256" t="s">
        <v>472</v>
      </c>
      <c r="D114" s="256" t="s">
        <v>1296</v>
      </c>
      <c r="E114" s="256" t="s">
        <v>1148</v>
      </c>
      <c r="F114" s="256" t="s">
        <v>420</v>
      </c>
      <c r="G114" s="290"/>
      <c r="H114" s="236" t="b">
        <v>1</v>
      </c>
      <c r="I114" s="236" t="b">
        <v>1</v>
      </c>
      <c r="J114" s="236" t="b">
        <v>1</v>
      </c>
      <c r="K114" s="236" t="b">
        <v>0</v>
      </c>
      <c r="L114" s="236" t="b">
        <v>0</v>
      </c>
      <c r="M114" s="236" t="b">
        <v>0</v>
      </c>
      <c r="N114" s="236" t="b">
        <v>0</v>
      </c>
      <c r="O114" s="236" t="b">
        <v>0</v>
      </c>
      <c r="P114" s="236" t="b">
        <v>0</v>
      </c>
      <c r="Q114" s="236" t="b">
        <v>0</v>
      </c>
      <c r="R114" s="236" t="b">
        <v>0</v>
      </c>
      <c r="S114" s="236" t="b">
        <v>0</v>
      </c>
      <c r="T114" s="236" t="b">
        <v>1</v>
      </c>
      <c r="U114" s="236" t="b">
        <v>0</v>
      </c>
      <c r="V114" s="256" t="str" cm="1">
        <f t="array" ref="V114">IF(SUMPRODUCT((Cert_Matrix!$A$12:$A$21=E114)*(Cert_Matrix!$L$12:$W$21="X")*(H114:S114=TRUE))&lt;SUMPRODUCT((Cert_Matrix!$A$12:$A$21=E114)*(Cert_Matrix!$L$12:$W$21="X")),"Thiếu chứng nhận","Đủ điều kiện")</f>
        <v>Đủ điều kiện</v>
      </c>
      <c r="W114" s="287"/>
      <c r="X114" s="290"/>
      <c r="Y114" s="257" t="str">
        <f>VLOOKUP(B114,'HC Golf'!C:G,5,0)</f>
        <v>S1</v>
      </c>
    </row>
    <row r="115" spans="1:25">
      <c r="A115" s="256">
        <f>ROWS($B$5:B113)</f>
        <v>109</v>
      </c>
      <c r="B115" s="256" t="s">
        <v>497</v>
      </c>
      <c r="C115" s="256" t="s">
        <v>498</v>
      </c>
      <c r="D115" s="256" t="s">
        <v>1302</v>
      </c>
      <c r="E115" s="256" t="s">
        <v>1300</v>
      </c>
      <c r="F115" s="256" t="s">
        <v>420</v>
      </c>
      <c r="G115" s="290"/>
      <c r="H115" s="236" t="b">
        <v>0</v>
      </c>
      <c r="I115" s="236" t="b">
        <v>0</v>
      </c>
      <c r="J115" s="236" t="b">
        <v>0</v>
      </c>
      <c r="K115" s="236" t="b">
        <v>0</v>
      </c>
      <c r="L115" s="236" t="b">
        <v>0</v>
      </c>
      <c r="M115" s="236" t="b">
        <v>0</v>
      </c>
      <c r="N115" s="236" t="b">
        <v>0</v>
      </c>
      <c r="O115" s="236" t="b">
        <v>1</v>
      </c>
      <c r="P115" s="236" t="b">
        <v>1</v>
      </c>
      <c r="Q115" s="236" t="b">
        <v>0</v>
      </c>
      <c r="R115" s="236" t="b">
        <v>0</v>
      </c>
      <c r="S115" s="236" t="b">
        <v>0</v>
      </c>
      <c r="T115" s="236" t="b">
        <v>0</v>
      </c>
      <c r="U115" s="236" t="b">
        <v>0</v>
      </c>
      <c r="V115" s="256" t="str" cm="1">
        <f t="array" ref="V115">IF(SUMPRODUCT((Cert_Matrix!$A$12:$A$21=E115)*(Cert_Matrix!$L$12:$W$21="X")*(H115:S115=TRUE))&lt;SUMPRODUCT((Cert_Matrix!$A$12:$A$21=E115)*(Cert_Matrix!$L$12:$W$21="X")),"Thiếu chứng nhận","Đủ điều kiện")</f>
        <v>Đủ điều kiện</v>
      </c>
      <c r="W115" s="287"/>
      <c r="X115" s="290"/>
      <c r="Y115" s="257" t="str">
        <f>VLOOKUP(B115,'HC Golf'!C:G,5,0)</f>
        <v>S1</v>
      </c>
    </row>
    <row r="116" spans="1:25">
      <c r="A116" s="256">
        <f>ROWS($B$5:B114)</f>
        <v>110</v>
      </c>
      <c r="B116" s="256" t="s">
        <v>515</v>
      </c>
      <c r="C116" s="256" t="s">
        <v>516</v>
      </c>
      <c r="D116" s="256" t="s">
        <v>1305</v>
      </c>
      <c r="E116" s="256" t="s">
        <v>1300</v>
      </c>
      <c r="F116" s="256" t="s">
        <v>420</v>
      </c>
      <c r="G116" s="290"/>
      <c r="H116" s="236" t="b">
        <v>0</v>
      </c>
      <c r="I116" s="236" t="b">
        <v>0</v>
      </c>
      <c r="J116" s="236" t="b">
        <v>0</v>
      </c>
      <c r="K116" s="236" t="b">
        <v>0</v>
      </c>
      <c r="L116" s="236" t="b">
        <v>0</v>
      </c>
      <c r="M116" s="236" t="b">
        <v>0</v>
      </c>
      <c r="N116" s="236" t="b">
        <v>1</v>
      </c>
      <c r="O116" s="236" t="b">
        <v>1</v>
      </c>
      <c r="P116" s="236" t="b">
        <v>0</v>
      </c>
      <c r="Q116" s="236" t="b">
        <v>0</v>
      </c>
      <c r="R116" s="236" t="b">
        <v>1</v>
      </c>
      <c r="S116" s="236" t="b">
        <v>0</v>
      </c>
      <c r="T116" s="236" t="b">
        <v>1</v>
      </c>
      <c r="U116" s="236" t="b">
        <v>0</v>
      </c>
      <c r="V116" s="256" t="str" cm="1">
        <f t="array" ref="V116">IF(SUMPRODUCT((Cert_Matrix!$A$12:$A$21=E116)*(Cert_Matrix!$L$12:$W$21="X")*(H116:S116=TRUE))&lt;SUMPRODUCT((Cert_Matrix!$A$12:$A$21=E116)*(Cert_Matrix!$L$12:$W$21="X")),"Thiếu chứng nhận","Đủ điều kiện")</f>
        <v>Đủ điều kiện</v>
      </c>
      <c r="W116" s="287"/>
      <c r="X116" s="290"/>
      <c r="Y116" s="257" t="str">
        <f>VLOOKUP(B116,'HC Golf'!C:G,5,0)</f>
        <v>S1</v>
      </c>
    </row>
    <row r="117" spans="1:25">
      <c r="A117" s="256">
        <f>ROWS($B$5:B115)</f>
        <v>111</v>
      </c>
      <c r="B117" s="256" t="s">
        <v>513</v>
      </c>
      <c r="C117" s="256" t="s">
        <v>514</v>
      </c>
      <c r="D117" s="256" t="s">
        <v>1294</v>
      </c>
      <c r="E117" s="256" t="s">
        <v>1147</v>
      </c>
      <c r="F117" s="256" t="s">
        <v>420</v>
      </c>
      <c r="G117" s="290"/>
      <c r="H117" s="236" t="b">
        <v>0</v>
      </c>
      <c r="I117" s="236" t="b">
        <v>0</v>
      </c>
      <c r="J117" s="236" t="b">
        <v>1</v>
      </c>
      <c r="K117" s="236" t="b">
        <v>1</v>
      </c>
      <c r="L117" s="236" t="b">
        <v>0</v>
      </c>
      <c r="M117" s="236" t="b">
        <v>0</v>
      </c>
      <c r="N117" s="236" t="b">
        <v>0</v>
      </c>
      <c r="O117" s="236" t="b">
        <v>0</v>
      </c>
      <c r="P117" s="236" t="b">
        <v>0</v>
      </c>
      <c r="Q117" s="236" t="b">
        <v>0</v>
      </c>
      <c r="R117" s="236" t="b">
        <v>0</v>
      </c>
      <c r="S117" s="236" t="b">
        <v>0</v>
      </c>
      <c r="T117" s="236" t="b">
        <v>1</v>
      </c>
      <c r="U117" s="236" t="b">
        <v>0</v>
      </c>
      <c r="V117" s="256" t="str" cm="1">
        <f t="array" ref="V117">IF(SUMPRODUCT((Cert_Matrix!$A$12:$A$21=E117)*(Cert_Matrix!$L$12:$W$21="X")*(H117:S117=TRUE))&lt;SUMPRODUCT((Cert_Matrix!$A$12:$A$21=E117)*(Cert_Matrix!$L$12:$W$21="X")),"Thiếu chứng nhận","Đủ điều kiện")</f>
        <v>Đủ điều kiện</v>
      </c>
      <c r="W117" s="287"/>
      <c r="X117" s="290"/>
      <c r="Y117" s="257" t="str">
        <f>VLOOKUP(B117,'HC Golf'!C:G,5,0)</f>
        <v>S1</v>
      </c>
    </row>
    <row r="118" spans="1:25">
      <c r="A118" s="256">
        <f>ROWS($B$5:B116)</f>
        <v>112</v>
      </c>
      <c r="B118" s="256" t="s">
        <v>629</v>
      </c>
      <c r="C118" s="256" t="s">
        <v>630</v>
      </c>
      <c r="D118" s="256" t="s">
        <v>1296</v>
      </c>
      <c r="E118" s="256" t="s">
        <v>1300</v>
      </c>
      <c r="F118" s="256" t="s">
        <v>420</v>
      </c>
      <c r="G118" s="290"/>
      <c r="H118" s="236" t="b">
        <v>0</v>
      </c>
      <c r="I118" s="236" t="b">
        <v>0</v>
      </c>
      <c r="J118" s="236" t="b">
        <v>0</v>
      </c>
      <c r="K118" s="236" t="b">
        <v>0</v>
      </c>
      <c r="L118" s="236" t="b">
        <v>0</v>
      </c>
      <c r="M118" s="236" t="b">
        <v>0</v>
      </c>
      <c r="N118" s="236" t="b">
        <v>1</v>
      </c>
      <c r="O118" s="236" t="b">
        <v>1</v>
      </c>
      <c r="P118" s="236" t="b">
        <v>1</v>
      </c>
      <c r="Q118" s="236" t="b">
        <v>0</v>
      </c>
      <c r="R118" s="236" t="b">
        <v>1</v>
      </c>
      <c r="S118" s="236" t="b">
        <v>0</v>
      </c>
      <c r="T118" s="236" t="b">
        <v>1</v>
      </c>
      <c r="U118" s="236" t="b">
        <v>0</v>
      </c>
      <c r="V118" s="256" t="str" cm="1">
        <f t="array" ref="V118">IF(SUMPRODUCT((Cert_Matrix!$A$12:$A$21=E118)*(Cert_Matrix!$L$12:$W$21="X")*(H118:S118=TRUE))&lt;SUMPRODUCT((Cert_Matrix!$A$12:$A$21=E118)*(Cert_Matrix!$L$12:$W$21="X")),"Thiếu chứng nhận","Đủ điều kiện")</f>
        <v>Đủ điều kiện</v>
      </c>
      <c r="W118" s="287"/>
      <c r="X118" s="290"/>
      <c r="Y118" s="257" t="str">
        <f>VLOOKUP(B118,'HC Golf'!C:G,5,0)</f>
        <v>S1</v>
      </c>
    </row>
    <row r="119" spans="1:25">
      <c r="A119" s="256">
        <f>ROWS($B$5:B117)</f>
        <v>113</v>
      </c>
      <c r="B119" s="256" t="s">
        <v>1370</v>
      </c>
      <c r="C119" s="256" t="s">
        <v>700</v>
      </c>
      <c r="D119" s="256" t="s">
        <v>1309</v>
      </c>
      <c r="E119" s="256" t="s">
        <v>1150</v>
      </c>
      <c r="F119" s="256" t="s">
        <v>420</v>
      </c>
      <c r="G119" s="290"/>
      <c r="H119" s="236" t="b">
        <v>1</v>
      </c>
      <c r="I119" s="236" t="b">
        <v>1</v>
      </c>
      <c r="J119" s="236" t="b">
        <v>0</v>
      </c>
      <c r="K119" s="236" t="b">
        <v>0</v>
      </c>
      <c r="L119" s="236" t="b">
        <v>1</v>
      </c>
      <c r="M119" s="236" t="b">
        <v>1</v>
      </c>
      <c r="N119" s="236" t="b">
        <v>0</v>
      </c>
      <c r="O119" s="236" t="b">
        <v>0</v>
      </c>
      <c r="P119" s="236" t="b">
        <v>0</v>
      </c>
      <c r="Q119" s="236" t="b">
        <v>0</v>
      </c>
      <c r="R119" s="236" t="b">
        <v>0</v>
      </c>
      <c r="S119" s="236" t="b">
        <v>0</v>
      </c>
      <c r="T119" s="236" t="b">
        <v>1</v>
      </c>
      <c r="U119" s="236" t="b">
        <v>0</v>
      </c>
      <c r="V119" s="256" t="str" cm="1">
        <f t="array" ref="V119">IF(SUMPRODUCT((Cert_Matrix!$A$12:$A$21=E119)*(Cert_Matrix!$L$12:$W$21="X")*(H119:S119=TRUE))&lt;SUMPRODUCT((Cert_Matrix!$A$12:$A$21=E119)*(Cert_Matrix!$L$12:$W$21="X")),"Thiếu chứng nhận","Đủ điều kiện")</f>
        <v>Đủ điều kiện</v>
      </c>
      <c r="W119" s="287"/>
      <c r="X119" s="290"/>
      <c r="Y119" s="257" t="str">
        <f>VLOOKUP(B119,'HC Golf'!C:G,5,0)</f>
        <v>S1</v>
      </c>
    </row>
    <row r="120" spans="1:25">
      <c r="A120" s="256">
        <f>ROWS($B$5:B118)</f>
        <v>114</v>
      </c>
      <c r="B120" s="256" t="s">
        <v>1371</v>
      </c>
      <c r="C120" s="256" t="s">
        <v>530</v>
      </c>
      <c r="D120" s="256" t="s">
        <v>1296</v>
      </c>
      <c r="E120" s="256" t="s">
        <v>1147</v>
      </c>
      <c r="F120" s="256" t="s">
        <v>420</v>
      </c>
      <c r="G120" s="290">
        <v>46144</v>
      </c>
      <c r="H120" s="236" t="b">
        <v>1</v>
      </c>
      <c r="I120" s="236" t="b">
        <v>0</v>
      </c>
      <c r="J120" s="236" t="b">
        <v>0</v>
      </c>
      <c r="K120" s="236" t="b">
        <v>0</v>
      </c>
      <c r="L120" s="236" t="b">
        <v>0</v>
      </c>
      <c r="M120" s="236" t="b">
        <v>0</v>
      </c>
      <c r="N120" s="236" t="b">
        <v>0</v>
      </c>
      <c r="O120" s="236" t="b">
        <v>0</v>
      </c>
      <c r="P120" s="236" t="b">
        <v>0</v>
      </c>
      <c r="Q120" s="236" t="b">
        <v>0</v>
      </c>
      <c r="R120" s="236" t="b">
        <v>0</v>
      </c>
      <c r="S120" s="236" t="b">
        <v>0</v>
      </c>
      <c r="T120" s="236" t="b">
        <v>0</v>
      </c>
      <c r="U120" s="236" t="b">
        <v>0</v>
      </c>
      <c r="V120" s="256" t="str" cm="1">
        <f t="array" ref="V120">IF(SUMPRODUCT((Cert_Matrix!$A$12:$A$21=E120)*(Cert_Matrix!$L$12:$W$21="X")*(H120:S120=TRUE))&lt;SUMPRODUCT((Cert_Matrix!$A$12:$A$21=E120)*(Cert_Matrix!$L$12:$W$21="X")),"Thiếu chứng nhận","Đủ điều kiện")</f>
        <v>Thiếu chứng nhận</v>
      </c>
      <c r="W120" s="287" t="s">
        <v>1023</v>
      </c>
      <c r="X120" s="290">
        <v>46188</v>
      </c>
      <c r="Y120" s="257" t="str">
        <f>VLOOKUP(B120,'HC Golf'!C:G,5,0)</f>
        <v>S1</v>
      </c>
    </row>
    <row r="121" spans="1:25">
      <c r="A121" s="256">
        <f>ROWS($B$5:B119)</f>
        <v>115</v>
      </c>
      <c r="B121" s="256" t="s">
        <v>1372</v>
      </c>
      <c r="C121" s="256" t="s">
        <v>897</v>
      </c>
      <c r="D121" s="256" t="s">
        <v>1296</v>
      </c>
      <c r="E121" s="256" t="s">
        <v>1148</v>
      </c>
      <c r="F121" s="256" t="s">
        <v>420</v>
      </c>
      <c r="G121" s="290"/>
      <c r="H121" s="236" t="b">
        <v>1</v>
      </c>
      <c r="I121" s="236" t="b">
        <v>1</v>
      </c>
      <c r="J121" s="236" t="b">
        <v>0</v>
      </c>
      <c r="K121" s="236" t="b">
        <v>0</v>
      </c>
      <c r="L121" s="236" t="b">
        <v>1</v>
      </c>
      <c r="M121" s="236" t="b">
        <v>1</v>
      </c>
      <c r="N121" s="236" t="b">
        <v>0</v>
      </c>
      <c r="O121" s="236" t="b">
        <v>0</v>
      </c>
      <c r="P121" s="236" t="b">
        <v>0</v>
      </c>
      <c r="Q121" s="236" t="b">
        <v>0</v>
      </c>
      <c r="R121" s="236" t="b">
        <v>0</v>
      </c>
      <c r="S121" s="236" t="b">
        <v>0</v>
      </c>
      <c r="T121" s="236" t="b">
        <v>1</v>
      </c>
      <c r="U121" s="236" t="b">
        <v>0</v>
      </c>
      <c r="V121" s="256" t="str" cm="1">
        <f t="array" ref="V121">IF(SUMPRODUCT((Cert_Matrix!$A$12:$A$21=E121)*(Cert_Matrix!$L$12:$W$21="X")*(H121:S121=TRUE))&lt;SUMPRODUCT((Cert_Matrix!$A$12:$A$21=E121)*(Cert_Matrix!$L$12:$W$21="X")),"Thiếu chứng nhận","Đủ điều kiện")</f>
        <v>Đủ điều kiện</v>
      </c>
      <c r="W121" s="287"/>
      <c r="X121" s="290"/>
      <c r="Y121" s="257" t="str">
        <f>VLOOKUP(B121,'HC Golf'!C:G,5,0)</f>
        <v>S1</v>
      </c>
    </row>
    <row r="122" spans="1:25">
      <c r="A122" s="256">
        <f>ROWS($B$5:B120)</f>
        <v>116</v>
      </c>
      <c r="B122" s="256" t="s">
        <v>1373</v>
      </c>
      <c r="C122" s="256" t="s">
        <v>1374</v>
      </c>
      <c r="D122" s="256" t="s">
        <v>1296</v>
      </c>
      <c r="E122" s="256" t="s">
        <v>1148</v>
      </c>
      <c r="F122" s="256" t="s">
        <v>420</v>
      </c>
      <c r="G122" s="290"/>
      <c r="H122" s="236" t="b">
        <v>1</v>
      </c>
      <c r="I122" s="236" t="b">
        <v>1</v>
      </c>
      <c r="J122" s="236" t="b">
        <v>0</v>
      </c>
      <c r="K122" s="236" t="b">
        <v>0</v>
      </c>
      <c r="L122" s="236" t="b">
        <v>1</v>
      </c>
      <c r="M122" s="236" t="b">
        <v>1</v>
      </c>
      <c r="N122" s="236" t="b">
        <v>0</v>
      </c>
      <c r="O122" s="236" t="b">
        <v>0</v>
      </c>
      <c r="P122" s="236" t="b">
        <v>0</v>
      </c>
      <c r="Q122" s="236" t="b">
        <v>0</v>
      </c>
      <c r="R122" s="236" t="b">
        <v>0</v>
      </c>
      <c r="S122" s="236" t="b">
        <v>0</v>
      </c>
      <c r="T122" s="236" t="b">
        <v>1</v>
      </c>
      <c r="U122" s="236" t="b">
        <v>0</v>
      </c>
      <c r="V122" s="256" t="str" cm="1">
        <f t="array" ref="V122">IF(SUMPRODUCT((Cert_Matrix!$A$12:$A$21=E122)*(Cert_Matrix!$L$12:$W$21="X")*(H122:S122=TRUE))&lt;SUMPRODUCT((Cert_Matrix!$A$12:$A$21=E122)*(Cert_Matrix!$L$12:$W$21="X")),"Thiếu chứng nhận","Đủ điều kiện")</f>
        <v>Đủ điều kiện</v>
      </c>
      <c r="W122" s="287"/>
      <c r="X122" s="290"/>
      <c r="Y122" s="257" t="str">
        <f>VLOOKUP(B122,'HC Golf'!C:G,5,0)</f>
        <v>S1</v>
      </c>
    </row>
    <row r="123" spans="1:25">
      <c r="A123" s="256">
        <f>ROWS($B$5:B121)</f>
        <v>117</v>
      </c>
      <c r="B123" s="256" t="s">
        <v>1375</v>
      </c>
      <c r="C123" s="256" t="s">
        <v>544</v>
      </c>
      <c r="D123" s="256" t="s">
        <v>1225</v>
      </c>
      <c r="E123" s="256" t="s">
        <v>1149</v>
      </c>
      <c r="F123" s="256" t="s">
        <v>420</v>
      </c>
      <c r="G123" s="290">
        <v>46131</v>
      </c>
      <c r="H123" s="236" t="b">
        <v>1</v>
      </c>
      <c r="I123" s="236" t="b">
        <v>1</v>
      </c>
      <c r="J123" s="236" t="b">
        <v>1</v>
      </c>
      <c r="K123" s="236" t="b">
        <v>0</v>
      </c>
      <c r="L123" s="236" t="b">
        <v>0</v>
      </c>
      <c r="M123" s="236" t="b">
        <v>0</v>
      </c>
      <c r="N123" s="236" t="b">
        <v>0</v>
      </c>
      <c r="O123" s="236" t="b">
        <v>0</v>
      </c>
      <c r="P123" s="236" t="b">
        <v>0</v>
      </c>
      <c r="Q123" s="236" t="b">
        <v>0</v>
      </c>
      <c r="R123" s="236" t="b">
        <v>0</v>
      </c>
      <c r="S123" s="236" t="b">
        <v>0</v>
      </c>
      <c r="T123" s="236" t="b">
        <v>1</v>
      </c>
      <c r="U123" s="236" t="b">
        <v>0</v>
      </c>
      <c r="V123" s="256" t="str" cm="1">
        <f t="array" ref="V123">IF(SUMPRODUCT((Cert_Matrix!$A$12:$A$21=E123)*(Cert_Matrix!$L$12:$W$21="X")*(H123:S123=TRUE))&lt;SUMPRODUCT((Cert_Matrix!$A$12:$A$21=E123)*(Cert_Matrix!$L$12:$W$21="X")),"Thiếu chứng nhận","Đủ điều kiện")</f>
        <v>Đủ điều kiện</v>
      </c>
      <c r="W123" s="287"/>
      <c r="X123" s="290"/>
      <c r="Y123" s="257" t="str">
        <f>VLOOKUP(B123,'HC Golf'!C:G,5,0)</f>
        <v>S1</v>
      </c>
    </row>
    <row r="124" spans="1:25">
      <c r="A124" s="256">
        <f>ROWS($B$5:B122)</f>
        <v>118</v>
      </c>
      <c r="B124" s="256" t="s">
        <v>1376</v>
      </c>
      <c r="C124" s="256" t="s">
        <v>685</v>
      </c>
      <c r="D124" s="256" t="s">
        <v>1225</v>
      </c>
      <c r="E124" s="256" t="s">
        <v>1148</v>
      </c>
      <c r="F124" s="256" t="s">
        <v>420</v>
      </c>
      <c r="G124" s="290"/>
      <c r="H124" s="236" t="b">
        <v>1</v>
      </c>
      <c r="I124" s="236" t="b">
        <v>1</v>
      </c>
      <c r="J124" s="236" t="b">
        <v>1</v>
      </c>
      <c r="K124" s="236" t="b">
        <v>0</v>
      </c>
      <c r="L124" s="236" t="b">
        <v>0</v>
      </c>
      <c r="M124" s="236" t="b">
        <v>0</v>
      </c>
      <c r="N124" s="236" t="b">
        <v>0</v>
      </c>
      <c r="O124" s="236" t="b">
        <v>0</v>
      </c>
      <c r="P124" s="236" t="b">
        <v>0</v>
      </c>
      <c r="Q124" s="236" t="b">
        <v>0</v>
      </c>
      <c r="R124" s="236" t="b">
        <v>0</v>
      </c>
      <c r="S124" s="236" t="b">
        <v>0</v>
      </c>
      <c r="T124" s="236" t="b">
        <v>1</v>
      </c>
      <c r="U124" s="236" t="b">
        <v>0</v>
      </c>
      <c r="V124" s="256" t="str" cm="1">
        <f t="array" ref="V124">IF(SUMPRODUCT((Cert_Matrix!$A$12:$A$21=E124)*(Cert_Matrix!$L$12:$W$21="X")*(H124:S124=TRUE))&lt;SUMPRODUCT((Cert_Matrix!$A$12:$A$21=E124)*(Cert_Matrix!$L$12:$W$21="X")),"Thiếu chứng nhận","Đủ điều kiện")</f>
        <v>Đủ điều kiện</v>
      </c>
      <c r="W124" s="287"/>
      <c r="X124" s="290"/>
      <c r="Y124" s="257" t="str">
        <f>VLOOKUP(B124,'HC Golf'!C:G,5,0)</f>
        <v>S1</v>
      </c>
    </row>
    <row r="125" spans="1:25">
      <c r="A125" s="256">
        <f>ROWS($B$5:B123)</f>
        <v>119</v>
      </c>
      <c r="B125" s="256" t="s">
        <v>1377</v>
      </c>
      <c r="C125" s="256" t="s">
        <v>754</v>
      </c>
      <c r="D125" s="256" t="s">
        <v>1225</v>
      </c>
      <c r="E125" s="256" t="s">
        <v>1148</v>
      </c>
      <c r="F125" s="256" t="s">
        <v>420</v>
      </c>
      <c r="G125" s="290">
        <v>46155</v>
      </c>
      <c r="H125" s="236" t="b">
        <v>1</v>
      </c>
      <c r="I125" s="236" t="b">
        <v>1</v>
      </c>
      <c r="J125" s="236" t="b">
        <v>1</v>
      </c>
      <c r="K125" s="236" t="b">
        <v>0</v>
      </c>
      <c r="L125" s="236" t="b">
        <v>0</v>
      </c>
      <c r="M125" s="236" t="b">
        <v>0</v>
      </c>
      <c r="N125" s="236" t="b">
        <v>0</v>
      </c>
      <c r="O125" s="236" t="b">
        <v>0</v>
      </c>
      <c r="P125" s="236" t="b">
        <v>0</v>
      </c>
      <c r="Q125" s="236" t="b">
        <v>0</v>
      </c>
      <c r="R125" s="236" t="b">
        <v>0</v>
      </c>
      <c r="S125" s="236" t="b">
        <v>0</v>
      </c>
      <c r="T125" s="236" t="b">
        <v>1</v>
      </c>
      <c r="U125" s="236" t="b">
        <v>0</v>
      </c>
      <c r="V125" s="256" t="str" cm="1">
        <f t="array" ref="V125">IF(SUMPRODUCT((Cert_Matrix!$A$12:$A$21=E125)*(Cert_Matrix!$L$12:$W$21="X")*(H125:S125=TRUE))&lt;SUMPRODUCT((Cert_Matrix!$A$12:$A$21=E125)*(Cert_Matrix!$L$12:$W$21="X")),"Thiếu chứng nhận","Đủ điều kiện")</f>
        <v>Đủ điều kiện</v>
      </c>
      <c r="W125" s="287"/>
      <c r="X125" s="290"/>
      <c r="Y125" s="257" t="str">
        <f>VLOOKUP(B125,'HC Golf'!C:G,5,0)</f>
        <v>S1</v>
      </c>
    </row>
    <row r="126" spans="1:25">
      <c r="A126" s="256">
        <f>ROWS($B$5:B124)</f>
        <v>120</v>
      </c>
      <c r="B126" s="256" t="s">
        <v>1378</v>
      </c>
      <c r="C126" s="256" t="s">
        <v>956</v>
      </c>
      <c r="D126" s="256" t="s">
        <v>1225</v>
      </c>
      <c r="E126" s="256" t="s">
        <v>1150</v>
      </c>
      <c r="F126" s="256" t="s">
        <v>420</v>
      </c>
      <c r="G126" s="290">
        <v>46092</v>
      </c>
      <c r="H126" s="236" t="b">
        <v>0</v>
      </c>
      <c r="I126" s="236" t="b">
        <v>1</v>
      </c>
      <c r="J126" s="236" t="b">
        <v>0</v>
      </c>
      <c r="K126" s="236" t="b">
        <v>0</v>
      </c>
      <c r="L126" s="236" t="b">
        <v>1</v>
      </c>
      <c r="M126" s="236" t="b">
        <v>1</v>
      </c>
      <c r="N126" s="236" t="b">
        <v>0</v>
      </c>
      <c r="O126" s="236" t="b">
        <v>0</v>
      </c>
      <c r="P126" s="236" t="b">
        <v>0</v>
      </c>
      <c r="Q126" s="236" t="b">
        <v>0</v>
      </c>
      <c r="R126" s="236" t="b">
        <v>0</v>
      </c>
      <c r="S126" s="236" t="b">
        <v>0</v>
      </c>
      <c r="T126" s="236" t="b">
        <v>0</v>
      </c>
      <c r="U126" s="236" t="b">
        <v>0</v>
      </c>
      <c r="V126" s="256" t="str" cm="1">
        <f t="array" ref="V126">IF(SUMPRODUCT((Cert_Matrix!$A$12:$A$21=E126)*(Cert_Matrix!$L$12:$W$21="X")*(H126:S126=TRUE))&lt;SUMPRODUCT((Cert_Matrix!$A$12:$A$21=E126)*(Cert_Matrix!$L$12:$W$21="X")),"Thiếu chứng nhận","Đủ điều kiện")</f>
        <v>Đủ điều kiện</v>
      </c>
      <c r="W126" s="287"/>
      <c r="X126" s="290"/>
      <c r="Y126" s="257" t="str">
        <f>VLOOKUP(B126,'HC Golf'!C:G,5,0)</f>
        <v>S1</v>
      </c>
    </row>
    <row r="127" spans="1:25">
      <c r="A127" s="256">
        <f>ROWS($B$5:B125)</f>
        <v>121</v>
      </c>
      <c r="B127" s="256" t="s">
        <v>1379</v>
      </c>
      <c r="C127" s="256" t="s">
        <v>950</v>
      </c>
      <c r="D127" s="256" t="s">
        <v>1225</v>
      </c>
      <c r="E127" s="256" t="s">
        <v>1150</v>
      </c>
      <c r="F127" s="256" t="s">
        <v>420</v>
      </c>
      <c r="G127" s="290"/>
      <c r="H127" s="236" t="b">
        <v>0</v>
      </c>
      <c r="I127" s="236" t="b">
        <v>0</v>
      </c>
      <c r="J127" s="236" t="b">
        <v>0</v>
      </c>
      <c r="K127" s="236" t="b">
        <v>0</v>
      </c>
      <c r="L127" s="236" t="b">
        <v>1</v>
      </c>
      <c r="M127" s="236" t="b">
        <v>0</v>
      </c>
      <c r="N127" s="236" t="b">
        <v>0</v>
      </c>
      <c r="O127" s="236" t="b">
        <v>0</v>
      </c>
      <c r="P127" s="236" t="b">
        <v>0</v>
      </c>
      <c r="Q127" s="236" t="b">
        <v>0</v>
      </c>
      <c r="R127" s="236" t="b">
        <v>0</v>
      </c>
      <c r="S127" s="236" t="b">
        <v>0</v>
      </c>
      <c r="T127" s="236" t="b">
        <v>0</v>
      </c>
      <c r="U127" s="236" t="b">
        <v>0</v>
      </c>
      <c r="V127" s="256" t="str" cm="1">
        <f t="array" ref="V127">IF(SUMPRODUCT((Cert_Matrix!$A$12:$A$21=E127)*(Cert_Matrix!$L$12:$W$21="X")*(H127:S127=TRUE))&lt;SUMPRODUCT((Cert_Matrix!$A$12:$A$21=E127)*(Cert_Matrix!$L$12:$W$21="X")),"Thiếu chứng nhận","Đủ điều kiện")</f>
        <v>Đủ điều kiện</v>
      </c>
      <c r="W127" s="287"/>
      <c r="X127" s="290"/>
      <c r="Y127" s="257" t="str">
        <f>VLOOKUP(B127,'HC Golf'!C:G,5,0)</f>
        <v>S1</v>
      </c>
    </row>
    <row r="128" spans="1:25">
      <c r="A128" s="256">
        <f>ROWS($B$5:B126)</f>
        <v>122</v>
      </c>
      <c r="B128" s="256" t="s">
        <v>1380</v>
      </c>
      <c r="C128" s="256" t="s">
        <v>1381</v>
      </c>
      <c r="D128" s="256" t="s">
        <v>1225</v>
      </c>
      <c r="E128" s="256" t="s">
        <v>1148</v>
      </c>
      <c r="F128" s="256" t="s">
        <v>420</v>
      </c>
      <c r="G128" s="290"/>
      <c r="H128" s="236" t="b">
        <v>1</v>
      </c>
      <c r="I128" s="236" t="b">
        <v>1</v>
      </c>
      <c r="J128" s="236" t="b">
        <v>1</v>
      </c>
      <c r="K128" s="236" t="b">
        <v>0</v>
      </c>
      <c r="L128" s="236" t="b">
        <v>0</v>
      </c>
      <c r="M128" s="236" t="b">
        <v>0</v>
      </c>
      <c r="N128" s="236" t="b">
        <v>0</v>
      </c>
      <c r="O128" s="236" t="b">
        <v>0</v>
      </c>
      <c r="P128" s="236" t="b">
        <v>0</v>
      </c>
      <c r="Q128" s="236" t="b">
        <v>0</v>
      </c>
      <c r="R128" s="236" t="b">
        <v>0</v>
      </c>
      <c r="S128" s="236" t="b">
        <v>0</v>
      </c>
      <c r="T128" s="236" t="b">
        <v>1</v>
      </c>
      <c r="U128" s="236" t="b">
        <v>0</v>
      </c>
      <c r="V128" s="256" t="str" cm="1">
        <f t="array" ref="V128">IF(SUMPRODUCT((Cert_Matrix!$A$12:$A$21=E128)*(Cert_Matrix!$L$12:$W$21="X")*(H128:S128=TRUE))&lt;SUMPRODUCT((Cert_Matrix!$A$12:$A$21=E128)*(Cert_Matrix!$L$12:$W$21="X")),"Thiếu chứng nhận","Đủ điều kiện")</f>
        <v>Đủ điều kiện</v>
      </c>
      <c r="W128" s="287"/>
      <c r="X128" s="290"/>
      <c r="Y128" s="257" t="str">
        <f>VLOOKUP(B128,'HC Golf'!C:G,5,0)</f>
        <v>S1</v>
      </c>
    </row>
    <row r="129" spans="1:25">
      <c r="A129" s="256">
        <f>ROWS($B$5:B127)</f>
        <v>123</v>
      </c>
      <c r="B129" s="256" t="s">
        <v>1382</v>
      </c>
      <c r="C129" s="256" t="s">
        <v>969</v>
      </c>
      <c r="D129" s="256" t="s">
        <v>1225</v>
      </c>
      <c r="E129" s="256" t="s">
        <v>1148</v>
      </c>
      <c r="F129" s="256" t="s">
        <v>420</v>
      </c>
      <c r="G129" s="290">
        <v>45866</v>
      </c>
      <c r="H129" s="236" t="b">
        <v>0</v>
      </c>
      <c r="I129" s="236" t="b">
        <v>1</v>
      </c>
      <c r="J129" s="236" t="b">
        <v>1</v>
      </c>
      <c r="K129" s="236" t="b">
        <v>0</v>
      </c>
      <c r="L129" s="236" t="b">
        <v>0</v>
      </c>
      <c r="M129" s="236" t="b">
        <v>0</v>
      </c>
      <c r="N129" s="236" t="b">
        <v>0</v>
      </c>
      <c r="O129" s="236" t="b">
        <v>0</v>
      </c>
      <c r="P129" s="236" t="b">
        <v>0</v>
      </c>
      <c r="Q129" s="236" t="b">
        <v>0</v>
      </c>
      <c r="R129" s="236" t="b">
        <v>0</v>
      </c>
      <c r="S129" s="236" t="b">
        <v>0</v>
      </c>
      <c r="T129" s="236" t="b">
        <v>0</v>
      </c>
      <c r="U129" s="236" t="b">
        <v>0</v>
      </c>
      <c r="V129" s="256" t="str" cm="1">
        <f t="array" ref="V129">IF(SUMPRODUCT((Cert_Matrix!$A$12:$A$21=E129)*(Cert_Matrix!$L$12:$W$21="X")*(H129:S129=TRUE))&lt;SUMPRODUCT((Cert_Matrix!$A$12:$A$21=E129)*(Cert_Matrix!$L$12:$W$21="X")),"Thiếu chứng nhận","Đủ điều kiện")</f>
        <v>Đủ điều kiện</v>
      </c>
      <c r="W129" s="287"/>
      <c r="X129" s="290"/>
      <c r="Y129" s="257" t="str">
        <f>VLOOKUP(B129,'HC Golf'!C:G,5,0)</f>
        <v>S1</v>
      </c>
    </row>
    <row r="130" spans="1:25">
      <c r="A130" s="256">
        <f>ROWS($B$5:B128)</f>
        <v>124</v>
      </c>
      <c r="B130" s="256" t="s">
        <v>957</v>
      </c>
      <c r="C130" s="256" t="s">
        <v>958</v>
      </c>
      <c r="D130" s="256" t="s">
        <v>1225</v>
      </c>
      <c r="E130" s="256" t="s">
        <v>1300</v>
      </c>
      <c r="F130" s="256" t="s">
        <v>420</v>
      </c>
      <c r="G130" s="290"/>
      <c r="H130" s="236" t="b">
        <v>0</v>
      </c>
      <c r="I130" s="236" t="b">
        <v>0</v>
      </c>
      <c r="J130" s="236" t="b">
        <v>0</v>
      </c>
      <c r="K130" s="236" t="b">
        <v>0</v>
      </c>
      <c r="L130" s="236" t="b">
        <v>0</v>
      </c>
      <c r="M130" s="236" t="b">
        <v>0</v>
      </c>
      <c r="N130" s="236" t="b">
        <v>0</v>
      </c>
      <c r="O130" s="236" t="b">
        <v>1</v>
      </c>
      <c r="P130" s="236" t="b">
        <v>1</v>
      </c>
      <c r="Q130" s="236" t="b">
        <v>1</v>
      </c>
      <c r="R130" s="236" t="b">
        <v>0</v>
      </c>
      <c r="S130" s="236" t="b">
        <v>0</v>
      </c>
      <c r="T130" s="236" t="b">
        <v>1</v>
      </c>
      <c r="U130" s="236" t="b">
        <v>0</v>
      </c>
      <c r="V130" s="256" t="str" cm="1">
        <f t="array" ref="V130">IF(SUMPRODUCT((Cert_Matrix!$A$12:$A$21=E130)*(Cert_Matrix!$L$12:$W$21="X")*(H130:S130=TRUE))&lt;SUMPRODUCT((Cert_Matrix!$A$12:$A$21=E130)*(Cert_Matrix!$L$12:$W$21="X")),"Thiếu chứng nhận","Đủ điều kiện")</f>
        <v>Đủ điều kiện</v>
      </c>
      <c r="W130" s="287"/>
      <c r="X130" s="290"/>
      <c r="Y130" s="257" t="str">
        <f>VLOOKUP(B130,'HC Golf'!C:G,5,0)</f>
        <v>S1</v>
      </c>
    </row>
    <row r="131" spans="1:25">
      <c r="A131" s="256">
        <f>ROWS($B$5:B129)</f>
        <v>125</v>
      </c>
      <c r="B131" s="256" t="s">
        <v>1383</v>
      </c>
      <c r="C131" s="256" t="s">
        <v>1384</v>
      </c>
      <c r="D131" s="256" t="s">
        <v>1225</v>
      </c>
      <c r="E131" s="256" t="s">
        <v>1148</v>
      </c>
      <c r="F131" s="256" t="s">
        <v>420</v>
      </c>
      <c r="G131" s="290">
        <v>46155</v>
      </c>
      <c r="H131" s="236" t="b">
        <v>1</v>
      </c>
      <c r="I131" s="236" t="b">
        <v>1</v>
      </c>
      <c r="J131" s="236" t="b">
        <v>1</v>
      </c>
      <c r="K131" s="236" t="b">
        <v>0</v>
      </c>
      <c r="L131" s="236" t="b">
        <v>0</v>
      </c>
      <c r="M131" s="236" t="b">
        <v>0</v>
      </c>
      <c r="N131" s="236" t="b">
        <v>0</v>
      </c>
      <c r="O131" s="236" t="b">
        <v>0</v>
      </c>
      <c r="P131" s="236" t="b">
        <v>0</v>
      </c>
      <c r="Q131" s="236" t="b">
        <v>0</v>
      </c>
      <c r="R131" s="236" t="b">
        <v>0</v>
      </c>
      <c r="S131" s="236" t="b">
        <v>0</v>
      </c>
      <c r="T131" s="236" t="b">
        <v>1</v>
      </c>
      <c r="U131" s="236" t="b">
        <v>0</v>
      </c>
      <c r="V131" s="256" t="str" cm="1">
        <f t="array" ref="V131">IF(SUMPRODUCT((Cert_Matrix!$A$12:$A$21=E131)*(Cert_Matrix!$L$12:$W$21="X")*(H131:S131=TRUE))&lt;SUMPRODUCT((Cert_Matrix!$A$12:$A$21=E131)*(Cert_Matrix!$L$12:$W$21="X")),"Thiếu chứng nhận","Đủ điều kiện")</f>
        <v>Đủ điều kiện</v>
      </c>
      <c r="W131" s="287"/>
      <c r="X131" s="290"/>
      <c r="Y131" s="257" t="str">
        <f>VLOOKUP(B131,'HC Golf'!C:G,5,0)</f>
        <v>S1</v>
      </c>
    </row>
    <row r="132" spans="1:25">
      <c r="A132" s="256">
        <f>ROWS($B$5:B130)</f>
        <v>126</v>
      </c>
      <c r="B132" s="256" t="s">
        <v>1385</v>
      </c>
      <c r="C132" s="256" t="s">
        <v>1386</v>
      </c>
      <c r="D132" s="256" t="s">
        <v>1225</v>
      </c>
      <c r="E132" s="256" t="s">
        <v>1148</v>
      </c>
      <c r="F132" s="256" t="s">
        <v>420</v>
      </c>
      <c r="G132" s="290">
        <v>46111</v>
      </c>
      <c r="H132" s="236" t="b">
        <v>1</v>
      </c>
      <c r="I132" s="236" t="b">
        <v>1</v>
      </c>
      <c r="J132" s="236" t="b">
        <v>0</v>
      </c>
      <c r="K132" s="236" t="b">
        <v>0</v>
      </c>
      <c r="L132" s="236" t="b">
        <v>0</v>
      </c>
      <c r="M132" s="236" t="b">
        <v>0</v>
      </c>
      <c r="N132" s="236" t="b">
        <v>0</v>
      </c>
      <c r="O132" s="236" t="b">
        <v>0</v>
      </c>
      <c r="P132" s="236" t="b">
        <v>0</v>
      </c>
      <c r="Q132" s="236" t="b">
        <v>0</v>
      </c>
      <c r="R132" s="236" t="b">
        <v>0</v>
      </c>
      <c r="S132" s="236" t="b">
        <v>0</v>
      </c>
      <c r="T132" s="236" t="b">
        <v>1</v>
      </c>
      <c r="U132" s="236" t="b">
        <v>0</v>
      </c>
      <c r="V132" s="256" t="str" cm="1">
        <f t="array" ref="V132">IF(SUMPRODUCT((Cert_Matrix!$A$12:$A$21=E132)*(Cert_Matrix!$L$12:$W$21="X")*(H132:S132=TRUE))&lt;SUMPRODUCT((Cert_Matrix!$A$12:$A$21=E132)*(Cert_Matrix!$L$12:$W$21="X")),"Thiếu chứng nhận","Đủ điều kiện")</f>
        <v>Đủ điều kiện</v>
      </c>
      <c r="W132" s="287"/>
      <c r="X132" s="290"/>
      <c r="Y132" s="257" t="str">
        <f>VLOOKUP(B132,'HC Golf'!C:G,5,0)</f>
        <v>S1</v>
      </c>
    </row>
    <row r="133" spans="1:25">
      <c r="A133" s="256">
        <f>ROWS($B$5:B132)</f>
        <v>128</v>
      </c>
      <c r="B133" s="256" t="s">
        <v>1387</v>
      </c>
      <c r="C133" s="256" t="s">
        <v>673</v>
      </c>
      <c r="D133" s="256" t="s">
        <v>1225</v>
      </c>
      <c r="E133" s="256" t="s">
        <v>1150</v>
      </c>
      <c r="F133" s="256" t="s">
        <v>420</v>
      </c>
      <c r="G133" s="290"/>
      <c r="H133" s="236" t="b">
        <v>0</v>
      </c>
      <c r="I133" s="236" t="b">
        <v>0</v>
      </c>
      <c r="J133" s="236" t="b">
        <v>0</v>
      </c>
      <c r="K133" s="236" t="b">
        <v>0</v>
      </c>
      <c r="L133" s="236" t="b">
        <v>1</v>
      </c>
      <c r="M133" s="236" t="b">
        <v>1</v>
      </c>
      <c r="N133" s="236" t="b">
        <v>0</v>
      </c>
      <c r="O133" s="236" t="b">
        <v>0</v>
      </c>
      <c r="P133" s="236" t="b">
        <v>0</v>
      </c>
      <c r="Q133" s="236" t="b">
        <v>0</v>
      </c>
      <c r="R133" s="236" t="b">
        <v>0</v>
      </c>
      <c r="S133" s="236" t="b">
        <v>0</v>
      </c>
      <c r="T133" s="236" t="b">
        <v>1</v>
      </c>
      <c r="U133" s="236" t="b">
        <v>0</v>
      </c>
      <c r="V133" s="256" t="str" cm="1">
        <f t="array" ref="V133">IF(SUMPRODUCT((Cert_Matrix!$A$12:$A$21=E133)*(Cert_Matrix!$L$12:$W$21="X")*(H133:S133=TRUE))&lt;SUMPRODUCT((Cert_Matrix!$A$12:$A$21=E133)*(Cert_Matrix!$L$12:$W$21="X")),"Thiếu chứng nhận","Đủ điều kiện")</f>
        <v>Đủ điều kiện</v>
      </c>
      <c r="W133" s="287"/>
      <c r="X133" s="290"/>
      <c r="Y133" s="257" t="str">
        <f>VLOOKUP(B133,'HC Golf'!C:G,5,0)</f>
        <v>S1</v>
      </c>
    </row>
    <row r="134" spans="1:25">
      <c r="A134" s="256">
        <f>ROWS($B$5:B132)</f>
        <v>128</v>
      </c>
      <c r="B134" s="256" t="s">
        <v>1388</v>
      </c>
      <c r="C134" s="256" t="s">
        <v>1389</v>
      </c>
      <c r="D134" s="256" t="s">
        <v>1225</v>
      </c>
      <c r="E134" s="256" t="s">
        <v>1300</v>
      </c>
      <c r="F134" s="256" t="s">
        <v>420</v>
      </c>
      <c r="G134" s="290">
        <v>46100</v>
      </c>
      <c r="H134" s="236" t="b">
        <v>0</v>
      </c>
      <c r="I134" s="236" t="b">
        <v>0</v>
      </c>
      <c r="J134" s="236" t="b">
        <v>0</v>
      </c>
      <c r="K134" s="236" t="b">
        <v>0</v>
      </c>
      <c r="L134" s="236" t="b">
        <v>0</v>
      </c>
      <c r="M134" s="236" t="b">
        <v>0</v>
      </c>
      <c r="N134" s="236" t="b">
        <v>0</v>
      </c>
      <c r="O134" s="236" t="b">
        <v>1</v>
      </c>
      <c r="P134" s="236" t="b">
        <v>0</v>
      </c>
      <c r="Q134" s="236" t="b">
        <v>0</v>
      </c>
      <c r="R134" s="236" t="b">
        <v>0</v>
      </c>
      <c r="S134" s="236" t="b">
        <v>0</v>
      </c>
      <c r="T134" s="236" t="b">
        <v>1</v>
      </c>
      <c r="U134" s="236" t="b">
        <v>0</v>
      </c>
      <c r="V134" s="256" t="str" cm="1">
        <f t="array" ref="V134">IF(SUMPRODUCT((Cert_Matrix!$A$12:$A$21=E134)*(Cert_Matrix!$L$12:$W$21="X")*(H134:S134=TRUE))&lt;SUMPRODUCT((Cert_Matrix!$A$12:$A$21=E134)*(Cert_Matrix!$L$12:$W$21="X")),"Thiếu chứng nhận","Đủ điều kiện")</f>
        <v>Đủ điều kiện</v>
      </c>
      <c r="W134" s="287"/>
      <c r="X134" s="290"/>
      <c r="Y134" s="257" t="str">
        <f>VLOOKUP(B134,'HC Golf'!C:G,5,0)</f>
        <v>S1</v>
      </c>
    </row>
    <row r="135" spans="1:25">
      <c r="A135" s="256">
        <f>ROWS($B$5:B133)</f>
        <v>129</v>
      </c>
      <c r="B135" s="256" t="s">
        <v>1390</v>
      </c>
      <c r="C135" s="256" t="s">
        <v>1391</v>
      </c>
      <c r="D135" s="256" t="s">
        <v>1225</v>
      </c>
      <c r="E135" s="256" t="s">
        <v>1149</v>
      </c>
      <c r="F135" s="256" t="s">
        <v>420</v>
      </c>
      <c r="G135" s="290">
        <v>46155</v>
      </c>
      <c r="H135" s="236" t="b">
        <v>1</v>
      </c>
      <c r="I135" s="236" t="b">
        <v>0</v>
      </c>
      <c r="J135" s="236" t="b">
        <v>1</v>
      </c>
      <c r="K135" s="236" t="b">
        <v>0</v>
      </c>
      <c r="L135" s="236" t="b">
        <v>0</v>
      </c>
      <c r="M135" s="236" t="b">
        <v>0</v>
      </c>
      <c r="N135" s="236" t="b">
        <v>0</v>
      </c>
      <c r="O135" s="236" t="b">
        <v>0</v>
      </c>
      <c r="P135" s="236" t="b">
        <v>0</v>
      </c>
      <c r="Q135" s="236" t="b">
        <v>0</v>
      </c>
      <c r="R135" s="236" t="b">
        <v>0</v>
      </c>
      <c r="S135" s="236" t="b">
        <v>0</v>
      </c>
      <c r="T135" s="236" t="b">
        <v>1</v>
      </c>
      <c r="U135" s="236" t="b">
        <v>0</v>
      </c>
      <c r="V135" s="256" t="str" cm="1">
        <f t="array" ref="V135">IF(SUMPRODUCT((Cert_Matrix!$A$12:$A$21=E135)*(Cert_Matrix!$L$12:$W$21="X")*(H135:S135=TRUE))&lt;SUMPRODUCT((Cert_Matrix!$A$12:$A$21=E135)*(Cert_Matrix!$L$12:$W$21="X")),"Thiếu chứng nhận","Đủ điều kiện")</f>
        <v>Đủ điều kiện</v>
      </c>
      <c r="W135" s="287"/>
      <c r="X135" s="290"/>
      <c r="Y135" s="257" t="str">
        <f>VLOOKUP(B135,'HC Golf'!C:G,5,0)</f>
        <v>S1</v>
      </c>
    </row>
    <row r="136" spans="1:25">
      <c r="A136" s="256">
        <f>ROWS($B$5:B134)</f>
        <v>130</v>
      </c>
      <c r="B136" s="256" t="s">
        <v>1392</v>
      </c>
      <c r="C136" s="256" t="s">
        <v>1393</v>
      </c>
      <c r="D136" s="256" t="s">
        <v>1225</v>
      </c>
      <c r="E136" s="256" t="s">
        <v>1149</v>
      </c>
      <c r="F136" s="256" t="s">
        <v>420</v>
      </c>
      <c r="G136" s="290">
        <v>46128</v>
      </c>
      <c r="H136" s="236" t="b">
        <v>1</v>
      </c>
      <c r="I136" s="236" t="b">
        <v>0</v>
      </c>
      <c r="J136" s="236" t="b">
        <v>1</v>
      </c>
      <c r="K136" s="236" t="b">
        <v>0</v>
      </c>
      <c r="L136" s="236" t="b">
        <v>0</v>
      </c>
      <c r="M136" s="236" t="b">
        <v>0</v>
      </c>
      <c r="N136" s="236" t="b">
        <v>0</v>
      </c>
      <c r="O136" s="236" t="b">
        <v>0</v>
      </c>
      <c r="P136" s="236" t="b">
        <v>0</v>
      </c>
      <c r="Q136" s="236" t="b">
        <v>0</v>
      </c>
      <c r="R136" s="236" t="b">
        <v>0</v>
      </c>
      <c r="S136" s="236" t="b">
        <v>0</v>
      </c>
      <c r="T136" s="236" t="b">
        <v>1</v>
      </c>
      <c r="U136" s="236" t="b">
        <v>0</v>
      </c>
      <c r="V136" s="256" t="str" cm="1">
        <f t="array" ref="V136">IF(SUMPRODUCT((Cert_Matrix!$A$12:$A$21=E136)*(Cert_Matrix!$L$12:$W$21="X")*(H136:S136=TRUE))&lt;SUMPRODUCT((Cert_Matrix!$A$12:$A$21=E136)*(Cert_Matrix!$L$12:$W$21="X")),"Thiếu chứng nhận","Đủ điều kiện")</f>
        <v>Đủ điều kiện</v>
      </c>
      <c r="W136" s="287"/>
      <c r="X136" s="290"/>
      <c r="Y136" s="257" t="str">
        <f>VLOOKUP(B136,'HC Golf'!C:G,5,0)</f>
        <v>S1</v>
      </c>
    </row>
    <row r="137" spans="1:25">
      <c r="A137" s="256">
        <f>ROWS($B$5:B135)</f>
        <v>131</v>
      </c>
      <c r="B137" s="256" t="s">
        <v>1394</v>
      </c>
      <c r="C137" s="256" t="s">
        <v>861</v>
      </c>
      <c r="D137" s="256" t="s">
        <v>1225</v>
      </c>
      <c r="E137" s="256" t="s">
        <v>1149</v>
      </c>
      <c r="F137" s="256" t="s">
        <v>420</v>
      </c>
      <c r="G137" s="290"/>
      <c r="H137" s="236" t="b">
        <v>1</v>
      </c>
      <c r="I137" s="236" t="b">
        <v>1</v>
      </c>
      <c r="J137" s="236" t="b">
        <v>1</v>
      </c>
      <c r="K137" s="236" t="b">
        <v>0</v>
      </c>
      <c r="L137" s="236" t="b">
        <v>0</v>
      </c>
      <c r="M137" s="236" t="b">
        <v>0</v>
      </c>
      <c r="N137" s="236" t="b">
        <v>0</v>
      </c>
      <c r="O137" s="236" t="b">
        <v>0</v>
      </c>
      <c r="P137" s="236" t="b">
        <v>0</v>
      </c>
      <c r="Q137" s="236" t="b">
        <v>0</v>
      </c>
      <c r="R137" s="236" t="b">
        <v>0</v>
      </c>
      <c r="S137" s="236" t="b">
        <v>0</v>
      </c>
      <c r="T137" s="236" t="b">
        <v>1</v>
      </c>
      <c r="U137" s="236" t="b">
        <v>0</v>
      </c>
      <c r="V137" s="256" t="str" cm="1">
        <f t="array" ref="V137">IF(SUMPRODUCT((Cert_Matrix!$A$12:$A$21=E137)*(Cert_Matrix!$L$12:$W$21="X")*(H137:S137=TRUE))&lt;SUMPRODUCT((Cert_Matrix!$A$12:$A$21=E137)*(Cert_Matrix!$L$12:$W$21="X")),"Thiếu chứng nhận","Đủ điều kiện")</f>
        <v>Đủ điều kiện</v>
      </c>
      <c r="W137" s="287"/>
      <c r="X137" s="290"/>
      <c r="Y137" s="257" t="str">
        <f>VLOOKUP(B137,'HC Golf'!C:G,5,0)</f>
        <v>S1</v>
      </c>
    </row>
    <row r="138" spans="1:25">
      <c r="A138" s="256">
        <f>ROWS($B$5:B136)</f>
        <v>132</v>
      </c>
      <c r="B138" s="256" t="s">
        <v>447</v>
      </c>
      <c r="C138" s="256" t="s">
        <v>448</v>
      </c>
      <c r="D138" s="256" t="s">
        <v>1296</v>
      </c>
      <c r="E138" s="256" t="s">
        <v>1395</v>
      </c>
      <c r="F138" s="256" t="s">
        <v>420</v>
      </c>
      <c r="G138" s="290">
        <v>46135</v>
      </c>
      <c r="H138" s="236" t="b">
        <v>0</v>
      </c>
      <c r="I138" s="236" t="b">
        <v>0</v>
      </c>
      <c r="J138" s="236" t="b">
        <v>1</v>
      </c>
      <c r="K138" s="236" t="b">
        <v>0</v>
      </c>
      <c r="L138" s="236" t="b">
        <v>0</v>
      </c>
      <c r="M138" s="236" t="b">
        <v>0</v>
      </c>
      <c r="N138" s="236" t="b">
        <v>0</v>
      </c>
      <c r="O138" s="236" t="b">
        <v>0</v>
      </c>
      <c r="P138" s="236" t="b">
        <v>0</v>
      </c>
      <c r="Q138" s="236" t="b">
        <v>0</v>
      </c>
      <c r="R138" s="236" t="b">
        <v>0</v>
      </c>
      <c r="S138" s="236" t="b">
        <v>0</v>
      </c>
      <c r="T138" s="236" t="b">
        <v>1</v>
      </c>
      <c r="U138" s="236" t="b">
        <v>0</v>
      </c>
      <c r="V138" s="256" t="str" cm="1">
        <f t="array" ref="V138">IF(SUMPRODUCT((Cert_Matrix!$A$12:$A$21=E138)*(Cert_Matrix!$L$12:$W$21="X")*(H138:S138=TRUE))&lt;SUMPRODUCT((Cert_Matrix!$A$12:$A$21=E138)*(Cert_Matrix!$L$12:$W$21="X")),"Thiếu chứng nhận","Đủ điều kiện")</f>
        <v>Đủ điều kiện</v>
      </c>
      <c r="W138" s="287"/>
      <c r="X138" s="290"/>
      <c r="Y138" s="257" t="str">
        <f>VLOOKUP(B138,'HC Golf'!C:G,5,0)</f>
        <v>S1</v>
      </c>
    </row>
    <row r="139" spans="1:25">
      <c r="A139" s="256">
        <f>ROWS($B$5:B137)</f>
        <v>133</v>
      </c>
      <c r="B139" s="256" t="s">
        <v>441</v>
      </c>
      <c r="C139" s="256" t="s">
        <v>442</v>
      </c>
      <c r="D139" s="256" t="s">
        <v>1296</v>
      </c>
      <c r="E139" s="256" t="s">
        <v>1395</v>
      </c>
      <c r="F139" s="256" t="s">
        <v>420</v>
      </c>
      <c r="G139" s="290"/>
      <c r="H139" s="236" t="b">
        <v>0</v>
      </c>
      <c r="I139" s="236" t="b">
        <v>0</v>
      </c>
      <c r="J139" s="236" t="b">
        <v>0</v>
      </c>
      <c r="K139" s="236" t="b">
        <v>0</v>
      </c>
      <c r="L139" s="236" t="b">
        <v>0</v>
      </c>
      <c r="M139" s="236" t="b">
        <v>0</v>
      </c>
      <c r="N139" s="236" t="b">
        <v>0</v>
      </c>
      <c r="O139" s="236" t="b">
        <v>0</v>
      </c>
      <c r="P139" s="236" t="b">
        <v>0</v>
      </c>
      <c r="Q139" s="236" t="b">
        <v>0</v>
      </c>
      <c r="R139" s="236" t="b">
        <v>0</v>
      </c>
      <c r="S139" s="236" t="b">
        <v>0</v>
      </c>
      <c r="T139" s="236" t="b">
        <v>0</v>
      </c>
      <c r="U139" s="236" t="b">
        <v>0</v>
      </c>
      <c r="V139" s="256" t="str" cm="1">
        <f t="array" ref="V139">IF(SUMPRODUCT((Cert_Matrix!$A$12:$A$21=E139)*(Cert_Matrix!$L$12:$W$21="X")*(H139:S139=TRUE))&lt;SUMPRODUCT((Cert_Matrix!$A$12:$A$21=E139)*(Cert_Matrix!$L$12:$W$21="X")),"Thiếu chứng nhận","Đủ điều kiện")</f>
        <v>Đủ điều kiện</v>
      </c>
      <c r="W139" s="287"/>
      <c r="X139" s="290"/>
      <c r="Y139" s="257" t="str">
        <f>VLOOKUP(B139,'HC Golf'!C:G,5,0)</f>
        <v>TS home</v>
      </c>
    </row>
    <row r="140" spans="1:25">
      <c r="A140" s="256">
        <f>ROWS($B$5:B138)</f>
        <v>134</v>
      </c>
      <c r="B140" s="256" t="s">
        <v>554</v>
      </c>
      <c r="C140" s="256" t="s">
        <v>555</v>
      </c>
      <c r="D140" s="256" t="s">
        <v>1296</v>
      </c>
      <c r="E140" s="256" t="s">
        <v>1395</v>
      </c>
      <c r="F140" s="256" t="s">
        <v>420</v>
      </c>
      <c r="G140" s="290"/>
      <c r="H140" s="236" t="b">
        <v>0</v>
      </c>
      <c r="I140" s="236" t="b">
        <v>0</v>
      </c>
      <c r="J140" s="236" t="b">
        <v>0</v>
      </c>
      <c r="K140" s="236" t="b">
        <v>0</v>
      </c>
      <c r="L140" s="236" t="b">
        <v>0</v>
      </c>
      <c r="M140" s="236" t="b">
        <v>0</v>
      </c>
      <c r="N140" s="236" t="b">
        <v>0</v>
      </c>
      <c r="O140" s="236" t="b">
        <v>0</v>
      </c>
      <c r="P140" s="236" t="b">
        <v>0</v>
      </c>
      <c r="Q140" s="236" t="b">
        <v>0</v>
      </c>
      <c r="R140" s="236" t="b">
        <v>0</v>
      </c>
      <c r="S140" s="236" t="b">
        <v>0</v>
      </c>
      <c r="T140" s="236" t="b">
        <v>0</v>
      </c>
      <c r="U140" s="236" t="b">
        <v>0</v>
      </c>
      <c r="V140" s="256" t="str" cm="1">
        <f t="array" ref="V140">IF(SUMPRODUCT((Cert_Matrix!$A$12:$A$21=E140)*(Cert_Matrix!$L$12:$W$21="X")*(H140:S140=TRUE))&lt;SUMPRODUCT((Cert_Matrix!$A$12:$A$21=E140)*(Cert_Matrix!$L$12:$W$21="X")),"Thiếu chứng nhận","Đủ điều kiện")</f>
        <v>Đủ điều kiện</v>
      </c>
      <c r="W140" s="287"/>
      <c r="X140" s="290"/>
      <c r="Y140" s="257" t="str">
        <f>VLOOKUP(B140,'HC Golf'!C:G,5,0)</f>
        <v>TS home</v>
      </c>
    </row>
    <row r="141" spans="1:25">
      <c r="A141" s="256">
        <f>ROWS($B$5:B139)</f>
        <v>135</v>
      </c>
      <c r="B141" s="256" t="s">
        <v>465</v>
      </c>
      <c r="C141" s="256" t="s">
        <v>466</v>
      </c>
      <c r="D141" s="256" t="s">
        <v>1296</v>
      </c>
      <c r="E141" s="256" t="s">
        <v>1395</v>
      </c>
      <c r="F141" s="256" t="s">
        <v>420</v>
      </c>
      <c r="G141" s="290"/>
      <c r="H141" s="236" t="b">
        <v>0</v>
      </c>
      <c r="I141" s="236" t="b">
        <v>0</v>
      </c>
      <c r="J141" s="236" t="b">
        <v>0</v>
      </c>
      <c r="K141" s="236" t="b">
        <v>0</v>
      </c>
      <c r="L141" s="236" t="b">
        <v>0</v>
      </c>
      <c r="M141" s="236" t="b">
        <v>0</v>
      </c>
      <c r="N141" s="236" t="b">
        <v>0</v>
      </c>
      <c r="O141" s="236" t="b">
        <v>0</v>
      </c>
      <c r="P141" s="236" t="b">
        <v>0</v>
      </c>
      <c r="Q141" s="236" t="b">
        <v>0</v>
      </c>
      <c r="R141" s="236" t="b">
        <v>0</v>
      </c>
      <c r="S141" s="236" t="b">
        <v>0</v>
      </c>
      <c r="T141" s="236" t="b">
        <v>0</v>
      </c>
      <c r="U141" s="236" t="b">
        <v>0</v>
      </c>
      <c r="V141" s="256" t="str" cm="1">
        <f t="array" ref="V141">IF(SUMPRODUCT((Cert_Matrix!$A$12:$A$21=E141)*(Cert_Matrix!$L$12:$W$21="X")*(H141:S141=TRUE))&lt;SUMPRODUCT((Cert_Matrix!$A$12:$A$21=E141)*(Cert_Matrix!$L$12:$W$21="X")),"Thiếu chứng nhận","Đủ điều kiện")</f>
        <v>Đủ điều kiện</v>
      </c>
      <c r="W141" s="287"/>
      <c r="X141" s="290"/>
      <c r="Y141" s="257" t="str">
        <f>VLOOKUP(B141,'HC Golf'!C:G,5,0)</f>
        <v>TS home</v>
      </c>
    </row>
    <row r="142" spans="1:25">
      <c r="A142" s="256">
        <f>ROWS($B$5:B140)</f>
        <v>136</v>
      </c>
      <c r="B142" s="256" t="s">
        <v>1396</v>
      </c>
      <c r="C142" s="256" t="s">
        <v>1397</v>
      </c>
      <c r="D142" s="256" t="s">
        <v>1225</v>
      </c>
      <c r="E142" s="256" t="s">
        <v>1148</v>
      </c>
      <c r="F142" s="256" t="s">
        <v>420</v>
      </c>
      <c r="G142" s="290">
        <v>46155</v>
      </c>
      <c r="H142" s="236" t="b">
        <v>1</v>
      </c>
      <c r="I142" s="236" t="b">
        <v>1</v>
      </c>
      <c r="J142" s="236" t="b">
        <v>0</v>
      </c>
      <c r="K142" s="236" t="b">
        <v>0</v>
      </c>
      <c r="L142" s="236" t="b">
        <v>0</v>
      </c>
      <c r="M142" s="236" t="b">
        <v>0</v>
      </c>
      <c r="N142" s="236" t="b">
        <v>0</v>
      </c>
      <c r="O142" s="236" t="b">
        <v>0</v>
      </c>
      <c r="P142" s="236" t="b">
        <v>0</v>
      </c>
      <c r="Q142" s="236" t="b">
        <v>0</v>
      </c>
      <c r="R142" s="236" t="b">
        <v>0</v>
      </c>
      <c r="S142" s="236" t="b">
        <v>0</v>
      </c>
      <c r="T142" s="236" t="b">
        <v>1</v>
      </c>
      <c r="U142" s="236" t="b">
        <v>0</v>
      </c>
      <c r="V142" s="256" t="str" cm="1">
        <f t="array" ref="V142">IF(SUMPRODUCT((Cert_Matrix!$A$12:$A$21=E142)*(Cert_Matrix!$L$12:$W$21="X")*(H142:S142=TRUE))&lt;SUMPRODUCT((Cert_Matrix!$A$12:$A$21=E142)*(Cert_Matrix!$L$12:$W$21="X")),"Thiếu chứng nhận","Đủ điều kiện")</f>
        <v>Đủ điều kiện</v>
      </c>
      <c r="W142" s="287"/>
      <c r="X142" s="290"/>
      <c r="Y142" s="257" t="str">
        <f>VLOOKUP(B142,'HC Golf'!C:G,5,0)</f>
        <v>S1</v>
      </c>
    </row>
    <row r="143" spans="1:25">
      <c r="A143" s="256">
        <f>ROWS($B$5:B141)</f>
        <v>137</v>
      </c>
      <c r="B143" s="256" t="s">
        <v>1398</v>
      </c>
      <c r="C143" s="256" t="s">
        <v>1399</v>
      </c>
      <c r="D143" s="256" t="s">
        <v>1225</v>
      </c>
      <c r="E143" s="256" t="s">
        <v>1145</v>
      </c>
      <c r="F143" s="256" t="s">
        <v>420</v>
      </c>
      <c r="G143" s="290"/>
      <c r="H143" s="236" t="b">
        <v>0</v>
      </c>
      <c r="I143" s="236" t="b">
        <v>0</v>
      </c>
      <c r="J143" s="236" t="b">
        <v>0</v>
      </c>
      <c r="K143" s="236" t="b">
        <v>0</v>
      </c>
      <c r="L143" s="236" t="b">
        <v>0</v>
      </c>
      <c r="M143" s="236" t="b">
        <v>0</v>
      </c>
      <c r="N143" s="236" t="b">
        <v>0</v>
      </c>
      <c r="O143" s="236" t="b">
        <v>0</v>
      </c>
      <c r="P143" s="236" t="b">
        <v>0</v>
      </c>
      <c r="Q143" s="236" t="b">
        <v>0</v>
      </c>
      <c r="R143" s="236" t="b">
        <v>0</v>
      </c>
      <c r="S143" s="236" t="b">
        <v>0</v>
      </c>
      <c r="T143" s="236" t="b">
        <v>0</v>
      </c>
      <c r="U143" s="236" t="b">
        <v>0</v>
      </c>
      <c r="V143" s="256" t="str" cm="1">
        <f t="array" ref="V143">IF(SUMPRODUCT((Cert_Matrix!$A$12:$A$21=E143)*(Cert_Matrix!$L$12:$W$21="X")*(H143:S143=TRUE))&lt;SUMPRODUCT((Cert_Matrix!$A$12:$A$21=E143)*(Cert_Matrix!$L$12:$W$21="X")),"Thiếu chứng nhận","Đủ điều kiện")</f>
        <v>Đủ điều kiện</v>
      </c>
      <c r="W143" s="287"/>
      <c r="X143" s="290"/>
      <c r="Y143" s="257" t="str">
        <f>VLOOKUP(B143,'HC Golf'!C:G,5,0)</f>
        <v>S1</v>
      </c>
    </row>
    <row r="144" spans="1:25">
      <c r="A144" s="256">
        <f>ROWS($B$5:B142)</f>
        <v>138</v>
      </c>
      <c r="B144" s="256" t="s">
        <v>1400</v>
      </c>
      <c r="C144" s="256" t="s">
        <v>1401</v>
      </c>
      <c r="D144" s="256" t="s">
        <v>1296</v>
      </c>
      <c r="E144" s="256" t="s">
        <v>1148</v>
      </c>
      <c r="F144" s="256" t="s">
        <v>420</v>
      </c>
      <c r="G144" s="290"/>
      <c r="H144" s="236" t="b">
        <v>0</v>
      </c>
      <c r="I144" s="236" t="b">
        <v>0</v>
      </c>
      <c r="J144" s="236" t="b">
        <v>0</v>
      </c>
      <c r="K144" s="236" t="b">
        <v>0</v>
      </c>
      <c r="L144" s="236" t="b">
        <v>0</v>
      </c>
      <c r="M144" s="236" t="b">
        <v>0</v>
      </c>
      <c r="N144" s="236" t="b">
        <v>0</v>
      </c>
      <c r="O144" s="236" t="b">
        <v>0</v>
      </c>
      <c r="P144" s="236" t="b">
        <v>0</v>
      </c>
      <c r="Q144" s="236" t="b">
        <v>0</v>
      </c>
      <c r="R144" s="236" t="b">
        <v>0</v>
      </c>
      <c r="S144" s="236" t="b">
        <v>0</v>
      </c>
      <c r="T144" s="236" t="b">
        <v>0</v>
      </c>
      <c r="U144" s="236" t="b">
        <v>0</v>
      </c>
      <c r="V144" s="256" t="str" cm="1">
        <f t="array" ref="V144">IF(SUMPRODUCT((Cert_Matrix!$A$12:$A$21=E144)*(Cert_Matrix!$L$12:$W$21="X")*(H144:S144=TRUE))&lt;SUMPRODUCT((Cert_Matrix!$A$12:$A$21=E144)*(Cert_Matrix!$L$12:$W$21="X")),"Thiếu chứng nhận","Đủ điều kiện")</f>
        <v>Thiếu chứng nhận</v>
      </c>
      <c r="W144" s="287" t="s">
        <v>1023</v>
      </c>
      <c r="X144" s="290">
        <v>46188</v>
      </c>
      <c r="Y144" s="257" t="str">
        <f>VLOOKUP(B144,'HC Golf'!C:G,5,0)</f>
        <v>S1</v>
      </c>
    </row>
    <row r="145" spans="1:25">
      <c r="A145" s="256">
        <f>ROWS($B$5:B143)</f>
        <v>139</v>
      </c>
      <c r="B145" s="256" t="s">
        <v>1402</v>
      </c>
      <c r="C145" s="256" t="s">
        <v>1403</v>
      </c>
      <c r="D145" s="256" t="s">
        <v>1225</v>
      </c>
      <c r="E145" s="256" t="s">
        <v>1149</v>
      </c>
      <c r="F145" s="256" t="s">
        <v>420</v>
      </c>
      <c r="G145" s="290"/>
      <c r="H145" s="236" t="b">
        <v>0</v>
      </c>
      <c r="I145" s="236" t="b">
        <v>0</v>
      </c>
      <c r="J145" s="236" t="b">
        <v>0</v>
      </c>
      <c r="K145" s="236" t="b">
        <v>0</v>
      </c>
      <c r="L145" s="236" t="b">
        <v>0</v>
      </c>
      <c r="M145" s="236" t="b">
        <v>0</v>
      </c>
      <c r="N145" s="236" t="b">
        <v>0</v>
      </c>
      <c r="O145" s="236" t="b">
        <v>0</v>
      </c>
      <c r="P145" s="236" t="b">
        <v>0</v>
      </c>
      <c r="Q145" s="236" t="b">
        <v>0</v>
      </c>
      <c r="R145" s="236" t="b">
        <v>0</v>
      </c>
      <c r="S145" s="236" t="b">
        <v>0</v>
      </c>
      <c r="T145" s="236" t="b">
        <v>0</v>
      </c>
      <c r="U145" s="236" t="b">
        <v>0</v>
      </c>
      <c r="V145" s="256" t="str" cm="1">
        <f t="array" ref="V145">IF(SUMPRODUCT((Cert_Matrix!$A$12:$A$21=E145)*(Cert_Matrix!$L$12:$W$21="X")*(H145:S145=TRUE))&lt;SUMPRODUCT((Cert_Matrix!$A$12:$A$21=E145)*(Cert_Matrix!$L$12:$W$21="X")),"Thiếu chứng nhận","Đủ điều kiện")</f>
        <v>Thiếu chứng nhận</v>
      </c>
      <c r="W145" s="287" t="s">
        <v>1023</v>
      </c>
      <c r="X145" s="290">
        <v>46188</v>
      </c>
      <c r="Y145" s="257" t="str">
        <f>VLOOKUP(B145,'HC Golf'!C:G,5,0)</f>
        <v>S3</v>
      </c>
    </row>
    <row r="146" spans="1:25">
      <c r="A146" s="256">
        <f>ROWS($B$5:B144)</f>
        <v>140</v>
      </c>
      <c r="B146" s="256" t="s">
        <v>1404</v>
      </c>
      <c r="C146" s="256" t="s">
        <v>1405</v>
      </c>
      <c r="D146" s="256" t="s">
        <v>1225</v>
      </c>
      <c r="E146" s="256" t="s">
        <v>1145</v>
      </c>
      <c r="F146" s="256" t="s">
        <v>420</v>
      </c>
      <c r="G146" s="290"/>
      <c r="H146" s="236" t="b">
        <v>0</v>
      </c>
      <c r="I146" s="236" t="b">
        <v>0</v>
      </c>
      <c r="J146" s="236" t="b">
        <v>0</v>
      </c>
      <c r="K146" s="236" t="b">
        <v>0</v>
      </c>
      <c r="L146" s="236" t="b">
        <v>0</v>
      </c>
      <c r="M146" s="236" t="b">
        <v>0</v>
      </c>
      <c r="N146" s="236" t="b">
        <v>0</v>
      </c>
      <c r="O146" s="236" t="b">
        <v>0</v>
      </c>
      <c r="P146" s="236" t="b">
        <v>0</v>
      </c>
      <c r="Q146" s="236" t="b">
        <v>0</v>
      </c>
      <c r="R146" s="236" t="b">
        <v>0</v>
      </c>
      <c r="S146" s="236" t="b">
        <v>0</v>
      </c>
      <c r="T146" s="236" t="b">
        <v>0</v>
      </c>
      <c r="U146" s="236" t="b">
        <v>0</v>
      </c>
      <c r="V146" s="256" t="str" cm="1">
        <f t="array" ref="V146">IF(SUMPRODUCT((Cert_Matrix!$A$12:$A$21=E146)*(Cert_Matrix!$L$12:$W$21="X")*(H146:S146=TRUE))&lt;SUMPRODUCT((Cert_Matrix!$A$12:$A$21=E146)*(Cert_Matrix!$L$12:$W$21="X")),"Thiếu chứng nhận","Đủ điều kiện")</f>
        <v>Đủ điều kiện</v>
      </c>
      <c r="W146" s="287"/>
      <c r="X146" s="290"/>
      <c r="Y146" s="257" t="str">
        <f>VLOOKUP(B146,'HC Golf'!C:G,5,0)</f>
        <v>S2</v>
      </c>
    </row>
    <row r="147" spans="1:25">
      <c r="A147" s="256">
        <f>ROWS($B$5:B146)</f>
        <v>142</v>
      </c>
      <c r="B147" s="256" t="s">
        <v>1406</v>
      </c>
      <c r="C147" s="256" t="s">
        <v>1407</v>
      </c>
      <c r="D147" s="256" t="s">
        <v>1225</v>
      </c>
      <c r="E147" s="256" t="s">
        <v>1151</v>
      </c>
      <c r="F147" s="256"/>
      <c r="G147" s="290"/>
      <c r="H147" s="236" t="b">
        <v>0</v>
      </c>
      <c r="I147" s="236" t="b">
        <v>0</v>
      </c>
      <c r="J147" s="236" t="b">
        <v>0</v>
      </c>
      <c r="K147" s="236" t="b">
        <v>0</v>
      </c>
      <c r="L147" s="236" t="b">
        <v>0</v>
      </c>
      <c r="M147" s="236" t="b">
        <v>0</v>
      </c>
      <c r="N147" s="236" t="b">
        <v>0</v>
      </c>
      <c r="O147" s="236" t="b">
        <v>0</v>
      </c>
      <c r="P147" s="236" t="b">
        <v>0</v>
      </c>
      <c r="Q147" s="236" t="b">
        <v>0</v>
      </c>
      <c r="R147" s="236" t="b">
        <v>0</v>
      </c>
      <c r="S147" s="236" t="b">
        <v>0</v>
      </c>
      <c r="T147" s="236" t="b">
        <v>0</v>
      </c>
      <c r="U147" s="236" t="b">
        <v>0</v>
      </c>
      <c r="V147" s="256" t="str" cm="1">
        <f t="array" ref="V147">IF(SUMPRODUCT((Cert_Matrix!$A$12:$A$21=E147)*(Cert_Matrix!$L$12:$W$21="X")*(H147:S147=TRUE))&lt;SUMPRODUCT((Cert_Matrix!$A$12:$A$21=E147)*(Cert_Matrix!$L$12:$W$21="X")),"Thiếu chứng nhận","Đủ điều kiện")</f>
        <v>Thiếu chứng nhận</v>
      </c>
      <c r="W147" s="287" t="s">
        <v>1023</v>
      </c>
      <c r="X147" s="290">
        <v>46193</v>
      </c>
      <c r="Y147" s="257" t="str">
        <f>VLOOKUP(B147,'HC Golf'!C:G,5,0)</f>
        <v>S3</v>
      </c>
    </row>
    <row r="148" spans="1:25">
      <c r="A148" s="256">
        <f>ROWS($B$5:B146)</f>
        <v>142</v>
      </c>
      <c r="B148" s="256" t="s">
        <v>1408</v>
      </c>
      <c r="C148" s="256" t="s">
        <v>648</v>
      </c>
      <c r="D148" s="256" t="s">
        <v>1225</v>
      </c>
      <c r="E148" s="256" t="s">
        <v>1149</v>
      </c>
      <c r="F148" s="256"/>
      <c r="G148" s="290"/>
      <c r="H148" s="236" t="b">
        <v>0</v>
      </c>
      <c r="I148" s="236" t="b">
        <v>0</v>
      </c>
      <c r="J148" s="236" t="b">
        <v>0</v>
      </c>
      <c r="K148" s="236" t="b">
        <v>0</v>
      </c>
      <c r="L148" s="236" t="b">
        <v>0</v>
      </c>
      <c r="M148" s="236" t="b">
        <v>0</v>
      </c>
      <c r="N148" s="236" t="b">
        <v>0</v>
      </c>
      <c r="O148" s="236" t="b">
        <v>0</v>
      </c>
      <c r="P148" s="236" t="b">
        <v>0</v>
      </c>
      <c r="Q148" s="236" t="b">
        <v>0</v>
      </c>
      <c r="R148" s="236" t="b">
        <v>0</v>
      </c>
      <c r="S148" s="236" t="b">
        <v>0</v>
      </c>
      <c r="T148" s="236" t="b">
        <v>0</v>
      </c>
      <c r="U148" s="236" t="b">
        <v>0</v>
      </c>
      <c r="V148" s="256" t="str" cm="1">
        <f t="array" ref="V148">IF(SUMPRODUCT((Cert_Matrix!$A$12:$A$21=E148)*(Cert_Matrix!$L$12:$W$21="X")*(H148:S148=TRUE))&lt;SUMPRODUCT((Cert_Matrix!$A$12:$A$21=E148)*(Cert_Matrix!$L$12:$W$21="X")),"Thiếu chứng nhận","Đủ điều kiện")</f>
        <v>Thiếu chứng nhận</v>
      </c>
      <c r="W148" s="287" t="s">
        <v>1023</v>
      </c>
      <c r="X148" s="290">
        <v>46193</v>
      </c>
      <c r="Y148" s="257" t="str">
        <f>VLOOKUP(B148,'HC Golf'!C:G,5,0)</f>
        <v>S2</v>
      </c>
    </row>
    <row r="149" spans="1:25">
      <c r="A149" s="256">
        <f>ROWS($B$5:B147)</f>
        <v>143</v>
      </c>
      <c r="B149" s="256" t="s">
        <v>1409</v>
      </c>
      <c r="C149" s="256" t="s">
        <v>1410</v>
      </c>
      <c r="D149" s="256" t="s">
        <v>1225</v>
      </c>
      <c r="E149" s="256" t="s">
        <v>1151</v>
      </c>
      <c r="F149" s="256"/>
      <c r="G149" s="290"/>
      <c r="H149" s="236" t="b">
        <v>0</v>
      </c>
      <c r="I149" s="236" t="b">
        <v>0</v>
      </c>
      <c r="J149" s="236" t="b">
        <v>0</v>
      </c>
      <c r="K149" s="236" t="b">
        <v>0</v>
      </c>
      <c r="L149" s="236" t="b">
        <v>0</v>
      </c>
      <c r="M149" s="236" t="b">
        <v>0</v>
      </c>
      <c r="N149" s="236" t="b">
        <v>0</v>
      </c>
      <c r="O149" s="236" t="b">
        <v>0</v>
      </c>
      <c r="P149" s="236" t="b">
        <v>0</v>
      </c>
      <c r="Q149" s="236" t="b">
        <v>0</v>
      </c>
      <c r="R149" s="236" t="b">
        <v>0</v>
      </c>
      <c r="S149" s="236" t="b">
        <v>0</v>
      </c>
      <c r="T149" s="236" t="b">
        <v>0</v>
      </c>
      <c r="U149" s="236" t="b">
        <v>0</v>
      </c>
      <c r="V149" s="256" t="str" cm="1">
        <f t="array" ref="V149">IF(SUMPRODUCT((Cert_Matrix!$A$12:$A$21=E149)*(Cert_Matrix!$L$12:$W$21="X")*(H149:S149=TRUE))&lt;SUMPRODUCT((Cert_Matrix!$A$12:$A$21=E149)*(Cert_Matrix!$L$12:$W$21="X")),"Thiếu chứng nhận","Đủ điều kiện")</f>
        <v>Thiếu chứng nhận</v>
      </c>
      <c r="W149" s="287" t="s">
        <v>1023</v>
      </c>
      <c r="X149" s="290">
        <v>46193</v>
      </c>
      <c r="Y149" s="257" t="str">
        <f>VLOOKUP(B149,'HC Golf'!C:G,5,0)</f>
        <v>S2</v>
      </c>
    </row>
    <row r="150" spans="1:25">
      <c r="A150" s="256">
        <f>ROWS($B$5:B148)</f>
        <v>144</v>
      </c>
      <c r="B150" s="256" t="s">
        <v>1411</v>
      </c>
      <c r="C150" s="256" t="s">
        <v>1412</v>
      </c>
      <c r="D150" s="256" t="s">
        <v>1225</v>
      </c>
      <c r="E150" s="256" t="s">
        <v>1151</v>
      </c>
      <c r="F150" s="256" t="s">
        <v>420</v>
      </c>
      <c r="G150" s="290">
        <v>46171</v>
      </c>
      <c r="H150" s="236" t="b">
        <v>0</v>
      </c>
      <c r="I150" s="236" t="b">
        <v>0</v>
      </c>
      <c r="J150" s="236" t="b">
        <v>0</v>
      </c>
      <c r="K150" s="236" t="b">
        <v>0</v>
      </c>
      <c r="L150" s="236" t="b">
        <v>1</v>
      </c>
      <c r="M150" s="236" t="b">
        <v>0</v>
      </c>
      <c r="N150" s="236" t="b">
        <v>0</v>
      </c>
      <c r="O150" s="236" t="b">
        <v>1</v>
      </c>
      <c r="P150" s="236" t="b">
        <v>0</v>
      </c>
      <c r="Q150" s="236" t="b">
        <v>0</v>
      </c>
      <c r="R150" s="236" t="b">
        <v>0</v>
      </c>
      <c r="S150" s="236" t="b">
        <v>0</v>
      </c>
      <c r="T150" s="236" t="b">
        <v>1</v>
      </c>
      <c r="U150" s="236" t="b">
        <v>0</v>
      </c>
      <c r="V150" s="256" t="str" cm="1">
        <f t="array" ref="V150">IF(SUMPRODUCT((Cert_Matrix!$A$12:$A$21=E150)*(Cert_Matrix!$L$12:$W$21="X")*(H150:S150=TRUE))&lt;SUMPRODUCT((Cert_Matrix!$A$12:$A$21=E150)*(Cert_Matrix!$L$12:$W$21="X")),"Thiếu chứng nhận","Đủ điều kiện")</f>
        <v>Đủ điều kiện</v>
      </c>
      <c r="W150" s="287"/>
      <c r="X150" s="290"/>
      <c r="Y150" s="257" t="str">
        <f>VLOOKUP(B150,'HC Golf'!C:G,5,0)</f>
        <v>S1</v>
      </c>
    </row>
    <row r="152" spans="1:25">
      <c r="I152" s="238"/>
      <c r="J152" s="238"/>
    </row>
    <row r="153" spans="1:25">
      <c r="I153" s="238"/>
      <c r="J153" s="238"/>
    </row>
  </sheetData>
  <autoFilter ref="A6:Y150" xr:uid="{3BDECCED-43DC-4183-BD87-669749E3B63C}"/>
  <mergeCells count="9">
    <mergeCell ref="G5:G6"/>
    <mergeCell ref="A2:F3"/>
    <mergeCell ref="I5:U5"/>
    <mergeCell ref="A5:A6"/>
    <mergeCell ref="B5:B6"/>
    <mergeCell ref="C5:C6"/>
    <mergeCell ref="D5:D6"/>
    <mergeCell ref="F5:F6"/>
    <mergeCell ref="E5:E6"/>
  </mergeCells>
  <conditionalFormatting sqref="B1:C1 B4:C5 B7:C1048576">
    <cfRule type="duplicateValues" dxfId="54" priority="6"/>
  </conditionalFormatting>
  <conditionalFormatting sqref="H7:U150">
    <cfRule type="containsText" dxfId="53" priority="1" operator="containsText" text="false">
      <formula>NOT(ISERROR(SEARCH("false",H7)))</formula>
    </cfRule>
  </conditionalFormatting>
  <conditionalFormatting sqref="V1:V1048576">
    <cfRule type="containsText" dxfId="52" priority="3" operator="containsText" text="THIẾU CHỨNG NHẬN">
      <formula>NOT(ISERROR(SEARCH("THIẾU CHỨNG NHẬN",V1)))</formula>
    </cfRule>
  </conditionalFormatting>
  <dataValidations count="1">
    <dataValidation type="list" allowBlank="1" showInputMessage="1" showErrorMessage="1" sqref="W7:W150" xr:uid="{488A04BA-27E6-4652-BC2C-B6D30FF517CA}">
      <formula1>"CHƯA ĐÀO TẠO,ĐANG ĐÀO TẠO,CHỜ ĐÁNH GIÁ,CHỜ CẤP THẺ CNVH,ĐÁNH GIÁ LẠI"</formula1>
    </dataValidation>
  </dataValidations>
  <pageMargins left="0.16" right="0.16" top="0.16" bottom="0.16" header="0.16" footer="0.16"/>
  <pageSetup paperSize="9" scale="5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A575-DD9F-4639-AE6C-EDF4BFC2D1FC}">
  <sheetPr>
    <tabColor theme="0" tint="-0.14999847407452621"/>
  </sheetPr>
  <dimension ref="A1:W53"/>
  <sheetViews>
    <sheetView showGridLines="0" zoomScale="80" zoomScaleNormal="80" workbookViewId="0">
      <pane xSplit="7" ySplit="7" topLeftCell="H44" activePane="bottomRight" state="frozen"/>
      <selection pane="bottomRight" activeCell="D17" sqref="D17"/>
      <selection pane="bottomLeft" activeCell="A8" sqref="A8"/>
      <selection pane="topRight" activeCell="H1" sqref="H1"/>
    </sheetView>
  </sheetViews>
  <sheetFormatPr defaultRowHeight="15"/>
  <cols>
    <col min="1" max="1" width="5.85546875" style="257" customWidth="1"/>
    <col min="2" max="2" width="7.85546875" style="257" customWidth="1"/>
    <col min="3" max="3" width="20.5703125" style="257" bestFit="1" customWidth="1"/>
    <col min="4" max="4" width="21.140625" style="257" customWidth="1"/>
    <col min="5" max="5" width="15.42578125" style="257" bestFit="1" customWidth="1"/>
    <col min="6" max="6" width="17.42578125" style="257" hidden="1" customWidth="1"/>
    <col min="7" max="7" width="13.28515625" style="288" customWidth="1"/>
    <col min="8" max="8" width="9" style="237" bestFit="1" customWidth="1"/>
    <col min="9" max="9" width="6.7109375" style="237" bestFit="1" customWidth="1"/>
    <col min="10" max="10" width="8.42578125" style="237" bestFit="1" customWidth="1"/>
    <col min="11" max="11" width="10.5703125" style="237" bestFit="1" customWidth="1"/>
    <col min="12" max="12" width="8" style="237" bestFit="1" customWidth="1"/>
    <col min="13" max="13" width="12.42578125" style="237" bestFit="1" customWidth="1"/>
    <col min="14" max="14" width="8.140625" style="237" bestFit="1" customWidth="1"/>
    <col min="15" max="15" width="10.5703125" style="237" bestFit="1" customWidth="1"/>
    <col min="16" max="16" width="10.28515625" style="237" bestFit="1" customWidth="1"/>
    <col min="17" max="17" width="13.5703125" style="237" bestFit="1" customWidth="1"/>
    <col min="18" max="18" width="12.28515625" style="237" bestFit="1" customWidth="1"/>
    <col min="19" max="19" width="12.140625" style="237" bestFit="1" customWidth="1"/>
    <col min="20" max="20" width="17.85546875" style="257" bestFit="1" customWidth="1"/>
    <col min="21" max="21" width="27.5703125" style="257" customWidth="1"/>
    <col min="22" max="22" width="20.42578125" style="288" customWidth="1"/>
    <col min="23" max="16384" width="9.140625" style="257"/>
  </cols>
  <sheetData>
    <row r="1" spans="1:23">
      <c r="H1" s="257"/>
      <c r="I1" s="257"/>
      <c r="J1" s="257"/>
      <c r="K1" s="257"/>
      <c r="L1" s="257"/>
      <c r="M1" s="257"/>
      <c r="N1" s="257"/>
      <c r="O1" s="257"/>
      <c r="P1" s="257"/>
      <c r="Q1" s="291" t="s">
        <v>1</v>
      </c>
      <c r="R1" s="292"/>
      <c r="S1" s="293"/>
    </row>
    <row r="2" spans="1:23">
      <c r="A2" s="367" t="s">
        <v>0</v>
      </c>
      <c r="B2" s="367"/>
      <c r="C2" s="367"/>
      <c r="D2" s="367"/>
      <c r="E2" s="367"/>
      <c r="F2" s="367"/>
      <c r="G2" s="367"/>
      <c r="H2" s="257"/>
      <c r="I2" s="257"/>
      <c r="J2" s="257"/>
      <c r="K2" s="257"/>
      <c r="L2" s="257"/>
      <c r="M2" s="257"/>
      <c r="N2" s="257"/>
      <c r="O2" s="257"/>
      <c r="P2" s="257"/>
      <c r="Q2" s="291" t="s">
        <v>2</v>
      </c>
      <c r="R2" s="292"/>
      <c r="S2" s="293"/>
    </row>
    <row r="3" spans="1:23">
      <c r="A3" s="367"/>
      <c r="B3" s="367"/>
      <c r="C3" s="367"/>
      <c r="D3" s="367"/>
      <c r="E3" s="367"/>
      <c r="F3" s="367"/>
      <c r="G3" s="367"/>
      <c r="H3" s="257"/>
      <c r="I3" s="257"/>
      <c r="J3" s="257"/>
      <c r="K3" s="257"/>
      <c r="L3" s="257"/>
      <c r="M3" s="257"/>
      <c r="N3" s="257"/>
      <c r="O3" s="257"/>
      <c r="P3" s="257"/>
      <c r="Q3" s="291" t="s">
        <v>3</v>
      </c>
      <c r="R3" s="292"/>
      <c r="S3" s="293"/>
    </row>
    <row r="4" spans="1:23" s="295" customFormat="1" ht="15" customHeight="1">
      <c r="G4" s="296"/>
      <c r="Q4" s="291" t="s">
        <v>4</v>
      </c>
      <c r="R4" s="292"/>
      <c r="S4" s="293"/>
      <c r="V4" s="296"/>
    </row>
    <row r="5" spans="1:23" s="285" customFormat="1" ht="15" customHeight="1">
      <c r="A5" s="374" t="s">
        <v>5</v>
      </c>
      <c r="B5" s="374" t="s">
        <v>6</v>
      </c>
      <c r="C5" s="374" t="s">
        <v>1190</v>
      </c>
      <c r="D5" s="368" t="s">
        <v>1191</v>
      </c>
      <c r="E5" s="372" t="s">
        <v>1192</v>
      </c>
      <c r="F5" s="364" t="s">
        <v>8</v>
      </c>
      <c r="G5" s="370" t="s">
        <v>1193</v>
      </c>
      <c r="H5" s="364" t="s">
        <v>10</v>
      </c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6"/>
      <c r="V5" s="305"/>
    </row>
    <row r="6" spans="1:23" s="284" customFormat="1" ht="45">
      <c r="A6" s="374"/>
      <c r="B6" s="374"/>
      <c r="C6" s="374"/>
      <c r="D6" s="369"/>
      <c r="E6" s="369"/>
      <c r="F6" s="374"/>
      <c r="G6" s="371"/>
      <c r="H6" s="289" t="s">
        <v>1106</v>
      </c>
      <c r="I6" s="289" t="s">
        <v>1083</v>
      </c>
      <c r="J6" s="289" t="s">
        <v>1413</v>
      </c>
      <c r="K6" s="289" t="s">
        <v>1414</v>
      </c>
      <c r="L6" s="289" t="s">
        <v>1070</v>
      </c>
      <c r="M6" s="289" t="s">
        <v>1071</v>
      </c>
      <c r="N6" s="289" t="s">
        <v>1072</v>
      </c>
      <c r="O6" s="289" t="s">
        <v>1415</v>
      </c>
      <c r="P6" s="289" t="s">
        <v>1074</v>
      </c>
      <c r="Q6" s="289" t="s">
        <v>1416</v>
      </c>
      <c r="R6" s="289" t="s">
        <v>1417</v>
      </c>
      <c r="S6" s="289" t="s">
        <v>1200</v>
      </c>
      <c r="T6" s="286" t="s">
        <v>1201</v>
      </c>
      <c r="U6" s="286" t="s">
        <v>1202</v>
      </c>
      <c r="V6" s="315" t="s">
        <v>1203</v>
      </c>
    </row>
    <row r="7" spans="1:23">
      <c r="A7" s="256">
        <f>ROWS($B$5:B5)</f>
        <v>1</v>
      </c>
      <c r="B7" s="256" t="s">
        <v>267</v>
      </c>
      <c r="C7" s="256" t="s">
        <v>268</v>
      </c>
      <c r="D7" s="256" t="s">
        <v>1292</v>
      </c>
      <c r="E7" s="256"/>
      <c r="F7" s="256" t="s">
        <v>262</v>
      </c>
      <c r="G7" s="290"/>
      <c r="H7" s="236" t="b">
        <v>1</v>
      </c>
      <c r="I7" s="236" t="b">
        <v>1</v>
      </c>
      <c r="J7" s="236" t="b">
        <v>0</v>
      </c>
      <c r="K7" s="236" t="b">
        <v>1</v>
      </c>
      <c r="L7" s="236" t="b">
        <v>1</v>
      </c>
      <c r="M7" s="236" t="b">
        <v>1</v>
      </c>
      <c r="N7" s="236" t="b">
        <v>1</v>
      </c>
      <c r="O7" s="236" t="b">
        <v>1</v>
      </c>
      <c r="P7" s="236" t="b">
        <v>1</v>
      </c>
      <c r="Q7" s="236" t="b">
        <v>1</v>
      </c>
      <c r="R7" s="236" t="b">
        <v>1</v>
      </c>
      <c r="S7" s="236" t="b">
        <v>0</v>
      </c>
      <c r="T7" s="256" t="str" cm="1">
        <f t="array" ref="T7">IF(SUMPRODUCT((Cert_Matrix!$A$22:$A$27=E7)*(Cert_Matrix!$X$22:$AG$27="X")*(H7:Q7=TRUE))&lt;SUMPRODUCT((Cert_Matrix!$A$22:$A$27=E7)*(Cert_Matrix!$X$22:$AG$27="X")),"Thiếu chứng nhận","Đủ điều kiện")</f>
        <v>Đủ điều kiện</v>
      </c>
      <c r="U7" s="287"/>
      <c r="V7" s="290"/>
      <c r="W7" s="257" t="str">
        <f>VLOOKUP(B7,'HC Golf'!C:G,5,0)</f>
        <v>S2</v>
      </c>
    </row>
    <row r="8" spans="1:23">
      <c r="A8" s="256">
        <f>ROWS($B$5:B6)</f>
        <v>2</v>
      </c>
      <c r="B8" s="256" t="s">
        <v>287</v>
      </c>
      <c r="C8" s="256" t="s">
        <v>288</v>
      </c>
      <c r="D8" s="256" t="s">
        <v>1418</v>
      </c>
      <c r="E8" s="256" t="s">
        <v>1157</v>
      </c>
      <c r="F8" s="256" t="s">
        <v>262</v>
      </c>
      <c r="G8" s="290"/>
      <c r="H8" s="236" t="b">
        <v>1</v>
      </c>
      <c r="I8" s="236" t="b">
        <v>1</v>
      </c>
      <c r="J8" s="236" t="b">
        <v>0</v>
      </c>
      <c r="K8" s="236" t="b">
        <v>1</v>
      </c>
      <c r="L8" s="236" t="b">
        <v>1</v>
      </c>
      <c r="M8" s="236" t="b">
        <v>1</v>
      </c>
      <c r="N8" s="236" t="b">
        <v>1</v>
      </c>
      <c r="O8" s="236" t="b">
        <v>1</v>
      </c>
      <c r="P8" s="236" t="b">
        <v>1</v>
      </c>
      <c r="Q8" s="236" t="b">
        <v>1</v>
      </c>
      <c r="R8" s="236" t="b">
        <v>1</v>
      </c>
      <c r="S8" s="236" t="b">
        <v>0</v>
      </c>
      <c r="T8" s="256" t="str" cm="1">
        <f t="array" ref="T8">IF(SUMPRODUCT((Cert_Matrix!$A$22:$A$27=E8)*(Cert_Matrix!$X$22:$AG$27="X")*(H8:Q8=TRUE))&lt;SUMPRODUCT((Cert_Matrix!$A$22:$A$27=E8)*(Cert_Matrix!$X$22:$AG$27="X")),"Thiếu chứng nhận","Đủ điều kiện")</f>
        <v>Đủ điều kiện</v>
      </c>
      <c r="U8" s="287"/>
      <c r="V8" s="290"/>
      <c r="W8" s="257" t="str">
        <f>VLOOKUP(B8,'HC Golf'!C:G,5,0)</f>
        <v>S2</v>
      </c>
    </row>
    <row r="9" spans="1:23">
      <c r="A9" s="256">
        <f>ROWS($B$5:B7)</f>
        <v>3</v>
      </c>
      <c r="B9" s="256" t="s">
        <v>1419</v>
      </c>
      <c r="C9" s="256" t="s">
        <v>758</v>
      </c>
      <c r="D9" s="256" t="s">
        <v>1420</v>
      </c>
      <c r="E9" s="256" t="s">
        <v>1157</v>
      </c>
      <c r="F9" s="256" t="s">
        <v>262</v>
      </c>
      <c r="G9" s="290"/>
      <c r="H9" s="236" t="b">
        <v>0</v>
      </c>
      <c r="I9" s="236" t="b">
        <v>0</v>
      </c>
      <c r="J9" s="236" t="b">
        <v>0</v>
      </c>
      <c r="K9" s="236" t="b">
        <v>1</v>
      </c>
      <c r="L9" s="236" t="b">
        <v>1</v>
      </c>
      <c r="M9" s="236" t="b">
        <v>1</v>
      </c>
      <c r="N9" s="236" t="b">
        <v>1</v>
      </c>
      <c r="O9" s="236" t="b">
        <v>0</v>
      </c>
      <c r="P9" s="236" t="b">
        <v>1</v>
      </c>
      <c r="Q9" s="236" t="b">
        <v>1</v>
      </c>
      <c r="R9" s="236" t="b">
        <v>1</v>
      </c>
      <c r="S9" s="236" t="b">
        <v>0</v>
      </c>
      <c r="T9" s="256" t="str" cm="1">
        <f t="array" ref="T9">IF(SUMPRODUCT((Cert_Matrix!$A$22:$A$27=E9)*(Cert_Matrix!$X$22:$AG$27="X")*(H9:Q9=TRUE))&lt;SUMPRODUCT((Cert_Matrix!$A$22:$A$27=E9)*(Cert_Matrix!$X$22:$AG$27="X")),"Thiếu chứng nhận","Đủ điều kiện")</f>
        <v>Đủ điều kiện</v>
      </c>
      <c r="U9" s="287"/>
      <c r="V9" s="290"/>
      <c r="W9" s="257" t="str">
        <f>VLOOKUP(B9,'HC Golf'!C:G,5,0)</f>
        <v>S2</v>
      </c>
    </row>
    <row r="10" spans="1:23">
      <c r="A10" s="256">
        <f>ROWS($B$5:B8)</f>
        <v>4</v>
      </c>
      <c r="B10" s="256" t="s">
        <v>1421</v>
      </c>
      <c r="C10" s="256" t="s">
        <v>668</v>
      </c>
      <c r="D10" s="256" t="s">
        <v>1420</v>
      </c>
      <c r="E10" s="256" t="s">
        <v>1162</v>
      </c>
      <c r="F10" s="256" t="s">
        <v>262</v>
      </c>
      <c r="G10" s="290"/>
      <c r="H10" s="236" t="b">
        <v>0</v>
      </c>
      <c r="I10" s="236" t="b">
        <v>1</v>
      </c>
      <c r="J10" s="236" t="b">
        <v>0</v>
      </c>
      <c r="K10" s="236" t="b">
        <v>1</v>
      </c>
      <c r="L10" s="236" t="b">
        <v>0</v>
      </c>
      <c r="M10" s="236" t="b">
        <v>1</v>
      </c>
      <c r="N10" s="236" t="b">
        <v>1</v>
      </c>
      <c r="O10" s="236" t="b">
        <v>0</v>
      </c>
      <c r="P10" s="236" t="b">
        <v>1</v>
      </c>
      <c r="Q10" s="236" t="b">
        <v>1</v>
      </c>
      <c r="R10" s="236" t="b">
        <v>1</v>
      </c>
      <c r="S10" s="236" t="b">
        <v>0</v>
      </c>
      <c r="T10" s="256" t="str" cm="1">
        <f t="array" ref="T10">IF(SUMPRODUCT((Cert_Matrix!$A$22:$A$27=E10)*(Cert_Matrix!$X$22:$AG$27="X")*(H10:Q10=TRUE))&lt;SUMPRODUCT((Cert_Matrix!$A$22:$A$27=E10)*(Cert_Matrix!$X$22:$AG$27="X")),"Thiếu chứng nhận","Đủ điều kiện")</f>
        <v>Đủ điều kiện</v>
      </c>
      <c r="U10" s="287"/>
      <c r="V10" s="290"/>
      <c r="W10" s="257" t="str">
        <f>VLOOKUP(B10,'HC Golf'!C:G,5,0)</f>
        <v>S2</v>
      </c>
    </row>
    <row r="11" spans="1:23">
      <c r="A11" s="256">
        <f>ROWS($B$5:B9)</f>
        <v>5</v>
      </c>
      <c r="B11" s="256" t="s">
        <v>1422</v>
      </c>
      <c r="C11" s="256" t="s">
        <v>856</v>
      </c>
      <c r="D11" s="256" t="s">
        <v>1423</v>
      </c>
      <c r="E11" s="256" t="s">
        <v>1161</v>
      </c>
      <c r="F11" s="256" t="s">
        <v>262</v>
      </c>
      <c r="G11" s="290"/>
      <c r="H11" s="236" t="b">
        <v>1</v>
      </c>
      <c r="I11" s="236" t="b">
        <v>0</v>
      </c>
      <c r="J11" s="236" t="b">
        <v>0</v>
      </c>
      <c r="K11" s="236" t="b">
        <v>0</v>
      </c>
      <c r="L11" s="236" t="b">
        <v>0</v>
      </c>
      <c r="M11" s="236" t="b">
        <v>0</v>
      </c>
      <c r="N11" s="236" t="b">
        <v>0</v>
      </c>
      <c r="O11" s="236" t="b">
        <v>0</v>
      </c>
      <c r="P11" s="236" t="b">
        <v>1</v>
      </c>
      <c r="Q11" s="236" t="b">
        <v>1</v>
      </c>
      <c r="R11" s="236" t="b">
        <v>1</v>
      </c>
      <c r="S11" s="236" t="b">
        <v>0</v>
      </c>
      <c r="T11" s="256" t="str" cm="1">
        <f t="array" ref="T11">IF(SUMPRODUCT((Cert_Matrix!$A$22:$A$27=E11)*(Cert_Matrix!$X$22:$AG$27="X")*(H11:Q11=TRUE))&lt;SUMPRODUCT((Cert_Matrix!$A$22:$A$27=E11)*(Cert_Matrix!$X$22:$AG$27="X")),"Thiếu chứng nhận","Đủ điều kiện")</f>
        <v>Đủ điều kiện</v>
      </c>
      <c r="U11" s="287"/>
      <c r="V11" s="290"/>
      <c r="W11" s="257" t="str">
        <f>VLOOKUP(B11,'HC Golf'!C:G,5,0)</f>
        <v>S2</v>
      </c>
    </row>
    <row r="12" spans="1:23">
      <c r="A12" s="256">
        <f>ROWS($B$5:B11)</f>
        <v>7</v>
      </c>
      <c r="B12" s="256" t="s">
        <v>1424</v>
      </c>
      <c r="C12" s="256" t="s">
        <v>855</v>
      </c>
      <c r="D12" s="256" t="s">
        <v>1225</v>
      </c>
      <c r="E12" s="256" t="s">
        <v>1158</v>
      </c>
      <c r="F12" s="256" t="s">
        <v>262</v>
      </c>
      <c r="G12" s="290">
        <v>46013</v>
      </c>
      <c r="H12" s="236" t="b">
        <v>0</v>
      </c>
      <c r="I12" s="236" t="b">
        <v>0</v>
      </c>
      <c r="J12" s="236" t="b">
        <v>0</v>
      </c>
      <c r="K12" s="236" t="b">
        <v>0</v>
      </c>
      <c r="L12" s="236" t="b">
        <v>0</v>
      </c>
      <c r="M12" s="236" t="b">
        <v>0</v>
      </c>
      <c r="N12" s="236" t="b">
        <v>1</v>
      </c>
      <c r="O12" s="236" t="b">
        <v>0</v>
      </c>
      <c r="P12" s="236" t="b">
        <v>0</v>
      </c>
      <c r="Q12" s="236" t="b">
        <v>0</v>
      </c>
      <c r="R12" s="236" t="b">
        <v>1</v>
      </c>
      <c r="S12" s="236" t="b">
        <v>0</v>
      </c>
      <c r="T12" s="256" t="str" cm="1">
        <f t="array" ref="T12">IF(SUMPRODUCT((Cert_Matrix!$A$22:$A$27=E12)*(Cert_Matrix!$X$22:$AG$27="X")*(H12:Q12=TRUE))&lt;SUMPRODUCT((Cert_Matrix!$A$22:$A$27=E12)*(Cert_Matrix!$X$22:$AG$27="X")),"Thiếu chứng nhận","Đủ điều kiện")</f>
        <v>Đủ điều kiện</v>
      </c>
      <c r="U12" s="287"/>
      <c r="V12" s="290"/>
      <c r="W12" s="257" t="str">
        <f>VLOOKUP(B12,'HC Golf'!C:G,5,0)</f>
        <v>S2</v>
      </c>
    </row>
    <row r="13" spans="1:23">
      <c r="A13" s="256">
        <f>ROWS($B$5:B11)</f>
        <v>7</v>
      </c>
      <c r="B13" s="256" t="s">
        <v>1425</v>
      </c>
      <c r="C13" s="256" t="s">
        <v>677</v>
      </c>
      <c r="D13" s="256" t="s">
        <v>1225</v>
      </c>
      <c r="E13" s="256" t="s">
        <v>1157</v>
      </c>
      <c r="F13" s="256" t="s">
        <v>262</v>
      </c>
      <c r="G13" s="290">
        <v>46013</v>
      </c>
      <c r="H13" s="236" t="b">
        <v>0</v>
      </c>
      <c r="I13" s="236" t="b">
        <v>1</v>
      </c>
      <c r="J13" s="236" t="b">
        <v>0</v>
      </c>
      <c r="K13" s="236" t="b">
        <v>1</v>
      </c>
      <c r="L13" s="236" t="b">
        <v>1</v>
      </c>
      <c r="M13" s="236" t="b">
        <v>1</v>
      </c>
      <c r="N13" s="236" t="b">
        <v>1</v>
      </c>
      <c r="O13" s="236" t="b">
        <v>0</v>
      </c>
      <c r="P13" s="236" t="b">
        <v>1</v>
      </c>
      <c r="Q13" s="236" t="b">
        <v>0</v>
      </c>
      <c r="R13" s="236" t="b">
        <v>1</v>
      </c>
      <c r="S13" s="236" t="b">
        <v>0</v>
      </c>
      <c r="T13" s="256" t="str" cm="1">
        <f t="array" ref="T13">IF(SUMPRODUCT((Cert_Matrix!$A$22:$A$27=E13)*(Cert_Matrix!$X$22:$AG$27="X")*(H13:Q13=TRUE))&lt;SUMPRODUCT((Cert_Matrix!$A$22:$A$27=E13)*(Cert_Matrix!$X$22:$AG$27="X")),"Thiếu chứng nhận","Đủ điều kiện")</f>
        <v>Đủ điều kiện</v>
      </c>
      <c r="U13" s="287"/>
      <c r="V13" s="290"/>
      <c r="W13" s="257" t="str">
        <f>VLOOKUP(B13,'HC Golf'!C:G,5,0)</f>
        <v>S2</v>
      </c>
    </row>
    <row r="14" spans="1:23">
      <c r="A14" s="256">
        <f>ROWS($B$5:B12)</f>
        <v>8</v>
      </c>
      <c r="B14" s="256" t="s">
        <v>1426</v>
      </c>
      <c r="C14" s="256" t="s">
        <v>910</v>
      </c>
      <c r="D14" s="256" t="s">
        <v>1225</v>
      </c>
      <c r="E14" s="256" t="s">
        <v>1162</v>
      </c>
      <c r="F14" s="256" t="s">
        <v>262</v>
      </c>
      <c r="G14" s="290">
        <v>46013</v>
      </c>
      <c r="H14" s="236" t="b">
        <v>0</v>
      </c>
      <c r="I14" s="236" t="b">
        <v>0</v>
      </c>
      <c r="J14" s="236" t="b">
        <v>0</v>
      </c>
      <c r="K14" s="236" t="b">
        <v>1</v>
      </c>
      <c r="L14" s="236" t="b">
        <v>0</v>
      </c>
      <c r="M14" s="236" t="b">
        <v>1</v>
      </c>
      <c r="N14" s="236" t="b">
        <v>0</v>
      </c>
      <c r="O14" s="236" t="b">
        <v>0</v>
      </c>
      <c r="P14" s="236" t="b">
        <v>1</v>
      </c>
      <c r="Q14" s="236" t="b">
        <v>0</v>
      </c>
      <c r="R14" s="236" t="b">
        <v>1</v>
      </c>
      <c r="S14" s="236" t="b">
        <v>0</v>
      </c>
      <c r="T14" s="256" t="str" cm="1">
        <f t="array" ref="T14">IF(SUMPRODUCT((Cert_Matrix!$A$22:$A$27=E14)*(Cert_Matrix!$X$22:$AG$27="X")*(H14:Q14=TRUE))&lt;SUMPRODUCT((Cert_Matrix!$A$22:$A$27=E14)*(Cert_Matrix!$X$22:$AG$27="X")),"Thiếu chứng nhận","Đủ điều kiện")</f>
        <v>Đủ điều kiện</v>
      </c>
      <c r="U14" s="287"/>
      <c r="V14" s="290"/>
      <c r="W14" s="257" t="str">
        <f>VLOOKUP(B14,'HC Golf'!C:G,5,0)</f>
        <v>S2</v>
      </c>
    </row>
    <row r="15" spans="1:23">
      <c r="A15" s="256">
        <f>ROWS($B$5:B13)</f>
        <v>9</v>
      </c>
      <c r="B15" s="256" t="s">
        <v>1427</v>
      </c>
      <c r="C15" s="256" t="s">
        <v>1428</v>
      </c>
      <c r="D15" s="256" t="s">
        <v>1225</v>
      </c>
      <c r="E15" s="256" t="s">
        <v>1157</v>
      </c>
      <c r="F15" s="256" t="s">
        <v>262</v>
      </c>
      <c r="G15" s="290">
        <v>45945</v>
      </c>
      <c r="H15" s="236" t="b">
        <v>0</v>
      </c>
      <c r="I15" s="236" t="b">
        <v>0</v>
      </c>
      <c r="J15" s="236" t="b">
        <v>0</v>
      </c>
      <c r="K15" s="236" t="b">
        <v>1</v>
      </c>
      <c r="L15" s="236" t="b">
        <v>0</v>
      </c>
      <c r="M15" s="236" t="b">
        <v>1</v>
      </c>
      <c r="N15" s="236" t="b">
        <v>0</v>
      </c>
      <c r="O15" s="236" t="b">
        <v>0</v>
      </c>
      <c r="P15" s="236" t="b">
        <v>1</v>
      </c>
      <c r="Q15" s="236" t="b">
        <v>1</v>
      </c>
      <c r="R15" s="236" t="b">
        <v>1</v>
      </c>
      <c r="S15" s="236" t="b">
        <v>0</v>
      </c>
      <c r="T15" s="256" t="str" cm="1">
        <f t="array" ref="T15">IF(SUMPRODUCT((Cert_Matrix!$A$22:$A$27=E15)*(Cert_Matrix!$X$22:$AG$27="X")*(H15:Q15=TRUE))&lt;SUMPRODUCT((Cert_Matrix!$A$22:$A$27=E15)*(Cert_Matrix!$X$22:$AG$27="X")),"Thiếu chứng nhận","Đủ điều kiện")</f>
        <v>Đủ điều kiện</v>
      </c>
      <c r="U15" s="287"/>
      <c r="V15" s="290"/>
      <c r="W15" s="257" t="str">
        <f>VLOOKUP(B15,'HC Golf'!C:G,5,0)</f>
        <v>S2</v>
      </c>
    </row>
    <row r="16" spans="1:23">
      <c r="A16" s="256">
        <f>ROWS($B$5:B14)</f>
        <v>10</v>
      </c>
      <c r="B16" s="256" t="s">
        <v>1429</v>
      </c>
      <c r="C16" s="256" t="s">
        <v>1430</v>
      </c>
      <c r="D16" s="256" t="s">
        <v>1225</v>
      </c>
      <c r="E16" s="256" t="s">
        <v>1160</v>
      </c>
      <c r="F16" s="256" t="s">
        <v>262</v>
      </c>
      <c r="G16" s="290">
        <v>46098</v>
      </c>
      <c r="H16" s="236" t="b">
        <v>1</v>
      </c>
      <c r="I16" s="236" t="b">
        <v>0</v>
      </c>
      <c r="J16" s="236" t="b">
        <v>0</v>
      </c>
      <c r="K16" s="236" t="b">
        <v>0</v>
      </c>
      <c r="L16" s="236" t="b">
        <v>0</v>
      </c>
      <c r="M16" s="236" t="b">
        <v>0</v>
      </c>
      <c r="N16" s="236" t="b">
        <v>0</v>
      </c>
      <c r="O16" s="236" t="b">
        <v>0</v>
      </c>
      <c r="P16" s="236" t="b">
        <v>1</v>
      </c>
      <c r="Q16" s="236" t="b">
        <v>1</v>
      </c>
      <c r="R16" s="236" t="b">
        <v>1</v>
      </c>
      <c r="S16" s="236" t="b">
        <v>0</v>
      </c>
      <c r="T16" s="256" t="str" cm="1">
        <f t="array" ref="T16">IF(SUMPRODUCT((Cert_Matrix!$A$22:$A$27=E16)*(Cert_Matrix!$X$22:$AG$27="X")*(H16:Q16=TRUE))&lt;SUMPRODUCT((Cert_Matrix!$A$22:$A$27=E16)*(Cert_Matrix!$X$22:$AG$27="X")),"Thiếu chứng nhận","Đủ điều kiện")</f>
        <v>Đủ điều kiện</v>
      </c>
      <c r="U16" s="287"/>
      <c r="V16" s="290"/>
      <c r="W16" s="257" t="str">
        <f>VLOOKUP(B16,'HC Golf'!C:G,5,0)</f>
        <v>S2</v>
      </c>
    </row>
    <row r="17" spans="1:23">
      <c r="A17" s="256">
        <f>ROWS($B$5:B16)</f>
        <v>12</v>
      </c>
      <c r="B17" s="256" t="s">
        <v>1431</v>
      </c>
      <c r="C17" s="256" t="s">
        <v>1432</v>
      </c>
      <c r="D17" s="256" t="s">
        <v>1225</v>
      </c>
      <c r="E17" s="256" t="s">
        <v>1157</v>
      </c>
      <c r="F17" s="256" t="s">
        <v>262</v>
      </c>
      <c r="G17" s="290">
        <v>46111</v>
      </c>
      <c r="H17" s="236" t="b">
        <v>0</v>
      </c>
      <c r="I17" s="236" t="b">
        <v>1</v>
      </c>
      <c r="J17" s="236" t="b">
        <v>0</v>
      </c>
      <c r="K17" s="236" t="b">
        <v>1</v>
      </c>
      <c r="L17" s="236" t="b">
        <v>0</v>
      </c>
      <c r="M17" s="236" t="b">
        <v>1</v>
      </c>
      <c r="N17" s="236" t="b">
        <v>1</v>
      </c>
      <c r="O17" s="236" t="b">
        <v>0</v>
      </c>
      <c r="P17" s="236" t="b">
        <v>1</v>
      </c>
      <c r="Q17" s="236" t="b">
        <v>1</v>
      </c>
      <c r="R17" s="236" t="b">
        <v>1</v>
      </c>
      <c r="S17" s="236" t="b">
        <v>0</v>
      </c>
      <c r="T17" s="256" t="str" cm="1">
        <f t="array" ref="T17">IF(SUMPRODUCT((Cert_Matrix!$A$22:$A$27=E17)*(Cert_Matrix!$X$22:$AG$27="X")*(H17:Q17=TRUE))&lt;SUMPRODUCT((Cert_Matrix!$A$22:$A$27=E17)*(Cert_Matrix!$X$22:$AG$27="X")),"Thiếu chứng nhận","Đủ điều kiện")</f>
        <v>Đủ điều kiện</v>
      </c>
      <c r="U17" s="287"/>
      <c r="V17" s="290"/>
      <c r="W17" s="257" t="str">
        <f>VLOOKUP(B17,'HC Golf'!C:G,5,0)</f>
        <v>S2</v>
      </c>
    </row>
    <row r="18" spans="1:23">
      <c r="A18" s="256">
        <f>ROWS($B$5:B16)</f>
        <v>12</v>
      </c>
      <c r="B18" s="256" t="s">
        <v>269</v>
      </c>
      <c r="C18" s="256" t="s">
        <v>270</v>
      </c>
      <c r="D18" s="256" t="s">
        <v>1292</v>
      </c>
      <c r="E18" s="256"/>
      <c r="F18" s="256" t="s">
        <v>262</v>
      </c>
      <c r="G18" s="290"/>
      <c r="H18" s="236" t="b">
        <v>1</v>
      </c>
      <c r="I18" s="236" t="b">
        <v>1</v>
      </c>
      <c r="J18" s="236" t="b">
        <v>0</v>
      </c>
      <c r="K18" s="236" t="b">
        <v>1</v>
      </c>
      <c r="L18" s="236" t="b">
        <v>1</v>
      </c>
      <c r="M18" s="236" t="b">
        <v>1</v>
      </c>
      <c r="N18" s="236" t="b">
        <v>1</v>
      </c>
      <c r="O18" s="236" t="b">
        <v>1</v>
      </c>
      <c r="P18" s="236" t="b">
        <v>1</v>
      </c>
      <c r="Q18" s="236" t="b">
        <v>1</v>
      </c>
      <c r="R18" s="236" t="b">
        <v>1</v>
      </c>
      <c r="S18" s="236" t="b">
        <v>1</v>
      </c>
      <c r="T18" s="256" t="str" cm="1">
        <f t="array" ref="T18">IF(SUMPRODUCT((Cert_Matrix!$A$22:$A$27=E18)*(Cert_Matrix!$X$22:$AG$27="X")*(H18:Q18=TRUE))&lt;SUMPRODUCT((Cert_Matrix!$A$22:$A$27=E18)*(Cert_Matrix!$X$22:$AG$27="X")),"Thiếu chứng nhận","Đủ điều kiện")</f>
        <v>Đủ điều kiện</v>
      </c>
      <c r="U18" s="287"/>
      <c r="V18" s="290"/>
      <c r="W18" s="257" t="str">
        <f>VLOOKUP(B18,'HC Golf'!C:G,5,0)</f>
        <v>S3</v>
      </c>
    </row>
    <row r="19" spans="1:23">
      <c r="A19" s="256">
        <f>ROWS($B$5:B17)</f>
        <v>13</v>
      </c>
      <c r="B19" s="256" t="s">
        <v>285</v>
      </c>
      <c r="C19" s="256" t="s">
        <v>286</v>
      </c>
      <c r="D19" s="256" t="s">
        <v>1297</v>
      </c>
      <c r="E19" s="256" t="s">
        <v>1157</v>
      </c>
      <c r="F19" s="256" t="s">
        <v>262</v>
      </c>
      <c r="G19" s="290"/>
      <c r="H19" s="236" t="b">
        <v>1</v>
      </c>
      <c r="I19" s="236" t="b">
        <v>1</v>
      </c>
      <c r="J19" s="236" t="b">
        <v>0</v>
      </c>
      <c r="K19" s="236" t="b">
        <v>1</v>
      </c>
      <c r="L19" s="236" t="b">
        <v>0</v>
      </c>
      <c r="M19" s="236" t="b">
        <v>1</v>
      </c>
      <c r="N19" s="236" t="b">
        <v>1</v>
      </c>
      <c r="O19" s="236" t="b">
        <v>1</v>
      </c>
      <c r="P19" s="236" t="b">
        <v>1</v>
      </c>
      <c r="Q19" s="236" t="b">
        <v>1</v>
      </c>
      <c r="R19" s="236" t="b">
        <v>1</v>
      </c>
      <c r="S19" s="236" t="b">
        <v>1</v>
      </c>
      <c r="T19" s="256" t="str" cm="1">
        <f t="array" ref="T19">IF(SUMPRODUCT((Cert_Matrix!$A$22:$A$27=E19)*(Cert_Matrix!$X$22:$AG$27="X")*(H19:Q19=TRUE))&lt;SUMPRODUCT((Cert_Matrix!$A$22:$A$27=E19)*(Cert_Matrix!$X$22:$AG$27="X")),"Thiếu chứng nhận","Đủ điều kiện")</f>
        <v>Đủ điều kiện</v>
      </c>
      <c r="U19" s="287"/>
      <c r="V19" s="290"/>
      <c r="W19" s="257" t="str">
        <f>VLOOKUP(B19,'HC Golf'!C:G,5,0)</f>
        <v>S1</v>
      </c>
    </row>
    <row r="20" spans="1:23">
      <c r="A20" s="256">
        <f>ROWS($B$5:B18)</f>
        <v>14</v>
      </c>
      <c r="B20" s="256" t="s">
        <v>291</v>
      </c>
      <c r="C20" s="256" t="s">
        <v>292</v>
      </c>
      <c r="D20" s="256" t="s">
        <v>1420</v>
      </c>
      <c r="E20" s="256" t="s">
        <v>1157</v>
      </c>
      <c r="F20" s="256" t="s">
        <v>262</v>
      </c>
      <c r="G20" s="290"/>
      <c r="H20" s="236" t="b">
        <v>0</v>
      </c>
      <c r="I20" s="236" t="b">
        <v>1</v>
      </c>
      <c r="J20" s="236" t="b">
        <v>0</v>
      </c>
      <c r="K20" s="236" t="b">
        <v>1</v>
      </c>
      <c r="L20" s="236" t="b">
        <v>1</v>
      </c>
      <c r="M20" s="236" t="b">
        <v>1</v>
      </c>
      <c r="N20" s="236" t="b">
        <v>0</v>
      </c>
      <c r="O20" s="236" t="b">
        <v>0</v>
      </c>
      <c r="P20" s="236" t="b">
        <v>1</v>
      </c>
      <c r="Q20" s="236" t="b">
        <v>1</v>
      </c>
      <c r="R20" s="236" t="b">
        <v>1</v>
      </c>
      <c r="S20" s="236" t="b">
        <v>1</v>
      </c>
      <c r="T20" s="256" t="str" cm="1">
        <f t="array" ref="T20">IF(SUMPRODUCT((Cert_Matrix!$A$22:$A$27=E20)*(Cert_Matrix!$X$22:$AG$27="X")*(H20:Q20=TRUE))&lt;SUMPRODUCT((Cert_Matrix!$A$22:$A$27=E20)*(Cert_Matrix!$X$22:$AG$27="X")),"Thiếu chứng nhận","Đủ điều kiện")</f>
        <v>Đủ điều kiện</v>
      </c>
      <c r="U20" s="287"/>
      <c r="V20" s="290"/>
      <c r="W20" s="257" t="str">
        <f>VLOOKUP(B20,'HC Golf'!C:G,5,0)</f>
        <v>S3</v>
      </c>
    </row>
    <row r="21" spans="1:23">
      <c r="A21" s="256">
        <f>ROWS($B$5:B19)</f>
        <v>15</v>
      </c>
      <c r="B21" s="256" t="s">
        <v>260</v>
      </c>
      <c r="C21" s="256" t="s">
        <v>261</v>
      </c>
      <c r="D21" s="256" t="s">
        <v>1433</v>
      </c>
      <c r="E21" s="256" t="s">
        <v>1157</v>
      </c>
      <c r="F21" s="256" t="s">
        <v>262</v>
      </c>
      <c r="G21" s="290"/>
      <c r="H21" s="236" t="b">
        <v>1</v>
      </c>
      <c r="I21" s="236" t="b">
        <v>1</v>
      </c>
      <c r="J21" s="236" t="b">
        <v>0</v>
      </c>
      <c r="K21" s="236" t="b">
        <v>1</v>
      </c>
      <c r="L21" s="236" t="b">
        <v>0</v>
      </c>
      <c r="M21" s="236" t="b">
        <v>1</v>
      </c>
      <c r="N21" s="236" t="b">
        <v>1</v>
      </c>
      <c r="O21" s="236" t="b">
        <v>0</v>
      </c>
      <c r="P21" s="236" t="b">
        <v>1</v>
      </c>
      <c r="Q21" s="236" t="b">
        <v>0</v>
      </c>
      <c r="R21" s="236" t="b">
        <v>1</v>
      </c>
      <c r="S21" s="236" t="b">
        <v>1</v>
      </c>
      <c r="T21" s="256" t="str" cm="1">
        <f t="array" ref="T21">IF(SUMPRODUCT((Cert_Matrix!$A$22:$A$27=E21)*(Cert_Matrix!$X$22:$AG$27="X")*(H21:Q21=TRUE))&lt;SUMPRODUCT((Cert_Matrix!$A$22:$A$27=E21)*(Cert_Matrix!$X$22:$AG$27="X")),"Thiếu chứng nhận","Đủ điều kiện")</f>
        <v>Đủ điều kiện</v>
      </c>
      <c r="U21" s="287"/>
      <c r="V21" s="290"/>
      <c r="W21" s="257" t="str">
        <f>VLOOKUP(B21,'HC Golf'!C:G,5,0)</f>
        <v>S3</v>
      </c>
    </row>
    <row r="22" spans="1:23">
      <c r="A22" s="256">
        <f>ROWS($B$5:B20)</f>
        <v>16</v>
      </c>
      <c r="B22" s="256" t="s">
        <v>265</v>
      </c>
      <c r="C22" s="256" t="s">
        <v>266</v>
      </c>
      <c r="D22" s="256" t="s">
        <v>1434</v>
      </c>
      <c r="E22" s="256" t="s">
        <v>1162</v>
      </c>
      <c r="F22" s="256" t="s">
        <v>262</v>
      </c>
      <c r="G22" s="290"/>
      <c r="H22" s="236" t="b">
        <v>0</v>
      </c>
      <c r="I22" s="236" t="b">
        <v>1</v>
      </c>
      <c r="J22" s="236" t="b">
        <v>0</v>
      </c>
      <c r="K22" s="236" t="b">
        <v>1</v>
      </c>
      <c r="L22" s="236" t="b">
        <v>0</v>
      </c>
      <c r="M22" s="236" t="b">
        <v>1</v>
      </c>
      <c r="N22" s="236" t="b">
        <v>0</v>
      </c>
      <c r="O22" s="236" t="b">
        <v>0</v>
      </c>
      <c r="P22" s="236" t="b">
        <v>1</v>
      </c>
      <c r="Q22" s="236" t="b">
        <v>1</v>
      </c>
      <c r="R22" s="236" t="b">
        <v>1</v>
      </c>
      <c r="S22" s="236" t="b">
        <v>1</v>
      </c>
      <c r="T22" s="256" t="str" cm="1">
        <f t="array" ref="T22">IF(SUMPRODUCT((Cert_Matrix!$A$22:$A$27=E22)*(Cert_Matrix!$X$22:$AG$27="X")*(H22:Q22=TRUE))&lt;SUMPRODUCT((Cert_Matrix!$A$22:$A$27=E22)*(Cert_Matrix!$X$22:$AG$27="X")),"Thiếu chứng nhận","Đủ điều kiện")</f>
        <v>Đủ điều kiện</v>
      </c>
      <c r="U22" s="287"/>
      <c r="V22" s="290"/>
      <c r="W22" s="257" t="str">
        <f>VLOOKUP(B22,'HC Golf'!C:G,5,0)</f>
        <v>S3</v>
      </c>
    </row>
    <row r="23" spans="1:23">
      <c r="A23" s="256">
        <f>ROWS($B$5:B21)</f>
        <v>17</v>
      </c>
      <c r="B23" s="256" t="s">
        <v>263</v>
      </c>
      <c r="C23" s="256" t="s">
        <v>264</v>
      </c>
      <c r="D23" s="256" t="s">
        <v>1434</v>
      </c>
      <c r="E23" s="256" t="s">
        <v>1158</v>
      </c>
      <c r="F23" s="256" t="s">
        <v>262</v>
      </c>
      <c r="G23" s="290"/>
      <c r="H23" s="236" t="b">
        <v>0</v>
      </c>
      <c r="I23" s="236" t="b">
        <v>1</v>
      </c>
      <c r="J23" s="236" t="b">
        <v>0</v>
      </c>
      <c r="K23" s="236" t="b">
        <v>0</v>
      </c>
      <c r="L23" s="236" t="b">
        <v>0</v>
      </c>
      <c r="M23" s="236" t="b">
        <v>0</v>
      </c>
      <c r="N23" s="236" t="b">
        <v>1</v>
      </c>
      <c r="O23" s="236" t="b">
        <v>0</v>
      </c>
      <c r="P23" s="236" t="b">
        <v>0</v>
      </c>
      <c r="Q23" s="236" t="b">
        <v>0</v>
      </c>
      <c r="R23" s="236" t="b">
        <v>1</v>
      </c>
      <c r="S23" s="236" t="b">
        <v>1</v>
      </c>
      <c r="T23" s="256" t="str" cm="1">
        <f t="array" ref="T23">IF(SUMPRODUCT((Cert_Matrix!$A$22:$A$27=E23)*(Cert_Matrix!$X$22:$AG$27="X")*(H23:Q23=TRUE))&lt;SUMPRODUCT((Cert_Matrix!$A$22:$A$27=E23)*(Cert_Matrix!$X$22:$AG$27="X")),"Thiếu chứng nhận","Đủ điều kiện")</f>
        <v>Đủ điều kiện</v>
      </c>
      <c r="U23" s="287"/>
      <c r="V23" s="290"/>
      <c r="W23" s="257" t="str">
        <f>VLOOKUP(B23,'HC Golf'!C:G,5,0)</f>
        <v>S3</v>
      </c>
    </row>
    <row r="24" spans="1:23">
      <c r="A24" s="256">
        <f>ROWS($B$5:B22)</f>
        <v>18</v>
      </c>
      <c r="B24" s="256" t="s">
        <v>273</v>
      </c>
      <c r="C24" s="256" t="s">
        <v>274</v>
      </c>
      <c r="D24" s="256" t="s">
        <v>1434</v>
      </c>
      <c r="E24" s="256" t="s">
        <v>1157</v>
      </c>
      <c r="F24" s="256" t="s">
        <v>262</v>
      </c>
      <c r="G24" s="290"/>
      <c r="H24" s="236" t="b">
        <v>0</v>
      </c>
      <c r="I24" s="236" t="b">
        <v>1</v>
      </c>
      <c r="J24" s="236" t="b">
        <v>0</v>
      </c>
      <c r="K24" s="236" t="b">
        <v>1</v>
      </c>
      <c r="L24" s="236" t="b">
        <v>0</v>
      </c>
      <c r="M24" s="236" t="b">
        <v>1</v>
      </c>
      <c r="N24" s="236" t="b">
        <v>1</v>
      </c>
      <c r="O24" s="236" t="b">
        <v>0</v>
      </c>
      <c r="P24" s="236" t="b">
        <v>1</v>
      </c>
      <c r="Q24" s="236" t="b">
        <v>1</v>
      </c>
      <c r="R24" s="236" t="b">
        <v>1</v>
      </c>
      <c r="S24" s="236" t="b">
        <v>1</v>
      </c>
      <c r="T24" s="256" t="str" cm="1">
        <f t="array" ref="T24">IF(SUMPRODUCT((Cert_Matrix!$A$22:$A$27=E24)*(Cert_Matrix!$X$22:$AG$27="X")*(H24:Q24=TRUE))&lt;SUMPRODUCT((Cert_Matrix!$A$22:$A$27=E24)*(Cert_Matrix!$X$22:$AG$27="X")),"Thiếu chứng nhận","Đủ điều kiện")</f>
        <v>Đủ điều kiện</v>
      </c>
      <c r="U24" s="287"/>
      <c r="V24" s="290"/>
      <c r="W24" s="257" t="str">
        <f>VLOOKUP(B24,'HC Golf'!C:G,5,0)</f>
        <v>S3</v>
      </c>
    </row>
    <row r="25" spans="1:23">
      <c r="A25" s="256">
        <f>ROWS($B$5:B23)</f>
        <v>19</v>
      </c>
      <c r="B25" s="256" t="s">
        <v>693</v>
      </c>
      <c r="C25" s="256" t="s">
        <v>694</v>
      </c>
      <c r="D25" s="256" t="s">
        <v>1433</v>
      </c>
      <c r="E25" s="256" t="s">
        <v>1159</v>
      </c>
      <c r="F25" s="256" t="s">
        <v>262</v>
      </c>
      <c r="G25" s="290"/>
      <c r="H25" s="236" t="b">
        <v>0</v>
      </c>
      <c r="I25" s="236" t="b">
        <v>1</v>
      </c>
      <c r="J25" s="236" t="b">
        <v>0</v>
      </c>
      <c r="K25" s="236" t="b">
        <v>1</v>
      </c>
      <c r="L25" s="236" t="b">
        <v>0</v>
      </c>
      <c r="M25" s="236" t="b">
        <v>1</v>
      </c>
      <c r="N25" s="236" t="b">
        <v>1</v>
      </c>
      <c r="O25" s="236" t="b">
        <v>0</v>
      </c>
      <c r="P25" s="236" t="b">
        <v>1</v>
      </c>
      <c r="Q25" s="236" t="b">
        <v>1</v>
      </c>
      <c r="R25" s="236" t="b">
        <v>1</v>
      </c>
      <c r="S25" s="236" t="b">
        <v>0</v>
      </c>
      <c r="T25" s="256" t="str" cm="1">
        <f t="array" ref="T25">IF(SUMPRODUCT((Cert_Matrix!$A$22:$A$27=E25)*(Cert_Matrix!$X$22:$AG$27="X")*(H25:Q25=TRUE))&lt;SUMPRODUCT((Cert_Matrix!$A$22:$A$27=E25)*(Cert_Matrix!$X$22:$AG$27="X")),"Thiếu chứng nhận","Đủ điều kiện")</f>
        <v>Đủ điều kiện</v>
      </c>
      <c r="U25" s="287"/>
      <c r="V25" s="290"/>
      <c r="W25" s="257" t="str">
        <f>VLOOKUP(B25,'HC Golf'!C:G,5,0)</f>
        <v>S3</v>
      </c>
    </row>
    <row r="26" spans="1:23">
      <c r="A26" s="256">
        <f>ROWS($B$5:B24)</f>
        <v>20</v>
      </c>
      <c r="B26" s="256" t="s">
        <v>1435</v>
      </c>
      <c r="C26" s="256" t="s">
        <v>692</v>
      </c>
      <c r="D26" s="256" t="s">
        <v>1434</v>
      </c>
      <c r="E26" s="256" t="s">
        <v>1158</v>
      </c>
      <c r="F26" s="256" t="s">
        <v>262</v>
      </c>
      <c r="G26" s="290"/>
      <c r="H26" s="236" t="b">
        <v>0</v>
      </c>
      <c r="I26" s="236" t="b">
        <v>1</v>
      </c>
      <c r="J26" s="236" t="b">
        <v>0</v>
      </c>
      <c r="K26" s="236" t="b">
        <v>1</v>
      </c>
      <c r="L26" s="236" t="b">
        <v>0</v>
      </c>
      <c r="M26" s="236" t="b">
        <v>1</v>
      </c>
      <c r="N26" s="236" t="b">
        <v>1</v>
      </c>
      <c r="O26" s="236" t="b">
        <v>0</v>
      </c>
      <c r="P26" s="236" t="b">
        <v>1</v>
      </c>
      <c r="Q26" s="236" t="b">
        <v>1</v>
      </c>
      <c r="R26" s="236" t="b">
        <v>1</v>
      </c>
      <c r="S26" s="236" t="b">
        <v>0</v>
      </c>
      <c r="T26" s="256" t="str" cm="1">
        <f t="array" ref="T26">IF(SUMPRODUCT((Cert_Matrix!$A$22:$A$27=E26)*(Cert_Matrix!$X$22:$AG$27="X")*(H26:Q26=TRUE))&lt;SUMPRODUCT((Cert_Matrix!$A$22:$A$27=E26)*(Cert_Matrix!$X$22:$AG$27="X")),"Thiếu chứng nhận","Đủ điều kiện")</f>
        <v>Đủ điều kiện</v>
      </c>
      <c r="U26" s="287"/>
      <c r="V26" s="290"/>
      <c r="W26" s="257" t="str">
        <f>VLOOKUP(B26,'HC Golf'!C:G,5,0)</f>
        <v>S3</v>
      </c>
    </row>
    <row r="27" spans="1:23">
      <c r="A27" s="256">
        <f>ROWS($B$5:B25)</f>
        <v>21</v>
      </c>
      <c r="B27" s="256" t="s">
        <v>1436</v>
      </c>
      <c r="C27" s="256" t="s">
        <v>858</v>
      </c>
      <c r="D27" s="256" t="s">
        <v>1423</v>
      </c>
      <c r="E27" s="256" t="s">
        <v>1160</v>
      </c>
      <c r="F27" s="256" t="s">
        <v>262</v>
      </c>
      <c r="G27" s="290"/>
      <c r="H27" s="236" t="b">
        <v>1</v>
      </c>
      <c r="I27" s="236" t="b">
        <v>0</v>
      </c>
      <c r="J27" s="236" t="b">
        <v>0</v>
      </c>
      <c r="K27" s="236" t="b">
        <v>0</v>
      </c>
      <c r="L27" s="236" t="b">
        <v>0</v>
      </c>
      <c r="M27" s="236" t="b">
        <v>0</v>
      </c>
      <c r="N27" s="236" t="b">
        <v>0</v>
      </c>
      <c r="O27" s="236" t="b">
        <v>0</v>
      </c>
      <c r="P27" s="236" t="b">
        <v>1</v>
      </c>
      <c r="Q27" s="236" t="b">
        <v>1</v>
      </c>
      <c r="R27" s="236" t="b">
        <v>0</v>
      </c>
      <c r="S27" s="236" t="b">
        <v>0</v>
      </c>
      <c r="T27" s="256" t="str" cm="1">
        <f t="array" ref="T27">IF(SUMPRODUCT((Cert_Matrix!$A$22:$A$27=E27)*(Cert_Matrix!$X$22:$AG$27="X")*(H27:Q27=TRUE))&lt;SUMPRODUCT((Cert_Matrix!$A$22:$A$27=E27)*(Cert_Matrix!$X$22:$AG$27="X")),"Thiếu chứng nhận","Đủ điều kiện")</f>
        <v>Đủ điều kiện</v>
      </c>
      <c r="U27" s="287"/>
      <c r="V27" s="290"/>
      <c r="W27" s="257" t="str">
        <f>VLOOKUP(B27,'HC Golf'!C:G,5,0)</f>
        <v>S3</v>
      </c>
    </row>
    <row r="28" spans="1:23">
      <c r="A28" s="256">
        <f>ROWS($B$5:B26)</f>
        <v>22</v>
      </c>
      <c r="B28" s="256" t="s">
        <v>1437</v>
      </c>
      <c r="C28" s="256" t="s">
        <v>908</v>
      </c>
      <c r="D28" s="256" t="s">
        <v>1225</v>
      </c>
      <c r="E28" s="256" t="s">
        <v>1158</v>
      </c>
      <c r="F28" s="256" t="s">
        <v>262</v>
      </c>
      <c r="G28" s="290">
        <v>45937</v>
      </c>
      <c r="H28" s="236" t="b">
        <v>1</v>
      </c>
      <c r="I28" s="236" t="b">
        <v>1</v>
      </c>
      <c r="J28" s="236" t="b">
        <v>0</v>
      </c>
      <c r="K28" s="236" t="b">
        <v>1</v>
      </c>
      <c r="L28" s="236" t="b">
        <v>0</v>
      </c>
      <c r="M28" s="236" t="b">
        <v>0</v>
      </c>
      <c r="N28" s="236" t="b">
        <v>1</v>
      </c>
      <c r="O28" s="236" t="b">
        <v>0</v>
      </c>
      <c r="P28" s="236" t="b">
        <v>1</v>
      </c>
      <c r="Q28" s="236" t="b">
        <v>0</v>
      </c>
      <c r="R28" s="236" t="b">
        <v>1</v>
      </c>
      <c r="S28" s="236" t="b">
        <v>0</v>
      </c>
      <c r="T28" s="256" t="str" cm="1">
        <f t="array" ref="T28">IF(SUMPRODUCT((Cert_Matrix!$A$22:$A$27=E28)*(Cert_Matrix!$X$22:$AG$27="X")*(H28:Q28=TRUE))&lt;SUMPRODUCT((Cert_Matrix!$A$22:$A$27=E28)*(Cert_Matrix!$X$22:$AG$27="X")),"Thiếu chứng nhận","Đủ điều kiện")</f>
        <v>Đủ điều kiện</v>
      </c>
      <c r="U28" s="287"/>
      <c r="V28" s="290"/>
      <c r="W28" s="257" t="str">
        <f>VLOOKUP(B28,'HC Golf'!C:G,5,0)</f>
        <v>S3</v>
      </c>
    </row>
    <row r="29" spans="1:23">
      <c r="A29" s="256">
        <f>ROWS($B$5:B27)</f>
        <v>23</v>
      </c>
      <c r="B29" s="256" t="s">
        <v>1438</v>
      </c>
      <c r="C29" s="304" t="s">
        <v>1439</v>
      </c>
      <c r="D29" s="256" t="s">
        <v>1225</v>
      </c>
      <c r="E29" s="256" t="s">
        <v>1161</v>
      </c>
      <c r="F29" s="256" t="s">
        <v>262</v>
      </c>
      <c r="G29" s="290">
        <v>46108</v>
      </c>
      <c r="H29" s="236" t="b">
        <v>0</v>
      </c>
      <c r="I29" s="236" t="b">
        <v>0</v>
      </c>
      <c r="J29" s="236" t="b">
        <v>0</v>
      </c>
      <c r="K29" s="236" t="b">
        <v>0</v>
      </c>
      <c r="L29" s="236" t="b">
        <v>0</v>
      </c>
      <c r="M29" s="236" t="b">
        <v>0</v>
      </c>
      <c r="N29" s="236" t="b">
        <v>0</v>
      </c>
      <c r="O29" s="236" t="b">
        <v>0</v>
      </c>
      <c r="P29" s="236" t="b">
        <v>1</v>
      </c>
      <c r="Q29" s="236" t="b">
        <v>1</v>
      </c>
      <c r="R29" s="236" t="b">
        <v>0</v>
      </c>
      <c r="S29" s="236" t="b">
        <v>0</v>
      </c>
      <c r="T29" s="256" t="str" cm="1">
        <f t="array" ref="T29">IF(SUMPRODUCT((Cert_Matrix!$A$22:$A$27=E29)*(Cert_Matrix!$X$22:$AG$27="X")*(H29:Q29=TRUE))&lt;SUMPRODUCT((Cert_Matrix!$A$22:$A$27=E29)*(Cert_Matrix!$X$22:$AG$27="X")),"Thiếu chứng nhận","Đủ điều kiện")</f>
        <v>Đủ điều kiện</v>
      </c>
      <c r="U29" s="287"/>
      <c r="V29" s="290"/>
      <c r="W29" s="257" t="str">
        <f>VLOOKUP(B29,'HC Golf'!C:G,5,0)</f>
        <v>S3</v>
      </c>
    </row>
    <row r="30" spans="1:23">
      <c r="A30" s="256">
        <f>ROWS($B$5:B28)</f>
        <v>24</v>
      </c>
      <c r="B30" s="256" t="s">
        <v>1440</v>
      </c>
      <c r="C30" s="256" t="s">
        <v>1441</v>
      </c>
      <c r="D30" s="256" t="s">
        <v>1225</v>
      </c>
      <c r="E30" s="256" t="s">
        <v>1161</v>
      </c>
      <c r="F30" s="256" t="s">
        <v>262</v>
      </c>
      <c r="G30" s="290">
        <v>46108</v>
      </c>
      <c r="H30" s="236" t="b">
        <v>0</v>
      </c>
      <c r="I30" s="236" t="b">
        <v>0</v>
      </c>
      <c r="J30" s="236" t="b">
        <v>0</v>
      </c>
      <c r="K30" s="236" t="b">
        <v>0</v>
      </c>
      <c r="L30" s="236" t="b">
        <v>0</v>
      </c>
      <c r="M30" s="236" t="b">
        <v>0</v>
      </c>
      <c r="N30" s="236" t="b">
        <v>0</v>
      </c>
      <c r="O30" s="236" t="b">
        <v>0</v>
      </c>
      <c r="P30" s="236" t="b">
        <v>1</v>
      </c>
      <c r="Q30" s="236" t="b">
        <v>0</v>
      </c>
      <c r="R30" s="236" t="b">
        <v>0</v>
      </c>
      <c r="S30" s="236" t="b">
        <v>0</v>
      </c>
      <c r="T30" s="256" t="str" cm="1">
        <f t="array" ref="T30">IF(SUMPRODUCT((Cert_Matrix!$A$22:$A$27=E30)*(Cert_Matrix!$X$22:$AG$27="X")*(H30:Q30=TRUE))&lt;SUMPRODUCT((Cert_Matrix!$A$22:$A$27=E30)*(Cert_Matrix!$X$22:$AG$27="X")),"Thiếu chứng nhận","Đủ điều kiện")</f>
        <v>Đủ điều kiện</v>
      </c>
      <c r="U30" s="287"/>
      <c r="V30" s="290"/>
      <c r="W30" s="257" t="str">
        <f>VLOOKUP(B30,'HC Golf'!C:G,5,0)</f>
        <v>S3</v>
      </c>
    </row>
    <row r="31" spans="1:23">
      <c r="A31" s="256">
        <f>ROWS($B$5:B29)</f>
        <v>25</v>
      </c>
      <c r="B31" s="256" t="s">
        <v>1442</v>
      </c>
      <c r="C31" s="304" t="s">
        <v>1443</v>
      </c>
      <c r="D31" s="256" t="s">
        <v>1225</v>
      </c>
      <c r="E31" s="256" t="s">
        <v>1161</v>
      </c>
      <c r="F31" s="256" t="s">
        <v>262</v>
      </c>
      <c r="G31" s="290"/>
      <c r="H31" s="236" t="b">
        <v>0</v>
      </c>
      <c r="I31" s="236" t="b">
        <v>0</v>
      </c>
      <c r="J31" s="236" t="b">
        <v>0</v>
      </c>
      <c r="K31" s="236" t="b">
        <v>0</v>
      </c>
      <c r="L31" s="236" t="b">
        <v>0</v>
      </c>
      <c r="M31" s="236" t="b">
        <v>0</v>
      </c>
      <c r="N31" s="236" t="b">
        <v>0</v>
      </c>
      <c r="O31" s="236" t="b">
        <v>0</v>
      </c>
      <c r="P31" s="236" t="b">
        <v>1</v>
      </c>
      <c r="Q31" s="236" t="b">
        <v>1</v>
      </c>
      <c r="R31" s="236" t="b">
        <v>0</v>
      </c>
      <c r="S31" s="236" t="b">
        <v>0</v>
      </c>
      <c r="T31" s="256" t="str" cm="1">
        <f t="array" ref="T31">IF(SUMPRODUCT((Cert_Matrix!$A$22:$A$27=E31)*(Cert_Matrix!$X$22:$AG$27="X")*(H31:Q31=TRUE))&lt;SUMPRODUCT((Cert_Matrix!$A$22:$A$27=E31)*(Cert_Matrix!$X$22:$AG$27="X")),"Thiếu chứng nhận","Đủ điều kiện")</f>
        <v>Đủ điều kiện</v>
      </c>
      <c r="U31" s="287"/>
      <c r="V31" s="290"/>
      <c r="W31" s="257" t="str">
        <f>VLOOKUP(B31,'HC Golf'!C:G,5,0)</f>
        <v>S3</v>
      </c>
    </row>
    <row r="32" spans="1:23">
      <c r="A32" s="256">
        <f>ROWS($B$5:B30)</f>
        <v>26</v>
      </c>
      <c r="B32" s="256" t="s">
        <v>295</v>
      </c>
      <c r="C32" s="256" t="s">
        <v>296</v>
      </c>
      <c r="D32" s="256" t="s">
        <v>1292</v>
      </c>
      <c r="E32" s="256"/>
      <c r="F32" s="256" t="s">
        <v>262</v>
      </c>
      <c r="G32" s="290"/>
      <c r="H32" s="236" t="b">
        <v>1</v>
      </c>
      <c r="I32" s="236" t="b">
        <v>1</v>
      </c>
      <c r="J32" s="236" t="b">
        <v>0</v>
      </c>
      <c r="K32" s="236" t="b">
        <v>1</v>
      </c>
      <c r="L32" s="236" t="b">
        <v>1</v>
      </c>
      <c r="M32" s="236" t="b">
        <v>1</v>
      </c>
      <c r="N32" s="236" t="b">
        <v>1</v>
      </c>
      <c r="O32" s="236" t="b">
        <v>1</v>
      </c>
      <c r="P32" s="236" t="b">
        <v>1</v>
      </c>
      <c r="Q32" s="236" t="b">
        <v>1</v>
      </c>
      <c r="R32" s="236" t="b">
        <v>1</v>
      </c>
      <c r="S32" s="236" t="b">
        <v>0</v>
      </c>
      <c r="T32" s="256" t="str" cm="1">
        <f t="array" ref="T32">IF(SUMPRODUCT((Cert_Matrix!$A$22:$A$27=E32)*(Cert_Matrix!$X$22:$AG$27="X")*(H32:Q32=TRUE))&lt;SUMPRODUCT((Cert_Matrix!$A$22:$A$27=E32)*(Cert_Matrix!$X$22:$AG$27="X")),"Thiếu chứng nhận","Đủ điều kiện")</f>
        <v>Đủ điều kiện</v>
      </c>
      <c r="U32" s="287"/>
      <c r="V32" s="290"/>
      <c r="W32" s="257" t="str">
        <f>VLOOKUP(B32,'HC Golf'!C:G,5,0)</f>
        <v>S1</v>
      </c>
    </row>
    <row r="33" spans="1:23">
      <c r="A33" s="256">
        <f>ROWS($B$5:B31)</f>
        <v>27</v>
      </c>
      <c r="B33" s="256" t="s">
        <v>283</v>
      </c>
      <c r="C33" s="256" t="s">
        <v>284</v>
      </c>
      <c r="D33" s="256" t="s">
        <v>1420</v>
      </c>
      <c r="E33" s="256" t="s">
        <v>1157</v>
      </c>
      <c r="F33" s="256" t="s">
        <v>262</v>
      </c>
      <c r="G33" s="290"/>
      <c r="H33" s="236" t="b">
        <v>0</v>
      </c>
      <c r="I33" s="236" t="b">
        <v>1</v>
      </c>
      <c r="J33" s="236" t="b">
        <v>0</v>
      </c>
      <c r="K33" s="236" t="b">
        <v>1</v>
      </c>
      <c r="L33" s="236" t="b">
        <v>1</v>
      </c>
      <c r="M33" s="236" t="b">
        <v>1</v>
      </c>
      <c r="N33" s="236" t="b">
        <v>1</v>
      </c>
      <c r="O33" s="236" t="b">
        <v>0</v>
      </c>
      <c r="P33" s="236" t="b">
        <v>1</v>
      </c>
      <c r="Q33" s="236" t="b">
        <v>1</v>
      </c>
      <c r="R33" s="236" t="b">
        <v>1</v>
      </c>
      <c r="S33" s="236" t="b">
        <v>0</v>
      </c>
      <c r="T33" s="256" t="str" cm="1">
        <f t="array" ref="T33">IF(SUMPRODUCT((Cert_Matrix!$A$22:$A$27=E33)*(Cert_Matrix!$X$22:$AG$27="X")*(H33:Q33=TRUE))&lt;SUMPRODUCT((Cert_Matrix!$A$22:$A$27=E33)*(Cert_Matrix!$X$22:$AG$27="X")),"Thiếu chứng nhận","Đủ điều kiện")</f>
        <v>Đủ điều kiện</v>
      </c>
      <c r="U33" s="287"/>
      <c r="V33" s="290"/>
      <c r="W33" s="257" t="str">
        <f>VLOOKUP(B33,'HC Golf'!C:G,5,0)</f>
        <v>S1</v>
      </c>
    </row>
    <row r="34" spans="1:23">
      <c r="A34" s="256">
        <f>ROWS($B$5:B32)</f>
        <v>28</v>
      </c>
      <c r="B34" s="256" t="s">
        <v>1444</v>
      </c>
      <c r="C34" s="256" t="s">
        <v>715</v>
      </c>
      <c r="D34" s="256" t="s">
        <v>1433</v>
      </c>
      <c r="E34" s="256" t="s">
        <v>1157</v>
      </c>
      <c r="F34" s="256" t="s">
        <v>262</v>
      </c>
      <c r="G34" s="290"/>
      <c r="H34" s="236" t="b">
        <v>0</v>
      </c>
      <c r="I34" s="236" t="b">
        <v>1</v>
      </c>
      <c r="J34" s="236" t="b">
        <v>0</v>
      </c>
      <c r="K34" s="236" t="b">
        <v>1</v>
      </c>
      <c r="L34" s="236" t="b">
        <v>1</v>
      </c>
      <c r="M34" s="236" t="b">
        <v>1</v>
      </c>
      <c r="N34" s="236" t="b">
        <v>1</v>
      </c>
      <c r="O34" s="236" t="b">
        <v>0</v>
      </c>
      <c r="P34" s="236" t="b">
        <v>1</v>
      </c>
      <c r="Q34" s="236" t="b">
        <v>1</v>
      </c>
      <c r="R34" s="236" t="b">
        <v>1</v>
      </c>
      <c r="S34" s="236" t="b">
        <v>0</v>
      </c>
      <c r="T34" s="256" t="str" cm="1">
        <f t="array" ref="T34">IF(SUMPRODUCT((Cert_Matrix!$A$22:$A$27=E34)*(Cert_Matrix!$X$22:$AG$27="X")*(H34:Q34=TRUE))&lt;SUMPRODUCT((Cert_Matrix!$A$22:$A$27=E34)*(Cert_Matrix!$X$22:$AG$27="X")),"Thiếu chứng nhận","Đủ điều kiện")</f>
        <v>Đủ điều kiện</v>
      </c>
      <c r="U34" s="287"/>
      <c r="V34" s="290"/>
      <c r="W34" s="257" t="str">
        <f>VLOOKUP(B34,'HC Golf'!C:G,5,0)</f>
        <v>S1</v>
      </c>
    </row>
    <row r="35" spans="1:23">
      <c r="A35" s="256">
        <f>ROWS($B$5:B33)</f>
        <v>29</v>
      </c>
      <c r="B35" s="256" t="s">
        <v>1445</v>
      </c>
      <c r="C35" s="256" t="s">
        <v>916</v>
      </c>
      <c r="D35" s="256" t="s">
        <v>1420</v>
      </c>
      <c r="E35" s="256" t="s">
        <v>1157</v>
      </c>
      <c r="F35" s="256" t="s">
        <v>262</v>
      </c>
      <c r="G35" s="290"/>
      <c r="H35" s="236" t="b">
        <v>0</v>
      </c>
      <c r="I35" s="236" t="b">
        <v>0</v>
      </c>
      <c r="J35" s="236" t="b">
        <v>0</v>
      </c>
      <c r="K35" s="236" t="b">
        <v>1</v>
      </c>
      <c r="L35" s="236" t="b">
        <v>0</v>
      </c>
      <c r="M35" s="236" t="b">
        <v>0</v>
      </c>
      <c r="N35" s="236" t="b">
        <v>0</v>
      </c>
      <c r="O35" s="236" t="b">
        <v>0</v>
      </c>
      <c r="P35" s="236" t="b">
        <v>1</v>
      </c>
      <c r="Q35" s="236" t="b">
        <v>1</v>
      </c>
      <c r="R35" s="236" t="b">
        <v>0</v>
      </c>
      <c r="S35" s="236" t="b">
        <v>0</v>
      </c>
      <c r="T35" s="256" t="str" cm="1">
        <f t="array" ref="T35">IF(SUMPRODUCT((Cert_Matrix!$A$22:$A$27=E35)*(Cert_Matrix!$X$22:$AG$27="X")*(H35:Q35=TRUE))&lt;SUMPRODUCT((Cert_Matrix!$A$22:$A$27=E35)*(Cert_Matrix!$X$22:$AG$27="X")),"Thiếu chứng nhận","Đủ điều kiện")</f>
        <v>Đủ điều kiện</v>
      </c>
      <c r="U35" s="287"/>
      <c r="V35" s="290"/>
      <c r="W35" s="257" t="str">
        <f>VLOOKUP(B35,'HC Golf'!C:G,5,0)</f>
        <v>S1</v>
      </c>
    </row>
    <row r="36" spans="1:23">
      <c r="A36" s="256">
        <f>ROWS($B$5:B34)</f>
        <v>30</v>
      </c>
      <c r="B36" s="256" t="s">
        <v>1446</v>
      </c>
      <c r="C36" s="256" t="s">
        <v>824</v>
      </c>
      <c r="D36" s="256" t="s">
        <v>1420</v>
      </c>
      <c r="E36" s="256" t="s">
        <v>1162</v>
      </c>
      <c r="F36" s="256" t="s">
        <v>262</v>
      </c>
      <c r="G36" s="290"/>
      <c r="H36" s="236" t="b">
        <v>0</v>
      </c>
      <c r="I36" s="236" t="b">
        <v>1</v>
      </c>
      <c r="J36" s="236" t="b">
        <v>0</v>
      </c>
      <c r="K36" s="236" t="b">
        <v>1</v>
      </c>
      <c r="L36" s="236" t="b">
        <v>0</v>
      </c>
      <c r="M36" s="236" t="b">
        <v>1</v>
      </c>
      <c r="N36" s="236" t="b">
        <v>1</v>
      </c>
      <c r="O36" s="236" t="b">
        <v>0</v>
      </c>
      <c r="P36" s="236" t="b">
        <v>1</v>
      </c>
      <c r="Q36" s="236" t="b">
        <v>1</v>
      </c>
      <c r="R36" s="236" t="b">
        <v>1</v>
      </c>
      <c r="S36" s="236" t="b">
        <v>0</v>
      </c>
      <c r="T36" s="256" t="str" cm="1">
        <f t="array" ref="T36">IF(SUMPRODUCT((Cert_Matrix!$A$22:$A$27=E36)*(Cert_Matrix!$X$22:$AG$27="X")*(H36:Q36=TRUE))&lt;SUMPRODUCT((Cert_Matrix!$A$22:$A$27=E36)*(Cert_Matrix!$X$22:$AG$27="X")),"Thiếu chứng nhận","Đủ điều kiện")</f>
        <v>Đủ điều kiện</v>
      </c>
      <c r="U36" s="287"/>
      <c r="V36" s="290"/>
      <c r="W36" s="257" t="str">
        <f>VLOOKUP(B36,'HC Golf'!C:G,5,0)</f>
        <v>S1</v>
      </c>
    </row>
    <row r="37" spans="1:23">
      <c r="A37" s="256">
        <f>ROWS($B$5:B35)</f>
        <v>31</v>
      </c>
      <c r="B37" s="256" t="s">
        <v>277</v>
      </c>
      <c r="C37" s="256" t="s">
        <v>278</v>
      </c>
      <c r="D37" s="256" t="s">
        <v>1225</v>
      </c>
      <c r="E37" s="256" t="s">
        <v>1161</v>
      </c>
      <c r="F37" s="256" t="s">
        <v>262</v>
      </c>
      <c r="G37" s="290"/>
      <c r="H37" s="236" t="b">
        <v>0</v>
      </c>
      <c r="I37" s="236" t="b">
        <v>0</v>
      </c>
      <c r="J37" s="236" t="b">
        <v>0</v>
      </c>
      <c r="K37" s="236" t="b">
        <v>0</v>
      </c>
      <c r="L37" s="236" t="b">
        <v>0</v>
      </c>
      <c r="M37" s="236" t="b">
        <v>0</v>
      </c>
      <c r="N37" s="236" t="b">
        <v>0</v>
      </c>
      <c r="O37" s="236" t="b">
        <v>0</v>
      </c>
      <c r="P37" s="236" t="b">
        <v>1</v>
      </c>
      <c r="Q37" s="236" t="b">
        <v>0</v>
      </c>
      <c r="R37" s="236" t="b">
        <v>0</v>
      </c>
      <c r="S37" s="236" t="b">
        <v>0</v>
      </c>
      <c r="T37" s="256" t="str" cm="1">
        <f t="array" ref="T37">IF(SUMPRODUCT((Cert_Matrix!$A$22:$A$27=E37)*(Cert_Matrix!$X$22:$AG$27="X")*(H37:Q37=TRUE))&lt;SUMPRODUCT((Cert_Matrix!$A$22:$A$27=E37)*(Cert_Matrix!$X$22:$AG$27="X")),"Thiếu chứng nhận","Đủ điều kiện")</f>
        <v>Đủ điều kiện</v>
      </c>
      <c r="U37" s="287"/>
      <c r="V37" s="290"/>
      <c r="W37" s="257" t="str">
        <f>VLOOKUP(B37,'HC Golf'!C:G,5,0)</f>
        <v>S1</v>
      </c>
    </row>
    <row r="38" spans="1:23">
      <c r="A38" s="256">
        <f>ROWS($B$5:B36)</f>
        <v>32</v>
      </c>
      <c r="B38" s="256" t="s">
        <v>1447</v>
      </c>
      <c r="C38" s="256" t="s">
        <v>276</v>
      </c>
      <c r="D38" s="256" t="s">
        <v>1225</v>
      </c>
      <c r="E38" s="256" t="s">
        <v>1161</v>
      </c>
      <c r="F38" s="256" t="s">
        <v>262</v>
      </c>
      <c r="G38" s="290"/>
      <c r="H38" s="236" t="b">
        <v>0</v>
      </c>
      <c r="I38" s="236" t="b">
        <v>0</v>
      </c>
      <c r="J38" s="236" t="b">
        <v>0</v>
      </c>
      <c r="K38" s="236" t="b">
        <v>0</v>
      </c>
      <c r="L38" s="236" t="b">
        <v>0</v>
      </c>
      <c r="M38" s="236" t="b">
        <v>0</v>
      </c>
      <c r="N38" s="236" t="b">
        <v>0</v>
      </c>
      <c r="O38" s="236" t="b">
        <v>0</v>
      </c>
      <c r="P38" s="236" t="b">
        <v>1</v>
      </c>
      <c r="Q38" s="236" t="b">
        <v>0</v>
      </c>
      <c r="R38" s="236" t="b">
        <v>0</v>
      </c>
      <c r="S38" s="236" t="b">
        <v>0</v>
      </c>
      <c r="T38" s="256" t="str" cm="1">
        <f t="array" ref="T38">IF(SUMPRODUCT((Cert_Matrix!$A$22:$A$27=E38)*(Cert_Matrix!$X$22:$AG$27="X")*(H38:Q38=TRUE))&lt;SUMPRODUCT((Cert_Matrix!$A$22:$A$27=E38)*(Cert_Matrix!$X$22:$AG$27="X")),"Thiếu chứng nhận","Đủ điều kiện")</f>
        <v>Đủ điều kiện</v>
      </c>
      <c r="U38" s="287"/>
      <c r="V38" s="290"/>
      <c r="W38" s="257" t="str">
        <f>VLOOKUP(B38,'HC Golf'!C:G,5,0)</f>
        <v>S1</v>
      </c>
    </row>
    <row r="39" spans="1:23">
      <c r="A39" s="256">
        <f>ROWS($B$5:B37)</f>
        <v>33</v>
      </c>
      <c r="B39" s="256" t="s">
        <v>1448</v>
      </c>
      <c r="C39" s="256" t="s">
        <v>973</v>
      </c>
      <c r="D39" s="256" t="s">
        <v>1225</v>
      </c>
      <c r="E39" s="256" t="s">
        <v>1161</v>
      </c>
      <c r="F39" s="256" t="s">
        <v>262</v>
      </c>
      <c r="G39" s="290">
        <v>45869</v>
      </c>
      <c r="H39" s="236" t="b">
        <v>0</v>
      </c>
      <c r="I39" s="236" t="b">
        <v>0</v>
      </c>
      <c r="J39" s="236" t="b">
        <v>0</v>
      </c>
      <c r="K39" s="236" t="b">
        <v>0</v>
      </c>
      <c r="L39" s="236" t="b">
        <v>0</v>
      </c>
      <c r="M39" s="236" t="b">
        <v>0</v>
      </c>
      <c r="N39" s="236" t="b">
        <v>0</v>
      </c>
      <c r="O39" s="236" t="b">
        <v>0</v>
      </c>
      <c r="P39" s="236" t="b">
        <v>1</v>
      </c>
      <c r="Q39" s="236" t="b">
        <v>0</v>
      </c>
      <c r="R39" s="236" t="b">
        <v>0</v>
      </c>
      <c r="S39" s="236" t="b">
        <v>0</v>
      </c>
      <c r="T39" s="256" t="str" cm="1">
        <f t="array" ref="T39">IF(SUMPRODUCT((Cert_Matrix!$A$22:$A$27=E39)*(Cert_Matrix!$X$22:$AG$27="X")*(H39:Q39=TRUE))&lt;SUMPRODUCT((Cert_Matrix!$A$22:$A$27=E39)*(Cert_Matrix!$X$22:$AG$27="X")),"Thiếu chứng nhận","Đủ điều kiện")</f>
        <v>Đủ điều kiện</v>
      </c>
      <c r="U39" s="287"/>
      <c r="V39" s="290"/>
      <c r="W39" s="257" t="str">
        <f>VLOOKUP(B39,'HC Golf'!C:G,5,0)</f>
        <v>S1</v>
      </c>
    </row>
    <row r="40" spans="1:23">
      <c r="A40" s="256">
        <f>ROWS($B$5:B38)</f>
        <v>34</v>
      </c>
      <c r="B40" s="256" t="s">
        <v>1449</v>
      </c>
      <c r="C40" s="256" t="s">
        <v>1450</v>
      </c>
      <c r="D40" s="256" t="s">
        <v>1225</v>
      </c>
      <c r="E40" s="256" t="s">
        <v>1161</v>
      </c>
      <c r="F40" s="256" t="s">
        <v>262</v>
      </c>
      <c r="G40" s="290"/>
      <c r="H40" s="236" t="b">
        <v>0</v>
      </c>
      <c r="I40" s="236" t="b">
        <v>0</v>
      </c>
      <c r="J40" s="236" t="b">
        <v>0</v>
      </c>
      <c r="K40" s="236" t="b">
        <v>0</v>
      </c>
      <c r="L40" s="236" t="b">
        <v>0</v>
      </c>
      <c r="M40" s="236" t="b">
        <v>0</v>
      </c>
      <c r="N40" s="236" t="b">
        <v>0</v>
      </c>
      <c r="O40" s="236" t="b">
        <v>0</v>
      </c>
      <c r="P40" s="236" t="b">
        <v>1</v>
      </c>
      <c r="Q40" s="236" t="b">
        <v>1</v>
      </c>
      <c r="R40" s="236" t="b">
        <v>0</v>
      </c>
      <c r="S40" s="236" t="b">
        <v>0</v>
      </c>
      <c r="T40" s="256" t="str" cm="1">
        <f t="array" ref="T40">IF(SUMPRODUCT((Cert_Matrix!$A$22:$A$27=E40)*(Cert_Matrix!$X$22:$AG$27="X")*(H40:Q40=TRUE))&lt;SUMPRODUCT((Cert_Matrix!$A$22:$A$27=E40)*(Cert_Matrix!$X$22:$AG$27="X")),"Thiếu chứng nhận","Đủ điều kiện")</f>
        <v>Đủ điều kiện</v>
      </c>
      <c r="U40" s="287"/>
      <c r="V40" s="290"/>
      <c r="W40" s="257" t="str">
        <f>VLOOKUP(B40,'HC Golf'!C:G,5,0)</f>
        <v>S1</v>
      </c>
    </row>
    <row r="41" spans="1:23">
      <c r="A41" s="256">
        <f>ROWS($B$5:B39)</f>
        <v>35</v>
      </c>
      <c r="B41" s="256" t="s">
        <v>1451</v>
      </c>
      <c r="C41" s="256" t="s">
        <v>1452</v>
      </c>
      <c r="D41" s="256" t="s">
        <v>1423</v>
      </c>
      <c r="E41" s="256" t="s">
        <v>1160</v>
      </c>
      <c r="F41" s="256" t="s">
        <v>262</v>
      </c>
      <c r="G41" s="290"/>
      <c r="H41" s="236" t="b">
        <v>1</v>
      </c>
      <c r="I41" s="236" t="b">
        <v>0</v>
      </c>
      <c r="J41" s="236" t="b">
        <v>0</v>
      </c>
      <c r="K41" s="236" t="b">
        <v>0</v>
      </c>
      <c r="L41" s="236" t="b">
        <v>0</v>
      </c>
      <c r="M41" s="236" t="b">
        <v>0</v>
      </c>
      <c r="N41" s="236" t="b">
        <v>0</v>
      </c>
      <c r="O41" s="236" t="b">
        <v>0</v>
      </c>
      <c r="P41" s="236" t="b">
        <v>1</v>
      </c>
      <c r="Q41" s="236" t="b">
        <v>0</v>
      </c>
      <c r="R41" s="236" t="b">
        <v>1</v>
      </c>
      <c r="S41" s="236" t="b">
        <v>0</v>
      </c>
      <c r="T41" s="256" t="str" cm="1">
        <f t="array" ref="T41">IF(SUMPRODUCT((Cert_Matrix!$A$22:$A$27=E41)*(Cert_Matrix!$X$22:$AG$27="X")*(H41:Q41=TRUE))&lt;SUMPRODUCT((Cert_Matrix!$A$22:$A$27=E41)*(Cert_Matrix!$X$22:$AG$27="X")),"Thiếu chứng nhận","Đủ điều kiện")</f>
        <v>Đủ điều kiện</v>
      </c>
      <c r="U41" s="287"/>
      <c r="V41" s="290"/>
      <c r="W41" s="257" t="str">
        <f>VLOOKUP(B41,'HC Golf'!C:G,5,0)</f>
        <v>S1</v>
      </c>
    </row>
    <row r="42" spans="1:23">
      <c r="A42" s="256">
        <f>ROWS($B$5:B40)</f>
        <v>36</v>
      </c>
      <c r="B42" s="256" t="s">
        <v>1453</v>
      </c>
      <c r="C42" s="256" t="s">
        <v>1454</v>
      </c>
      <c r="D42" s="256" t="s">
        <v>1225</v>
      </c>
      <c r="E42" s="256" t="s">
        <v>1161</v>
      </c>
      <c r="F42" s="256" t="s">
        <v>262</v>
      </c>
      <c r="G42" s="290"/>
      <c r="H42" s="236" t="b">
        <v>0</v>
      </c>
      <c r="I42" s="236" t="b">
        <v>0</v>
      </c>
      <c r="J42" s="236" t="b">
        <v>0</v>
      </c>
      <c r="K42" s="236" t="b">
        <v>0</v>
      </c>
      <c r="L42" s="236" t="b">
        <v>0</v>
      </c>
      <c r="M42" s="236" t="b">
        <v>0</v>
      </c>
      <c r="N42" s="236" t="b">
        <v>0</v>
      </c>
      <c r="O42" s="236" t="b">
        <v>0</v>
      </c>
      <c r="P42" s="236" t="b">
        <v>1</v>
      </c>
      <c r="Q42" s="236" t="b">
        <v>0</v>
      </c>
      <c r="R42" s="236" t="b">
        <v>0</v>
      </c>
      <c r="S42" s="236" t="b">
        <v>0</v>
      </c>
      <c r="T42" s="256" t="str" cm="1">
        <f t="array" ref="T42">IF(SUMPRODUCT((Cert_Matrix!$A$22:$A$27=E42)*(Cert_Matrix!$X$22:$AG$27="X")*(H42:Q42=TRUE))&lt;SUMPRODUCT((Cert_Matrix!$A$22:$A$27=E42)*(Cert_Matrix!$X$22:$AG$27="X")),"Thiếu chứng nhận","Đủ điều kiện")</f>
        <v>Đủ điều kiện</v>
      </c>
      <c r="U42" s="287"/>
      <c r="V42" s="290"/>
      <c r="W42" s="257" t="str">
        <f>VLOOKUP(B42,'HC Golf'!C:G,5,0)</f>
        <v>S1</v>
      </c>
    </row>
    <row r="43" spans="1:23">
      <c r="A43" s="256">
        <f>ROWS($B$5:B41)</f>
        <v>37</v>
      </c>
      <c r="B43" s="256" t="s">
        <v>1455</v>
      </c>
      <c r="C43" s="256" t="s">
        <v>1456</v>
      </c>
      <c r="D43" s="256" t="s">
        <v>1225</v>
      </c>
      <c r="E43" s="256" t="s">
        <v>1158</v>
      </c>
      <c r="F43" s="256" t="s">
        <v>262</v>
      </c>
      <c r="G43" s="290"/>
      <c r="H43" s="236" t="b">
        <v>0</v>
      </c>
      <c r="I43" s="236" t="b">
        <v>1</v>
      </c>
      <c r="J43" s="236" t="b">
        <v>0</v>
      </c>
      <c r="K43" s="236" t="b">
        <v>1</v>
      </c>
      <c r="L43" s="236" t="b">
        <v>0</v>
      </c>
      <c r="M43" s="236" t="b">
        <v>1</v>
      </c>
      <c r="N43" s="236" t="b">
        <v>1</v>
      </c>
      <c r="O43" s="236" t="b">
        <v>0</v>
      </c>
      <c r="P43" s="236" t="b">
        <v>1</v>
      </c>
      <c r="Q43" s="236" t="b">
        <v>0</v>
      </c>
      <c r="R43" s="236" t="b">
        <v>1</v>
      </c>
      <c r="S43" s="236" t="b">
        <v>0</v>
      </c>
      <c r="T43" s="256" t="str" cm="1">
        <f t="array" ref="T43">IF(SUMPRODUCT((Cert_Matrix!$A$22:$A$27=E43)*(Cert_Matrix!$X$22:$AG$27="X")*(H43:Q43=TRUE))&lt;SUMPRODUCT((Cert_Matrix!$A$22:$A$27=E43)*(Cert_Matrix!$X$22:$AG$27="X")),"Thiếu chứng nhận","Đủ điều kiện")</f>
        <v>Đủ điều kiện</v>
      </c>
      <c r="U43" s="287"/>
      <c r="V43" s="290"/>
      <c r="W43" s="257" t="str">
        <f>VLOOKUP(B43,'HC Golf'!C:G,5,0)</f>
        <v>S1</v>
      </c>
    </row>
    <row r="44" spans="1:23">
      <c r="A44" s="256">
        <f>ROWS($B$5:B42)</f>
        <v>38</v>
      </c>
      <c r="B44" s="256" t="s">
        <v>1457</v>
      </c>
      <c r="C44" s="256" t="s">
        <v>1458</v>
      </c>
      <c r="D44" s="256" t="s">
        <v>1225</v>
      </c>
      <c r="E44" s="256" t="s">
        <v>1161</v>
      </c>
      <c r="F44" s="256" t="s">
        <v>262</v>
      </c>
      <c r="G44" s="290">
        <v>46146</v>
      </c>
      <c r="H44" s="236" t="b">
        <v>0</v>
      </c>
      <c r="I44" s="236" t="b">
        <v>0</v>
      </c>
      <c r="J44" s="236" t="b">
        <v>0</v>
      </c>
      <c r="K44" s="236" t="b">
        <v>1</v>
      </c>
      <c r="L44" s="236" t="b">
        <v>0</v>
      </c>
      <c r="M44" s="236" t="b">
        <v>1</v>
      </c>
      <c r="N44" s="236" t="b">
        <v>0</v>
      </c>
      <c r="O44" s="236" t="b">
        <v>0</v>
      </c>
      <c r="P44" s="236" t="b">
        <v>1</v>
      </c>
      <c r="Q44" s="236" t="b">
        <v>0</v>
      </c>
      <c r="R44" s="236" t="b">
        <v>1</v>
      </c>
      <c r="S44" s="236" t="b">
        <v>0</v>
      </c>
      <c r="T44" s="256" t="str" cm="1">
        <f t="array" ref="T44">IF(SUMPRODUCT((Cert_Matrix!$A$22:$A$27=E44)*(Cert_Matrix!$X$22:$AG$27="X")*(H44:Q44=TRUE))&lt;SUMPRODUCT((Cert_Matrix!$A$22:$A$27=E44)*(Cert_Matrix!$X$22:$AG$27="X")),"Thiếu chứng nhận","Đủ điều kiện")</f>
        <v>Đủ điều kiện</v>
      </c>
      <c r="U44" s="287"/>
      <c r="V44" s="290"/>
      <c r="W44" s="257" t="str">
        <f>VLOOKUP(B44,'HC Golf'!C:G,5,0)</f>
        <v>S1</v>
      </c>
    </row>
    <row r="45" spans="1:23">
      <c r="A45" s="256">
        <f>ROWS($B$5:B43)</f>
        <v>39</v>
      </c>
      <c r="B45" s="256" t="s">
        <v>609</v>
      </c>
      <c r="C45" s="256" t="s">
        <v>610</v>
      </c>
      <c r="D45" s="256" t="s">
        <v>1420</v>
      </c>
      <c r="E45" s="256" t="s">
        <v>1162</v>
      </c>
      <c r="F45" s="256" t="s">
        <v>542</v>
      </c>
      <c r="G45" s="290"/>
      <c r="H45" s="236" t="b">
        <v>0</v>
      </c>
      <c r="I45" s="236" t="b">
        <v>1</v>
      </c>
      <c r="J45" s="236" t="b">
        <v>0</v>
      </c>
      <c r="K45" s="236" t="b">
        <v>1</v>
      </c>
      <c r="L45" s="236" t="b">
        <v>1</v>
      </c>
      <c r="M45" s="236" t="b">
        <v>1</v>
      </c>
      <c r="N45" s="236" t="b">
        <v>1</v>
      </c>
      <c r="O45" s="236" t="b">
        <v>0</v>
      </c>
      <c r="P45" s="236" t="b">
        <v>1</v>
      </c>
      <c r="Q45" s="236" t="b">
        <v>1</v>
      </c>
      <c r="R45" s="236" t="b">
        <v>1</v>
      </c>
      <c r="S45" s="236" t="b">
        <v>1</v>
      </c>
      <c r="T45" s="256" t="str" cm="1">
        <f t="array" ref="T45">IF(SUMPRODUCT((Cert_Matrix!$A$22:$A$27=E45)*(Cert_Matrix!$X$22:$AG$27="X")*(H45:Q45=TRUE))&lt;SUMPRODUCT((Cert_Matrix!$A$22:$A$27=E45)*(Cert_Matrix!$X$22:$AG$27="X")),"Thiếu chứng nhận","Đủ điều kiện")</f>
        <v>Đủ điều kiện</v>
      </c>
      <c r="U45" s="287"/>
      <c r="V45" s="290"/>
      <c r="W45" s="257" t="str">
        <f>VLOOKUP(B45,'HC Golf'!C:G,5,0)</f>
        <v>S2</v>
      </c>
    </row>
    <row r="46" spans="1:23">
      <c r="A46" s="256">
        <f>ROWS($B$5:B44)</f>
        <v>40</v>
      </c>
      <c r="B46" s="256" t="s">
        <v>540</v>
      </c>
      <c r="C46" s="256" t="s">
        <v>541</v>
      </c>
      <c r="D46" s="256" t="s">
        <v>1420</v>
      </c>
      <c r="E46" s="256" t="s">
        <v>1157</v>
      </c>
      <c r="F46" s="256" t="s">
        <v>542</v>
      </c>
      <c r="G46" s="290"/>
      <c r="H46" s="236" t="b">
        <v>0</v>
      </c>
      <c r="I46" s="236" t="b">
        <v>1</v>
      </c>
      <c r="J46" s="236" t="b">
        <v>0</v>
      </c>
      <c r="K46" s="236" t="b">
        <v>1</v>
      </c>
      <c r="L46" s="236" t="b">
        <v>0</v>
      </c>
      <c r="M46" s="236" t="b">
        <v>0</v>
      </c>
      <c r="N46" s="236" t="b">
        <v>0</v>
      </c>
      <c r="O46" s="236" t="b">
        <v>0</v>
      </c>
      <c r="P46" s="236" t="b">
        <v>1</v>
      </c>
      <c r="Q46" s="236" t="b">
        <v>1</v>
      </c>
      <c r="R46" s="236" t="b">
        <v>1</v>
      </c>
      <c r="S46" s="236" t="b">
        <v>0</v>
      </c>
      <c r="T46" s="256" t="str" cm="1">
        <f t="array" ref="T46">IF(SUMPRODUCT((Cert_Matrix!$A$22:$A$27=E46)*(Cert_Matrix!$X$22:$AG$27="X")*(H46:Q46=TRUE))&lt;SUMPRODUCT((Cert_Matrix!$A$22:$A$27=E46)*(Cert_Matrix!$X$22:$AG$27="X")),"Thiếu chứng nhận","Đủ điều kiện")</f>
        <v>Đủ điều kiện</v>
      </c>
      <c r="U46" s="287"/>
      <c r="V46" s="290"/>
      <c r="W46" s="257" t="str">
        <f>VLOOKUP(B46,'HC Golf'!C:G,5,0)</f>
        <v>S1</v>
      </c>
    </row>
    <row r="47" spans="1:23">
      <c r="A47" s="256">
        <f>ROWS($B$5:B45)</f>
        <v>41</v>
      </c>
      <c r="B47" s="256" t="s">
        <v>1459</v>
      </c>
      <c r="C47" s="256" t="s">
        <v>282</v>
      </c>
      <c r="D47" s="256" t="s">
        <v>1225</v>
      </c>
      <c r="E47" s="256" t="s">
        <v>1158</v>
      </c>
      <c r="F47" s="256" t="s">
        <v>542</v>
      </c>
      <c r="G47" s="290"/>
      <c r="H47" s="236" t="b">
        <v>0</v>
      </c>
      <c r="I47" s="236" t="b">
        <v>1</v>
      </c>
      <c r="J47" s="236" t="b">
        <v>0</v>
      </c>
      <c r="K47" s="236" t="b">
        <v>0</v>
      </c>
      <c r="L47" s="236" t="b">
        <v>0</v>
      </c>
      <c r="M47" s="236" t="b">
        <v>0</v>
      </c>
      <c r="N47" s="236" t="b">
        <v>1</v>
      </c>
      <c r="O47" s="236" t="b">
        <v>0</v>
      </c>
      <c r="P47" s="236" t="b">
        <v>1</v>
      </c>
      <c r="Q47" s="236" t="b">
        <v>1</v>
      </c>
      <c r="R47" s="236" t="b">
        <v>0</v>
      </c>
      <c r="S47" s="236" t="b">
        <v>0</v>
      </c>
      <c r="T47" s="256" t="str" cm="1">
        <f t="array" ref="T47">IF(SUMPRODUCT((Cert_Matrix!$A$22:$A$27=E47)*(Cert_Matrix!$X$22:$AG$27="X")*(H47:Q47=TRUE))&lt;SUMPRODUCT((Cert_Matrix!$A$22:$A$27=E47)*(Cert_Matrix!$X$22:$AG$27="X")),"Thiếu chứng nhận","Đủ điều kiện")</f>
        <v>Đủ điều kiện</v>
      </c>
      <c r="U47" s="287"/>
      <c r="V47" s="290"/>
      <c r="W47" s="257" t="str">
        <f>VLOOKUP(B47,'HC Golf'!C:G,5,0)</f>
        <v>S2</v>
      </c>
    </row>
    <row r="48" spans="1:23">
      <c r="A48" s="256">
        <f>ROWS($B$5:B46)</f>
        <v>42</v>
      </c>
      <c r="B48" s="256" t="s">
        <v>1460</v>
      </c>
      <c r="C48" s="256" t="s">
        <v>909</v>
      </c>
      <c r="D48" s="256" t="s">
        <v>1225</v>
      </c>
      <c r="E48" s="256" t="s">
        <v>1159</v>
      </c>
      <c r="F48" s="256" t="s">
        <v>542</v>
      </c>
      <c r="G48" s="290"/>
      <c r="H48" s="236" t="b">
        <v>0</v>
      </c>
      <c r="I48" s="236" t="b">
        <v>0</v>
      </c>
      <c r="J48" s="236" t="b">
        <v>0</v>
      </c>
      <c r="K48" s="236" t="b">
        <v>0</v>
      </c>
      <c r="L48" s="236" t="b">
        <v>0</v>
      </c>
      <c r="M48" s="236" t="b">
        <v>1</v>
      </c>
      <c r="N48" s="236" t="b">
        <v>0</v>
      </c>
      <c r="O48" s="236" t="b">
        <v>0</v>
      </c>
      <c r="P48" s="236" t="b">
        <v>1</v>
      </c>
      <c r="Q48" s="236" t="b">
        <v>0</v>
      </c>
      <c r="R48" s="236" t="b">
        <v>1</v>
      </c>
      <c r="S48" s="236" t="b">
        <v>0</v>
      </c>
      <c r="T48" s="256" t="str" cm="1">
        <f t="array" ref="T48">IF(SUMPRODUCT((Cert_Matrix!$A$22:$A$27=E48)*(Cert_Matrix!$X$22:$AG$27="X")*(H48:Q48=TRUE))&lt;SUMPRODUCT((Cert_Matrix!$A$22:$A$27=E48)*(Cert_Matrix!$X$22:$AG$27="X")),"Thiếu chứng nhận","Đủ điều kiện")</f>
        <v>Đủ điều kiện</v>
      </c>
      <c r="U48" s="287"/>
      <c r="V48" s="290"/>
      <c r="W48" s="257" t="str">
        <f>VLOOKUP(B48,'HC Golf'!C:G,5,0)</f>
        <v>S3</v>
      </c>
    </row>
    <row r="49" spans="1:23">
      <c r="A49" s="256">
        <f>ROWS($B$5:B47)</f>
        <v>43</v>
      </c>
      <c r="B49" s="256" t="s">
        <v>1461</v>
      </c>
      <c r="C49" s="256" t="s">
        <v>1462</v>
      </c>
      <c r="D49" s="256" t="s">
        <v>1225</v>
      </c>
      <c r="E49" s="256" t="s">
        <v>1161</v>
      </c>
      <c r="F49" s="256"/>
      <c r="G49" s="290">
        <v>46178</v>
      </c>
      <c r="H49" s="236" t="b">
        <v>0</v>
      </c>
      <c r="I49" s="236" t="b">
        <v>0</v>
      </c>
      <c r="J49" s="236" t="b">
        <v>0</v>
      </c>
      <c r="K49" s="236" t="b">
        <v>1</v>
      </c>
      <c r="L49" s="236" t="b">
        <v>0</v>
      </c>
      <c r="M49" s="236" t="b">
        <v>1</v>
      </c>
      <c r="N49" s="236" t="b">
        <v>0</v>
      </c>
      <c r="O49" s="236" t="b">
        <v>0</v>
      </c>
      <c r="P49" s="236" t="b">
        <v>1</v>
      </c>
      <c r="Q49" s="236" t="b">
        <v>1</v>
      </c>
      <c r="R49" s="236" t="b">
        <v>1</v>
      </c>
      <c r="S49" s="236" t="b">
        <v>0</v>
      </c>
      <c r="T49" s="256" t="str" cm="1">
        <f t="array" ref="T49">IF(SUMPRODUCT((Cert_Matrix!$A$22:$A$27=E49)*(Cert_Matrix!$X$22:$AG$27="X")*(H49:Q49=TRUE))&lt;SUMPRODUCT((Cert_Matrix!$A$22:$A$27=E49)*(Cert_Matrix!$X$22:$AG$27="X")),"Thiếu chứng nhận","Đủ điều kiện")</f>
        <v>Đủ điều kiện</v>
      </c>
      <c r="U49" s="287"/>
      <c r="V49" s="290"/>
      <c r="W49" s="257" t="str">
        <f>VLOOKUP(B49,'HC Golf'!C:G,5,0)</f>
        <v>S2</v>
      </c>
    </row>
    <row r="50" spans="1:23">
      <c r="A50" s="256">
        <f>ROWS($B$5:B48)</f>
        <v>44</v>
      </c>
      <c r="B50" s="256" t="s">
        <v>1463</v>
      </c>
      <c r="C50" s="256" t="s">
        <v>1464</v>
      </c>
      <c r="D50" s="256" t="s">
        <v>1225</v>
      </c>
      <c r="E50" s="256" t="s">
        <v>1159</v>
      </c>
      <c r="F50" s="256"/>
      <c r="G50" s="290">
        <v>46170</v>
      </c>
      <c r="H50" s="236" t="b">
        <v>0</v>
      </c>
      <c r="I50" s="236" t="b">
        <v>0</v>
      </c>
      <c r="J50" s="236" t="b">
        <v>0</v>
      </c>
      <c r="K50" s="236" t="b">
        <v>1</v>
      </c>
      <c r="L50" s="236" t="b">
        <v>0</v>
      </c>
      <c r="M50" s="236" t="b">
        <v>1</v>
      </c>
      <c r="N50" s="236" t="b">
        <v>0</v>
      </c>
      <c r="O50" s="236" t="b">
        <v>0</v>
      </c>
      <c r="P50" s="236" t="b">
        <v>0</v>
      </c>
      <c r="Q50" s="236" t="b">
        <v>0</v>
      </c>
      <c r="R50" s="236" t="b">
        <v>1</v>
      </c>
      <c r="S50" s="236" t="b">
        <v>0</v>
      </c>
      <c r="T50" s="256" t="str" cm="1">
        <f t="array" ref="T50">IF(SUMPRODUCT((Cert_Matrix!$A$22:$A$27=E50)*(Cert_Matrix!$X$22:$AG$27="X")*(H50:Q50=TRUE))&lt;SUMPRODUCT((Cert_Matrix!$A$22:$A$27=E50)*(Cert_Matrix!$X$22:$AG$27="X")),"Thiếu chứng nhận","Đủ điều kiện")</f>
        <v>Đủ điều kiện</v>
      </c>
      <c r="U50" s="287"/>
      <c r="V50" s="290"/>
      <c r="W50" s="257" t="str">
        <f>VLOOKUP(B50,'HC Golf'!C:G,5,0)</f>
        <v>S3</v>
      </c>
    </row>
    <row r="51" spans="1:23">
      <c r="A51" s="256">
        <f>ROWS($B$5:B49)</f>
        <v>45</v>
      </c>
      <c r="B51" s="256" t="s">
        <v>1465</v>
      </c>
      <c r="C51" s="256" t="s">
        <v>1466</v>
      </c>
      <c r="D51" s="256" t="s">
        <v>1225</v>
      </c>
      <c r="E51" s="256" t="s">
        <v>1162</v>
      </c>
      <c r="F51" s="256"/>
      <c r="G51" s="290">
        <v>46170</v>
      </c>
      <c r="H51" s="236" t="b">
        <v>0</v>
      </c>
      <c r="I51" s="236" t="b">
        <v>0</v>
      </c>
      <c r="J51" s="236" t="b">
        <v>0</v>
      </c>
      <c r="K51" s="236" t="b">
        <v>1</v>
      </c>
      <c r="L51" s="236" t="b">
        <v>0</v>
      </c>
      <c r="M51" s="236" t="b">
        <v>0</v>
      </c>
      <c r="N51" s="236" t="b">
        <v>0</v>
      </c>
      <c r="O51" s="236" t="b">
        <v>0</v>
      </c>
      <c r="P51" s="236" t="b">
        <v>1</v>
      </c>
      <c r="Q51" s="236" t="b">
        <v>0</v>
      </c>
      <c r="R51" s="236" t="b">
        <v>1</v>
      </c>
      <c r="S51" s="236" t="b">
        <v>0</v>
      </c>
      <c r="T51" s="256" t="str" cm="1">
        <f t="array" ref="T51">IF(SUMPRODUCT((Cert_Matrix!$A$22:$A$27=E51)*(Cert_Matrix!$X$22:$AG$27="X")*(H51:Q51=TRUE))&lt;SUMPRODUCT((Cert_Matrix!$A$22:$A$27=E51)*(Cert_Matrix!$X$22:$AG$27="X")),"Thiếu chứng nhận","Đủ điều kiện")</f>
        <v>Đủ điều kiện</v>
      </c>
      <c r="U51" s="287"/>
      <c r="V51" s="290"/>
      <c r="W51" s="257" t="str">
        <f>VLOOKUP(B51,'HC Golf'!C:G,5,0)</f>
        <v>S3</v>
      </c>
    </row>
    <row r="52" spans="1:23">
      <c r="A52" s="256">
        <f>ROWS($B$5:B50)</f>
        <v>46</v>
      </c>
      <c r="B52" s="256" t="s">
        <v>1467</v>
      </c>
      <c r="C52" s="256" t="s">
        <v>280</v>
      </c>
      <c r="D52" s="256" t="s">
        <v>1225</v>
      </c>
      <c r="E52" s="256" t="s">
        <v>1158</v>
      </c>
      <c r="F52" s="256" t="s">
        <v>542</v>
      </c>
      <c r="G52" s="290"/>
      <c r="H52" s="236" t="b">
        <v>0</v>
      </c>
      <c r="I52" s="236" t="b">
        <v>1</v>
      </c>
      <c r="J52" s="236" t="b">
        <v>0</v>
      </c>
      <c r="K52" s="236" t="b">
        <v>1</v>
      </c>
      <c r="L52" s="236" t="b">
        <v>0</v>
      </c>
      <c r="M52" s="236" t="b">
        <v>1</v>
      </c>
      <c r="N52" s="236" t="b">
        <v>1</v>
      </c>
      <c r="O52" s="236" t="b">
        <v>0</v>
      </c>
      <c r="P52" s="236" t="b">
        <v>1</v>
      </c>
      <c r="Q52" s="236" t="b">
        <v>1</v>
      </c>
      <c r="R52" s="236" t="b">
        <v>1</v>
      </c>
      <c r="S52" s="236" t="b">
        <v>0</v>
      </c>
      <c r="T52" s="256" t="str" cm="1">
        <f t="array" ref="T52">IF(SUMPRODUCT((Cert_Matrix!$A$22:$A$27=E52)*(Cert_Matrix!$X$22:$AG$27="X")*(H52:Q52=TRUE))&lt;SUMPRODUCT((Cert_Matrix!$A$22:$A$27=E52)*(Cert_Matrix!$X$22:$AG$27="X")),"Thiếu chứng nhận","Đủ điều kiện")</f>
        <v>Đủ điều kiện</v>
      </c>
      <c r="U52" s="287"/>
      <c r="V52" s="290"/>
      <c r="W52" s="257" t="str">
        <f>VLOOKUP(B52,'HC Golf'!C:G,5,0)</f>
        <v>S1</v>
      </c>
    </row>
    <row r="53" spans="1:23">
      <c r="A53" s="256">
        <f>ROWS($B$5:B51)</f>
        <v>47</v>
      </c>
      <c r="B53" s="256" t="s">
        <v>1468</v>
      </c>
      <c r="C53" s="256" t="s">
        <v>1469</v>
      </c>
      <c r="D53" s="256" t="s">
        <v>1225</v>
      </c>
      <c r="E53" s="256" t="s">
        <v>1161</v>
      </c>
      <c r="F53" s="256" t="s">
        <v>262</v>
      </c>
      <c r="G53" s="290">
        <v>46178</v>
      </c>
      <c r="H53" s="236" t="b">
        <v>0</v>
      </c>
      <c r="I53" s="236" t="b">
        <v>0</v>
      </c>
      <c r="J53" s="236" t="b">
        <v>0</v>
      </c>
      <c r="K53" s="236" t="b">
        <v>0</v>
      </c>
      <c r="L53" s="236" t="b">
        <v>0</v>
      </c>
      <c r="M53" s="236" t="b">
        <v>0</v>
      </c>
      <c r="N53" s="236" t="b">
        <v>0</v>
      </c>
      <c r="O53" s="236" t="b">
        <v>0</v>
      </c>
      <c r="P53" s="236" t="b">
        <v>1</v>
      </c>
      <c r="Q53" s="236" t="b">
        <v>0</v>
      </c>
      <c r="R53" s="236" t="b">
        <v>1</v>
      </c>
      <c r="S53" s="236" t="b">
        <v>0</v>
      </c>
      <c r="T53" s="256" t="str" cm="1">
        <f t="array" ref="T53">IF(SUMPRODUCT((Cert_Matrix!$A$22:$A$27=E53)*(Cert_Matrix!$X$22:$AG$27="X")*(H53:Q53=TRUE))&lt;SUMPRODUCT((Cert_Matrix!$A$22:$A$27=E53)*(Cert_Matrix!$X$22:$AG$27="X")),"Thiếu chứng nhận","Đủ điều kiện")</f>
        <v>Đủ điều kiện</v>
      </c>
      <c r="U53" s="287"/>
      <c r="V53" s="290"/>
      <c r="W53" s="257" t="str">
        <f>VLOOKUP(B53,'HC Golf'!C:G,5,0)</f>
        <v>S2</v>
      </c>
    </row>
  </sheetData>
  <autoFilter ref="A5:G52" xr:uid="{9904A575-DD9F-4639-AE6C-EDF4BFC2D1FC}"/>
  <mergeCells count="9">
    <mergeCell ref="H5:S5"/>
    <mergeCell ref="G5:G6"/>
    <mergeCell ref="A2:G3"/>
    <mergeCell ref="A5:A6"/>
    <mergeCell ref="B5:B6"/>
    <mergeCell ref="C5:C6"/>
    <mergeCell ref="D5:D6"/>
    <mergeCell ref="F5:F6"/>
    <mergeCell ref="E5:E6"/>
  </mergeCells>
  <conditionalFormatting sqref="B1:C1 B4:C1048576">
    <cfRule type="duplicateValues" dxfId="51" priority="6"/>
  </conditionalFormatting>
  <conditionalFormatting sqref="H7:S53">
    <cfRule type="containsText" dxfId="50" priority="1" operator="containsText" text="false">
      <formula>NOT(ISERROR(SEARCH("false",H7)))</formula>
    </cfRule>
  </conditionalFormatting>
  <conditionalFormatting sqref="T1:T1048576">
    <cfRule type="containsText" dxfId="49" priority="3" operator="containsText" text="THIẾU CHỨNG NHẬN">
      <formula>NOT(ISERROR(SEARCH("THIẾU CHỨNG NHẬN",T1)))</formula>
    </cfRule>
  </conditionalFormatting>
  <dataValidations count="1">
    <dataValidation type="list" allowBlank="1" showInputMessage="1" showErrorMessage="1" sqref="U7:U53" xr:uid="{47499338-2F49-41CA-BE44-C545D89C2A05}">
      <formula1>"CHƯA ĐÀO TẠO,ĐANG ĐÀO TẠO,CHỜ ĐÁNH GIÁ,CHỜ CẤP THẺ CNVH,ĐÁNH GIÁ LẠI"</formula1>
    </dataValidation>
  </dataValidations>
  <pageMargins left="0.16" right="0.16" top="0.16" bottom="0.16" header="0.16" footer="0.16"/>
  <pageSetup paperSize="9" scale="7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811D-1750-40AC-B090-AB91AB57266A}">
  <sheetPr>
    <tabColor theme="0" tint="-0.14999847407452621"/>
  </sheetPr>
  <dimension ref="A1:W51"/>
  <sheetViews>
    <sheetView showGridLines="0" zoomScale="90" zoomScaleNormal="90" workbookViewId="0">
      <pane xSplit="7" ySplit="7" topLeftCell="H8" activePane="bottomRight" state="frozen"/>
      <selection pane="bottomRight" activeCell="B36" sqref="B36"/>
      <selection pane="bottomLeft" activeCell="A8" sqref="A8"/>
      <selection pane="topRight" activeCell="H1" sqref="H1"/>
    </sheetView>
  </sheetViews>
  <sheetFormatPr defaultRowHeight="15"/>
  <cols>
    <col min="1" max="1" width="5.5703125" style="257" customWidth="1"/>
    <col min="2" max="2" width="6.5703125" style="257" bestFit="1" customWidth="1"/>
    <col min="3" max="3" width="20.28515625" style="257" bestFit="1" customWidth="1"/>
    <col min="4" max="4" width="27.5703125" style="257" bestFit="1" customWidth="1"/>
    <col min="5" max="5" width="17.28515625" style="257" bestFit="1" customWidth="1"/>
    <col min="6" max="6" width="12.140625" style="257" hidden="1" customWidth="1"/>
    <col min="7" max="7" width="13.7109375" style="288" customWidth="1"/>
    <col min="8" max="8" width="12" style="237" bestFit="1" customWidth="1"/>
    <col min="9" max="9" width="9.28515625" style="237" bestFit="1" customWidth="1"/>
    <col min="10" max="10" width="10.5703125" style="237" bestFit="1" customWidth="1"/>
    <col min="11" max="11" width="9.5703125" style="237" bestFit="1" customWidth="1"/>
    <col min="12" max="12" width="10.5703125" style="237" bestFit="1" customWidth="1"/>
    <col min="13" max="13" width="10.7109375" style="237" bestFit="1" customWidth="1"/>
    <col min="14" max="14" width="8.7109375" style="237" customWidth="1"/>
    <col min="15" max="15" width="6.7109375" style="237" bestFit="1" customWidth="1"/>
    <col min="16" max="16" width="7.5703125" style="237" bestFit="1" customWidth="1"/>
    <col min="17" max="17" width="11.85546875" style="237" bestFit="1" customWidth="1"/>
    <col min="18" max="18" width="12.5703125" style="237" bestFit="1" customWidth="1"/>
    <col min="19" max="19" width="12.140625" style="237" bestFit="1" customWidth="1"/>
    <col min="20" max="20" width="16" style="257" customWidth="1"/>
    <col min="21" max="21" width="15" style="257" bestFit="1" customWidth="1"/>
    <col min="22" max="22" width="14.28515625" style="288" bestFit="1" customWidth="1"/>
    <col min="23" max="16384" width="9.140625" style="257"/>
  </cols>
  <sheetData>
    <row r="1" spans="1:23">
      <c r="H1" s="257"/>
      <c r="I1" s="257"/>
      <c r="J1" s="257"/>
      <c r="K1" s="257"/>
      <c r="L1" s="257"/>
      <c r="M1" s="257"/>
      <c r="N1" s="257"/>
      <c r="O1" s="256" t="s">
        <v>1</v>
      </c>
      <c r="P1" s="256"/>
      <c r="Q1" s="256"/>
      <c r="R1" s="256"/>
      <c r="S1" s="256"/>
    </row>
    <row r="2" spans="1:23">
      <c r="A2" s="367" t="s">
        <v>0</v>
      </c>
      <c r="B2" s="367"/>
      <c r="C2" s="367"/>
      <c r="D2" s="367"/>
      <c r="E2" s="367"/>
      <c r="F2" s="367"/>
      <c r="H2" s="257"/>
      <c r="I2" s="257"/>
      <c r="J2" s="257"/>
      <c r="K2" s="257"/>
      <c r="L2" s="257"/>
      <c r="M2" s="257"/>
      <c r="N2" s="257"/>
      <c r="O2" s="256" t="s">
        <v>2</v>
      </c>
      <c r="P2" s="256"/>
      <c r="Q2" s="256"/>
      <c r="R2" s="256"/>
      <c r="S2" s="256"/>
    </row>
    <row r="3" spans="1:23">
      <c r="A3" s="367"/>
      <c r="B3" s="367"/>
      <c r="C3" s="367"/>
      <c r="D3" s="367"/>
      <c r="E3" s="367"/>
      <c r="F3" s="367"/>
      <c r="H3" s="257"/>
      <c r="I3" s="257"/>
      <c r="J3" s="257"/>
      <c r="K3" s="257"/>
      <c r="L3" s="257"/>
      <c r="M3" s="257"/>
      <c r="N3" s="257"/>
      <c r="O3" s="256" t="s">
        <v>3</v>
      </c>
      <c r="P3" s="256"/>
      <c r="Q3" s="256"/>
      <c r="R3" s="256"/>
      <c r="S3" s="256"/>
    </row>
    <row r="4" spans="1:23" s="295" customFormat="1" ht="21">
      <c r="G4" s="296"/>
      <c r="O4" s="256" t="s">
        <v>4</v>
      </c>
      <c r="P4" s="256"/>
      <c r="Q4" s="256"/>
      <c r="R4" s="256"/>
      <c r="S4" s="306"/>
      <c r="V4" s="296"/>
    </row>
    <row r="5" spans="1:23" s="285" customFormat="1" ht="15" customHeight="1">
      <c r="A5" s="374" t="s">
        <v>5</v>
      </c>
      <c r="B5" s="374" t="s">
        <v>6</v>
      </c>
      <c r="C5" s="374" t="s">
        <v>1190</v>
      </c>
      <c r="D5" s="374" t="s">
        <v>1191</v>
      </c>
      <c r="E5" s="372" t="s">
        <v>1192</v>
      </c>
      <c r="F5" s="374" t="s">
        <v>8</v>
      </c>
      <c r="G5" s="370" t="s">
        <v>1193</v>
      </c>
      <c r="H5" s="364" t="s">
        <v>10</v>
      </c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6"/>
      <c r="V5" s="305"/>
    </row>
    <row r="6" spans="1:23" s="284" customFormat="1" ht="30" customHeight="1">
      <c r="A6" s="374"/>
      <c r="B6" s="374"/>
      <c r="C6" s="374"/>
      <c r="D6" s="374"/>
      <c r="E6" s="369"/>
      <c r="F6" s="374"/>
      <c r="G6" s="371"/>
      <c r="H6" s="294" t="s">
        <v>1076</v>
      </c>
      <c r="I6" s="294" t="s">
        <v>1077</v>
      </c>
      <c r="J6" s="294" t="s">
        <v>1078</v>
      </c>
      <c r="K6" s="294" t="s">
        <v>1079</v>
      </c>
      <c r="L6" s="294" t="s">
        <v>1080</v>
      </c>
      <c r="M6" s="294" t="s">
        <v>1081</v>
      </c>
      <c r="N6" s="294" t="s">
        <v>1082</v>
      </c>
      <c r="O6" s="294" t="s">
        <v>1083</v>
      </c>
      <c r="P6" s="294" t="s">
        <v>1084</v>
      </c>
      <c r="Q6" s="294" t="s">
        <v>1085</v>
      </c>
      <c r="R6" s="294" t="s">
        <v>1199</v>
      </c>
      <c r="S6" s="307" t="s">
        <v>1200</v>
      </c>
      <c r="T6" s="286" t="s">
        <v>1201</v>
      </c>
      <c r="U6" s="286" t="s">
        <v>1202</v>
      </c>
      <c r="V6" s="315" t="s">
        <v>1203</v>
      </c>
    </row>
    <row r="7" spans="1:23">
      <c r="A7" s="256">
        <f>ROWS($B$5:B5)</f>
        <v>1</v>
      </c>
      <c r="B7" s="256" t="s">
        <v>579</v>
      </c>
      <c r="C7" s="256" t="s">
        <v>580</v>
      </c>
      <c r="D7" s="256" t="s">
        <v>1470</v>
      </c>
      <c r="E7" s="256" t="s">
        <v>1165</v>
      </c>
      <c r="F7" s="256" t="s">
        <v>576</v>
      </c>
      <c r="G7" s="290"/>
      <c r="H7" s="236" t="b">
        <v>1</v>
      </c>
      <c r="I7" s="236" t="b">
        <v>0</v>
      </c>
      <c r="J7" s="236" t="b">
        <v>1</v>
      </c>
      <c r="K7" s="236" t="b">
        <v>0</v>
      </c>
      <c r="L7" s="236" t="b">
        <v>1</v>
      </c>
      <c r="M7" s="236" t="b">
        <v>0</v>
      </c>
      <c r="N7" s="236" t="b">
        <v>0</v>
      </c>
      <c r="O7" s="236" t="b">
        <v>0</v>
      </c>
      <c r="P7" s="236" t="b">
        <v>0</v>
      </c>
      <c r="Q7" s="236" t="b">
        <v>0</v>
      </c>
      <c r="R7" s="236" t="b">
        <v>0</v>
      </c>
      <c r="S7" s="254" t="b">
        <v>0</v>
      </c>
      <c r="T7" s="256" t="str" cm="1">
        <f t="array" ref="T7">IF(SUMPRODUCT((Cert_Matrix!$A$28:$A$33=E7)*(Cert_Matrix!$AH$28:$AQ$33="X")*(H7:Q7=TRUE))&lt;SUMPRODUCT((Cert_Matrix!$A$28:$A$33=E7)*(Cert_Matrix!$AH$28:$AQ$33="X")),"Thiếu chứng nhận","Đủ điều kiện")</f>
        <v>Đủ điều kiện</v>
      </c>
      <c r="U7" s="287"/>
      <c r="V7" s="290"/>
      <c r="W7" s="257" t="str">
        <f>VLOOKUP(B7,'HC Golf'!C:G,5,0)</f>
        <v>S2</v>
      </c>
    </row>
    <row r="8" spans="1:23">
      <c r="A8" s="256">
        <f>ROWS($B$5:B6)</f>
        <v>2</v>
      </c>
      <c r="B8" s="256" t="s">
        <v>581</v>
      </c>
      <c r="C8" s="256" t="s">
        <v>582</v>
      </c>
      <c r="D8" s="256" t="s">
        <v>1470</v>
      </c>
      <c r="E8" s="256" t="s">
        <v>1165</v>
      </c>
      <c r="F8" s="256" t="s">
        <v>576</v>
      </c>
      <c r="G8" s="290">
        <v>46116</v>
      </c>
      <c r="H8" s="236" t="b">
        <v>1</v>
      </c>
      <c r="I8" s="236" t="b">
        <v>0</v>
      </c>
      <c r="J8" s="236" t="b">
        <v>1</v>
      </c>
      <c r="K8" s="236" t="b">
        <v>0</v>
      </c>
      <c r="L8" s="236" t="b">
        <v>1</v>
      </c>
      <c r="M8" s="236" t="b">
        <v>0</v>
      </c>
      <c r="N8" s="236" t="b">
        <v>0</v>
      </c>
      <c r="O8" s="236" t="b">
        <v>0</v>
      </c>
      <c r="P8" s="236" t="b">
        <v>0</v>
      </c>
      <c r="Q8" s="236" t="b">
        <v>0</v>
      </c>
      <c r="R8" s="236" t="b">
        <v>1</v>
      </c>
      <c r="S8" s="254" t="b">
        <v>0</v>
      </c>
      <c r="T8" s="256" t="str" cm="1">
        <f t="array" ref="T8">IF(SUMPRODUCT((Cert_Matrix!$A$28:$A$33=E8)*(Cert_Matrix!$AH$28:$AQ$33="X")*(H8:Q8=TRUE))&lt;SUMPRODUCT((Cert_Matrix!$A$28:$A$33=E8)*(Cert_Matrix!$AH$28:$AQ$33="X")),"Thiếu chứng nhận","Đủ điều kiện")</f>
        <v>Đủ điều kiện</v>
      </c>
      <c r="U8" s="287"/>
      <c r="V8" s="290"/>
      <c r="W8" s="257" t="str">
        <f>VLOOKUP(B8,'HC Golf'!C:G,5,0)</f>
        <v>S2</v>
      </c>
    </row>
    <row r="9" spans="1:23">
      <c r="A9" s="256">
        <f>ROWS($B$5:B7)</f>
        <v>3</v>
      </c>
      <c r="B9" s="256" t="s">
        <v>593</v>
      </c>
      <c r="C9" s="256" t="s">
        <v>594</v>
      </c>
      <c r="D9" s="256" t="s">
        <v>1471</v>
      </c>
      <c r="E9" s="256" t="s">
        <v>1472</v>
      </c>
      <c r="F9" s="256" t="s">
        <v>576</v>
      </c>
      <c r="G9" s="290"/>
      <c r="H9" s="236" t="b">
        <v>0</v>
      </c>
      <c r="I9" s="236" t="b">
        <v>0</v>
      </c>
      <c r="J9" s="236" t="b">
        <v>0</v>
      </c>
      <c r="K9" s="236" t="b">
        <v>1</v>
      </c>
      <c r="L9" s="236" t="b">
        <v>1</v>
      </c>
      <c r="M9" s="236" t="b">
        <v>0</v>
      </c>
      <c r="N9" s="236" t="b">
        <v>0</v>
      </c>
      <c r="O9" s="236" t="b">
        <v>1</v>
      </c>
      <c r="P9" s="236" t="b">
        <v>1</v>
      </c>
      <c r="Q9" s="236" t="b">
        <v>0</v>
      </c>
      <c r="R9" s="236" t="b">
        <v>1</v>
      </c>
      <c r="S9" s="254" t="b">
        <v>0</v>
      </c>
      <c r="T9" s="256" t="str" cm="1">
        <f t="array" ref="T9">IF(SUMPRODUCT((Cert_Matrix!$A$28:$A$33=E9)*(Cert_Matrix!$AH$28:$AQ$33="X")*(H9:Q9=TRUE))&lt;SUMPRODUCT((Cert_Matrix!$A$28:$A$33=E9)*(Cert_Matrix!$AH$28:$AQ$33="X")),"Thiếu chứng nhận","Đủ điều kiện")</f>
        <v>Đủ điều kiện</v>
      </c>
      <c r="U9" s="287"/>
      <c r="V9" s="290"/>
      <c r="W9" s="257" t="str">
        <f>VLOOKUP(B9,'HC Golf'!C:G,5,0)</f>
        <v>S2</v>
      </c>
    </row>
    <row r="10" spans="1:23">
      <c r="A10" s="256">
        <f>ROWS($B$5:B8)</f>
        <v>4</v>
      </c>
      <c r="B10" s="256" t="s">
        <v>663</v>
      </c>
      <c r="C10" s="256" t="s">
        <v>664</v>
      </c>
      <c r="D10" s="256" t="s">
        <v>1471</v>
      </c>
      <c r="E10" s="256" t="s">
        <v>1472</v>
      </c>
      <c r="F10" s="256" t="s">
        <v>576</v>
      </c>
      <c r="G10" s="290"/>
      <c r="H10" s="236" t="b">
        <v>0</v>
      </c>
      <c r="I10" s="236" t="b">
        <v>0</v>
      </c>
      <c r="J10" s="236" t="b">
        <v>0</v>
      </c>
      <c r="K10" s="236" t="b">
        <v>0</v>
      </c>
      <c r="L10" s="236" t="b">
        <v>0</v>
      </c>
      <c r="M10" s="236" t="b">
        <v>0</v>
      </c>
      <c r="N10" s="236" t="b">
        <v>0</v>
      </c>
      <c r="O10" s="236" t="b">
        <v>0</v>
      </c>
      <c r="P10" s="236" t="b">
        <v>0</v>
      </c>
      <c r="Q10" s="236" t="b">
        <v>0</v>
      </c>
      <c r="R10" s="236" t="b">
        <v>0</v>
      </c>
      <c r="S10" s="254" t="b">
        <v>0</v>
      </c>
      <c r="T10" s="256" t="str" cm="1">
        <f t="array" ref="T10">IF(SUMPRODUCT((Cert_Matrix!$A$28:$A$33=E10)*(Cert_Matrix!$AH$28:$AQ$33="X")*(H10:Q10=TRUE))&lt;SUMPRODUCT((Cert_Matrix!$A$28:$A$33=E10)*(Cert_Matrix!$AH$28:$AQ$33="X")),"Thiếu chứng nhận","Đủ điều kiện")</f>
        <v>Đủ điều kiện</v>
      </c>
      <c r="U10" s="287"/>
      <c r="V10" s="290"/>
      <c r="W10" s="257" t="str">
        <f>VLOOKUP(B10,'HC Golf'!C:G,5,0)</f>
        <v>S1</v>
      </c>
    </row>
    <row r="11" spans="1:23">
      <c r="A11" s="256">
        <f>ROWS($B$5:B9)</f>
        <v>5</v>
      </c>
      <c r="B11" s="256" t="s">
        <v>1473</v>
      </c>
      <c r="C11" s="256" t="s">
        <v>799</v>
      </c>
      <c r="D11" s="256" t="s">
        <v>1470</v>
      </c>
      <c r="E11" s="256" t="s">
        <v>1165</v>
      </c>
      <c r="F11" s="256" t="s">
        <v>576</v>
      </c>
      <c r="G11" s="290"/>
      <c r="H11" s="236" t="b">
        <v>0</v>
      </c>
      <c r="I11" s="236" t="b">
        <v>0</v>
      </c>
      <c r="J11" s="236" t="b">
        <v>1</v>
      </c>
      <c r="K11" s="236" t="b">
        <v>1</v>
      </c>
      <c r="L11" s="236" t="b">
        <v>1</v>
      </c>
      <c r="M11" s="236" t="b">
        <v>0</v>
      </c>
      <c r="N11" s="236" t="b">
        <v>0</v>
      </c>
      <c r="O11" s="236" t="b">
        <v>1</v>
      </c>
      <c r="P11" s="236" t="b">
        <v>0</v>
      </c>
      <c r="Q11" s="236" t="b">
        <v>0</v>
      </c>
      <c r="R11" s="236" t="b">
        <v>1</v>
      </c>
      <c r="S11" s="254" t="b">
        <v>0</v>
      </c>
      <c r="T11" s="256" t="str" cm="1">
        <f t="array" ref="T11">IF(SUMPRODUCT((Cert_Matrix!$A$28:$A$33=E11)*(Cert_Matrix!$AH$28:$AQ$33="X")*(H11:Q11=TRUE))&lt;SUMPRODUCT((Cert_Matrix!$A$28:$A$33=E11)*(Cert_Matrix!$AH$28:$AQ$33="X")),"Thiếu chứng nhận","Đủ điều kiện")</f>
        <v>Đủ điều kiện</v>
      </c>
      <c r="U11" s="287"/>
      <c r="V11" s="290"/>
      <c r="W11" s="257" t="str">
        <f>VLOOKUP(B11,'HC Golf'!C:G,5,0)</f>
        <v>S2</v>
      </c>
    </row>
    <row r="12" spans="1:23">
      <c r="A12" s="256">
        <f>ROWS($B$5:B10)</f>
        <v>6</v>
      </c>
      <c r="B12" s="256" t="s">
        <v>1474</v>
      </c>
      <c r="C12" s="256" t="s">
        <v>1475</v>
      </c>
      <c r="D12" s="256" t="s">
        <v>1470</v>
      </c>
      <c r="E12" s="256" t="s">
        <v>1165</v>
      </c>
      <c r="F12" s="256" t="s">
        <v>576</v>
      </c>
      <c r="G12" s="290">
        <v>45995</v>
      </c>
      <c r="H12" s="236" t="b">
        <v>0</v>
      </c>
      <c r="I12" s="236" t="b">
        <v>0</v>
      </c>
      <c r="J12" s="236" t="b">
        <v>1</v>
      </c>
      <c r="K12" s="236" t="b">
        <v>0</v>
      </c>
      <c r="L12" s="236" t="b">
        <v>0</v>
      </c>
      <c r="M12" s="236" t="b">
        <v>0</v>
      </c>
      <c r="N12" s="236" t="b">
        <v>0</v>
      </c>
      <c r="O12" s="236" t="b">
        <v>0</v>
      </c>
      <c r="P12" s="236" t="b">
        <v>0</v>
      </c>
      <c r="Q12" s="236" t="b">
        <v>0</v>
      </c>
      <c r="R12" s="236" t="b">
        <v>1</v>
      </c>
      <c r="S12" s="254" t="b">
        <v>0</v>
      </c>
      <c r="T12" s="256" t="str" cm="1">
        <f t="array" ref="T12">IF(SUMPRODUCT((Cert_Matrix!$A$28:$A$33=E12)*(Cert_Matrix!$AH$28:$AQ$33="X")*(H12:Q12=TRUE))&lt;SUMPRODUCT((Cert_Matrix!$A$28:$A$33=E12)*(Cert_Matrix!$AH$28:$AQ$33="X")),"Thiếu chứng nhận","Đủ điều kiện")</f>
        <v>Đủ điều kiện</v>
      </c>
      <c r="U12" s="287"/>
      <c r="V12" s="290"/>
      <c r="W12" s="257" t="str">
        <f>VLOOKUP(B12,'HC Golf'!C:G,5,0)</f>
        <v>S2</v>
      </c>
    </row>
    <row r="13" spans="1:23">
      <c r="A13" s="256">
        <f>ROWS($B$5:B11)</f>
        <v>7</v>
      </c>
      <c r="B13" s="256" t="s">
        <v>1476</v>
      </c>
      <c r="C13" s="256" t="s">
        <v>795</v>
      </c>
      <c r="D13" s="256" t="s">
        <v>1225</v>
      </c>
      <c r="E13" s="256" t="s">
        <v>1167</v>
      </c>
      <c r="F13" s="256" t="s">
        <v>576</v>
      </c>
      <c r="G13" s="290"/>
      <c r="H13" s="236" t="b">
        <v>0</v>
      </c>
      <c r="I13" s="236" t="b">
        <v>0</v>
      </c>
      <c r="J13" s="236" t="b">
        <v>1</v>
      </c>
      <c r="K13" s="236" t="b">
        <v>0</v>
      </c>
      <c r="L13" s="236" t="b">
        <v>0</v>
      </c>
      <c r="M13" s="236" t="b">
        <v>0</v>
      </c>
      <c r="N13" s="236" t="b">
        <v>0</v>
      </c>
      <c r="O13" s="236" t="b">
        <v>0</v>
      </c>
      <c r="P13" s="236" t="b">
        <v>0</v>
      </c>
      <c r="Q13" s="236" t="b">
        <v>0</v>
      </c>
      <c r="R13" s="236" t="b">
        <v>1</v>
      </c>
      <c r="S13" s="254" t="b">
        <v>0</v>
      </c>
      <c r="T13" s="256" t="str" cm="1">
        <f t="array" ref="T13">IF(SUMPRODUCT((Cert_Matrix!$A$28:$A$33=E13)*(Cert_Matrix!$AH$28:$AQ$33="X")*(H13:Q13=TRUE))&lt;SUMPRODUCT((Cert_Matrix!$A$28:$A$33=E13)*(Cert_Matrix!$AH$28:$AQ$33="X")),"Thiếu chứng nhận","Đủ điều kiện")</f>
        <v>Đủ điều kiện</v>
      </c>
      <c r="U13" s="287"/>
      <c r="V13" s="290"/>
      <c r="W13" s="257" t="str">
        <f>VLOOKUP(B13,'HC Golf'!C:G,5,0)</f>
        <v>S2</v>
      </c>
    </row>
    <row r="14" spans="1:23">
      <c r="A14" s="256">
        <f>ROWS($B$5:B12)</f>
        <v>8</v>
      </c>
      <c r="B14" s="256" t="s">
        <v>1477</v>
      </c>
      <c r="C14" s="256" t="s">
        <v>1478</v>
      </c>
      <c r="D14" s="256" t="s">
        <v>1225</v>
      </c>
      <c r="E14" s="256" t="s">
        <v>1167</v>
      </c>
      <c r="F14" s="256" t="s">
        <v>576</v>
      </c>
      <c r="G14" s="290">
        <v>45955</v>
      </c>
      <c r="H14" s="236" t="b">
        <v>0</v>
      </c>
      <c r="I14" s="236" t="b">
        <v>0</v>
      </c>
      <c r="J14" s="236" t="b">
        <v>0</v>
      </c>
      <c r="K14" s="236" t="b">
        <v>0</v>
      </c>
      <c r="L14" s="236" t="b">
        <v>0</v>
      </c>
      <c r="M14" s="236" t="b">
        <v>1</v>
      </c>
      <c r="N14" s="236" t="b">
        <v>0</v>
      </c>
      <c r="O14" s="236" t="b">
        <v>0</v>
      </c>
      <c r="P14" s="236" t="b">
        <v>0</v>
      </c>
      <c r="Q14" s="236" t="b">
        <v>0</v>
      </c>
      <c r="R14" s="236" t="b">
        <v>0</v>
      </c>
      <c r="S14" s="254" t="b">
        <v>0</v>
      </c>
      <c r="T14" s="256" t="str" cm="1">
        <f t="array" ref="T14">IF(SUMPRODUCT((Cert_Matrix!$A$28:$A$33=E14)*(Cert_Matrix!$AH$28:$AQ$33="X")*(H14:Q14=TRUE))&lt;SUMPRODUCT((Cert_Matrix!$A$28:$A$33=E14)*(Cert_Matrix!$AH$28:$AQ$33="X")),"Thiếu chứng nhận","Đủ điều kiện")</f>
        <v>Đủ điều kiện</v>
      </c>
      <c r="U14" s="287"/>
      <c r="V14" s="290"/>
      <c r="W14" s="257" t="str">
        <f>VLOOKUP(B14,'HC Golf'!C:G,5,0)</f>
        <v>S2</v>
      </c>
    </row>
    <row r="15" spans="1:23">
      <c r="A15" s="256">
        <f>ROWS($B$5:B13)</f>
        <v>9</v>
      </c>
      <c r="B15" s="256" t="s">
        <v>1479</v>
      </c>
      <c r="C15" s="256" t="s">
        <v>547</v>
      </c>
      <c r="D15" s="256" t="s">
        <v>1225</v>
      </c>
      <c r="E15" s="256" t="s">
        <v>1165</v>
      </c>
      <c r="F15" s="256" t="s">
        <v>576</v>
      </c>
      <c r="G15" s="290">
        <v>45955</v>
      </c>
      <c r="H15" s="236" t="b">
        <v>0</v>
      </c>
      <c r="I15" s="236" t="b">
        <v>0</v>
      </c>
      <c r="J15" s="236" t="b">
        <v>1</v>
      </c>
      <c r="K15" s="236" t="b">
        <v>0</v>
      </c>
      <c r="L15" s="236" t="b">
        <v>0</v>
      </c>
      <c r="M15" s="236" t="b">
        <v>1</v>
      </c>
      <c r="N15" s="236" t="b">
        <v>0</v>
      </c>
      <c r="O15" s="236" t="b">
        <v>0</v>
      </c>
      <c r="P15" s="236" t="b">
        <v>0</v>
      </c>
      <c r="Q15" s="236" t="b">
        <v>0</v>
      </c>
      <c r="R15" s="236" t="b">
        <v>1</v>
      </c>
      <c r="S15" s="254" t="b">
        <v>0</v>
      </c>
      <c r="T15" s="256" t="str" cm="1">
        <f t="array" ref="T15">IF(SUMPRODUCT((Cert_Matrix!$A$28:$A$33=E15)*(Cert_Matrix!$AH$28:$AQ$33="X")*(H15:Q15=TRUE))&lt;SUMPRODUCT((Cert_Matrix!$A$28:$A$33=E15)*(Cert_Matrix!$AH$28:$AQ$33="X")),"Thiếu chứng nhận","Đủ điều kiện")</f>
        <v>Đủ điều kiện</v>
      </c>
      <c r="U15" s="287"/>
      <c r="V15" s="290"/>
      <c r="W15" s="257" t="str">
        <f>VLOOKUP(B15,'HC Golf'!C:G,5,0)</f>
        <v>S2</v>
      </c>
    </row>
    <row r="16" spans="1:23">
      <c r="A16" s="256">
        <f>ROWS($B$5:B14)</f>
        <v>10</v>
      </c>
      <c r="B16" s="256" t="s">
        <v>1480</v>
      </c>
      <c r="C16" s="256" t="s">
        <v>1481</v>
      </c>
      <c r="D16" s="256" t="s">
        <v>1225</v>
      </c>
      <c r="E16" s="256" t="s">
        <v>1168</v>
      </c>
      <c r="F16" s="256" t="s">
        <v>576</v>
      </c>
      <c r="G16" s="290">
        <v>45950</v>
      </c>
      <c r="H16" s="236" t="b">
        <v>0</v>
      </c>
      <c r="I16" s="236" t="b">
        <v>0</v>
      </c>
      <c r="J16" s="236" t="b">
        <v>0</v>
      </c>
      <c r="K16" s="236" t="b">
        <v>1</v>
      </c>
      <c r="L16" s="236" t="b">
        <v>1</v>
      </c>
      <c r="M16" s="236" t="b">
        <v>1</v>
      </c>
      <c r="N16" s="236" t="b">
        <v>0</v>
      </c>
      <c r="O16" s="236" t="b">
        <v>1</v>
      </c>
      <c r="P16" s="236" t="b">
        <v>0</v>
      </c>
      <c r="Q16" s="236" t="b">
        <v>0</v>
      </c>
      <c r="R16" s="236" t="b">
        <v>0</v>
      </c>
      <c r="S16" s="254" t="b">
        <v>0</v>
      </c>
      <c r="T16" s="256" t="str" cm="1">
        <f t="array" ref="T16">IF(SUMPRODUCT((Cert_Matrix!$A$28:$A$33=E16)*(Cert_Matrix!$AH$28:$AQ$33="X")*(H16:Q16=TRUE))&lt;SUMPRODUCT((Cert_Matrix!$A$28:$A$33=E16)*(Cert_Matrix!$AH$28:$AQ$33="X")),"Thiếu chứng nhận","Đủ điều kiện")</f>
        <v>Đủ điều kiện</v>
      </c>
      <c r="U16" s="287"/>
      <c r="V16" s="290"/>
      <c r="W16" s="257" t="str">
        <f>VLOOKUP(B16,'HC Golf'!C:G,5,0)</f>
        <v>S2</v>
      </c>
    </row>
    <row r="17" spans="1:23">
      <c r="A17" s="256">
        <f>ROWS($B$5:B15)</f>
        <v>11</v>
      </c>
      <c r="B17" s="256" t="s">
        <v>1482</v>
      </c>
      <c r="C17" s="256" t="s">
        <v>1483</v>
      </c>
      <c r="D17" s="256" t="s">
        <v>1225</v>
      </c>
      <c r="E17" s="256" t="s">
        <v>1168</v>
      </c>
      <c r="F17" s="256" t="s">
        <v>576</v>
      </c>
      <c r="G17" s="290">
        <v>46112</v>
      </c>
      <c r="H17" s="236" t="b">
        <v>0</v>
      </c>
      <c r="I17" s="236" t="b">
        <v>0</v>
      </c>
      <c r="J17" s="236" t="b">
        <v>0</v>
      </c>
      <c r="K17" s="236" t="b">
        <v>1</v>
      </c>
      <c r="L17" s="236" t="b">
        <v>1</v>
      </c>
      <c r="M17" s="236" t="b">
        <v>0</v>
      </c>
      <c r="N17" s="236" t="b">
        <v>0</v>
      </c>
      <c r="O17" s="236" t="b">
        <v>1</v>
      </c>
      <c r="P17" s="236" t="b">
        <v>0</v>
      </c>
      <c r="Q17" s="236" t="b">
        <v>0</v>
      </c>
      <c r="R17" s="236" t="b">
        <v>0</v>
      </c>
      <c r="S17" s="254" t="b">
        <v>0</v>
      </c>
      <c r="T17" s="256" t="str" cm="1">
        <f t="array" ref="T17">IF(SUMPRODUCT((Cert_Matrix!$A$28:$A$33=E17)*(Cert_Matrix!$AH$28:$AQ$33="X")*(H17:Q17=TRUE))&lt;SUMPRODUCT((Cert_Matrix!$A$28:$A$33=E17)*(Cert_Matrix!$AH$28:$AQ$33="X")),"Thiếu chứng nhận","Đủ điều kiện")</f>
        <v>Đủ điều kiện</v>
      </c>
      <c r="U17" s="287"/>
      <c r="V17" s="290"/>
      <c r="W17" s="257" t="str">
        <f>VLOOKUP(B17,'HC Golf'!C:G,5,0)</f>
        <v>S2</v>
      </c>
    </row>
    <row r="18" spans="1:23">
      <c r="A18" s="256">
        <f>ROWS($B$5:B16)</f>
        <v>12</v>
      </c>
      <c r="B18" s="256" t="s">
        <v>1484</v>
      </c>
      <c r="C18" s="256" t="s">
        <v>1485</v>
      </c>
      <c r="D18" s="256" t="s">
        <v>1225</v>
      </c>
      <c r="E18" s="256" t="s">
        <v>1167</v>
      </c>
      <c r="F18" s="256" t="s">
        <v>576</v>
      </c>
      <c r="G18" s="290"/>
      <c r="H18" s="236" t="b">
        <v>0</v>
      </c>
      <c r="I18" s="236" t="b">
        <v>0</v>
      </c>
      <c r="J18" s="236" t="b">
        <v>0</v>
      </c>
      <c r="K18" s="236" t="b">
        <v>0</v>
      </c>
      <c r="L18" s="236" t="b">
        <v>0</v>
      </c>
      <c r="M18" s="236" t="b">
        <v>0</v>
      </c>
      <c r="N18" s="236" t="b">
        <v>0</v>
      </c>
      <c r="O18" s="236" t="b">
        <v>0</v>
      </c>
      <c r="P18" s="236" t="b">
        <v>0</v>
      </c>
      <c r="Q18" s="236" t="b">
        <v>0</v>
      </c>
      <c r="R18" s="236" t="b">
        <v>0</v>
      </c>
      <c r="S18" s="254" t="b">
        <v>0</v>
      </c>
      <c r="T18" s="256" t="str" cm="1">
        <f t="array" ref="T18">IF(SUMPRODUCT((Cert_Matrix!$A$28:$A$33=E18)*(Cert_Matrix!$AH$28:$AQ$33="X")*(H18:Q18=TRUE))&lt;SUMPRODUCT((Cert_Matrix!$A$28:$A$33=E18)*(Cert_Matrix!$AH$28:$AQ$33="X")),"Thiếu chứng nhận","Đủ điều kiện")</f>
        <v>Đủ điều kiện</v>
      </c>
      <c r="U18" s="287"/>
      <c r="V18" s="290"/>
      <c r="W18" s="257" t="str">
        <f>VLOOKUP(B18,'HC Golf'!C:G,5,0)</f>
        <v>S2</v>
      </c>
    </row>
    <row r="19" spans="1:23">
      <c r="A19" s="256">
        <f>ROWS($B$5:B17)</f>
        <v>13</v>
      </c>
      <c r="B19" s="256" t="s">
        <v>601</v>
      </c>
      <c r="C19" s="256" t="s">
        <v>602</v>
      </c>
      <c r="D19" s="256" t="s">
        <v>1292</v>
      </c>
      <c r="E19" s="256" t="s">
        <v>1165</v>
      </c>
      <c r="F19" s="256" t="s">
        <v>576</v>
      </c>
      <c r="G19" s="290">
        <v>45998</v>
      </c>
      <c r="H19" s="236" t="b">
        <v>1</v>
      </c>
      <c r="I19" s="236" t="b">
        <v>0</v>
      </c>
      <c r="J19" s="236" t="b">
        <v>1</v>
      </c>
      <c r="K19" s="236" t="b">
        <v>1</v>
      </c>
      <c r="L19" s="236" t="b">
        <v>1</v>
      </c>
      <c r="M19" s="236" t="b">
        <v>1</v>
      </c>
      <c r="N19" s="236" t="b">
        <v>1</v>
      </c>
      <c r="O19" s="236" t="b">
        <v>1</v>
      </c>
      <c r="P19" s="236" t="b">
        <v>1</v>
      </c>
      <c r="Q19" s="236" t="b">
        <v>0</v>
      </c>
      <c r="R19" s="236" t="b">
        <v>1</v>
      </c>
      <c r="S19" s="254" t="b">
        <v>1</v>
      </c>
      <c r="T19" s="256" t="str" cm="1">
        <f t="array" ref="T19">IF(SUMPRODUCT((Cert_Matrix!$A$28:$A$33=E19)*(Cert_Matrix!$AH$28:$AQ$33="X")*(H19:Q19=TRUE))&lt;SUMPRODUCT((Cert_Matrix!$A$28:$A$33=E19)*(Cert_Matrix!$AH$28:$AQ$33="X")),"Thiếu chứng nhận","Đủ điều kiện")</f>
        <v>Đủ điều kiện</v>
      </c>
      <c r="U19" s="287"/>
      <c r="V19" s="290"/>
      <c r="W19" s="257" t="str">
        <f>VLOOKUP(B19,'HC Golf'!C:G,5,0)</f>
        <v>S3</v>
      </c>
    </row>
    <row r="20" spans="1:23">
      <c r="A20" s="256">
        <f>ROWS($B$5:B18)</f>
        <v>14</v>
      </c>
      <c r="B20" s="256" t="s">
        <v>585</v>
      </c>
      <c r="C20" s="256" t="s">
        <v>586</v>
      </c>
      <c r="D20" s="256" t="s">
        <v>1470</v>
      </c>
      <c r="E20" s="256" t="s">
        <v>1472</v>
      </c>
      <c r="F20" s="256" t="s">
        <v>576</v>
      </c>
      <c r="G20" s="290">
        <v>45998</v>
      </c>
      <c r="H20" s="236" t="b">
        <v>0</v>
      </c>
      <c r="I20" s="236" t="b">
        <v>0</v>
      </c>
      <c r="J20" s="236" t="b">
        <v>1</v>
      </c>
      <c r="K20" s="236" t="b">
        <v>1</v>
      </c>
      <c r="L20" s="236" t="b">
        <v>1</v>
      </c>
      <c r="M20" s="236" t="b">
        <v>0</v>
      </c>
      <c r="N20" s="236" t="b">
        <v>0</v>
      </c>
      <c r="O20" s="236" t="b">
        <v>1</v>
      </c>
      <c r="P20" s="236" t="b">
        <v>0</v>
      </c>
      <c r="Q20" s="236" t="b">
        <v>0</v>
      </c>
      <c r="R20" s="236" t="b">
        <v>1</v>
      </c>
      <c r="S20" s="254" t="b">
        <v>0</v>
      </c>
      <c r="T20" s="256" t="str" cm="1">
        <f t="array" ref="T20">IF(SUMPRODUCT((Cert_Matrix!$A$28:$A$33=E20)*(Cert_Matrix!$AH$28:$AQ$33="X")*(H20:Q20=TRUE))&lt;SUMPRODUCT((Cert_Matrix!$A$28:$A$33=E20)*(Cert_Matrix!$AH$28:$AQ$33="X")),"Thiếu chứng nhận","Đủ điều kiện")</f>
        <v>Đủ điều kiện</v>
      </c>
      <c r="U20" s="287"/>
      <c r="V20" s="290"/>
      <c r="W20" s="257" t="str">
        <f>VLOOKUP(B20,'HC Golf'!C:G,5,0)</f>
        <v>S3</v>
      </c>
    </row>
    <row r="21" spans="1:23">
      <c r="A21" s="256">
        <f>ROWS($B$5:B19)</f>
        <v>15</v>
      </c>
      <c r="B21" s="256" t="s">
        <v>587</v>
      </c>
      <c r="C21" s="256" t="s">
        <v>588</v>
      </c>
      <c r="D21" s="256" t="s">
        <v>1470</v>
      </c>
      <c r="E21" s="256" t="s">
        <v>1165</v>
      </c>
      <c r="F21" s="256" t="s">
        <v>576</v>
      </c>
      <c r="G21" s="290"/>
      <c r="H21" s="236" t="b">
        <v>0</v>
      </c>
      <c r="I21" s="236" t="b">
        <v>0</v>
      </c>
      <c r="J21" s="236" t="b">
        <v>1</v>
      </c>
      <c r="K21" s="236" t="b">
        <v>0</v>
      </c>
      <c r="L21" s="236" t="b">
        <v>0</v>
      </c>
      <c r="M21" s="236" t="b">
        <v>0</v>
      </c>
      <c r="N21" s="236" t="b">
        <v>0</v>
      </c>
      <c r="O21" s="236" t="b">
        <v>0</v>
      </c>
      <c r="P21" s="236" t="b">
        <v>0</v>
      </c>
      <c r="Q21" s="236" t="b">
        <v>0</v>
      </c>
      <c r="R21" s="236" t="b">
        <v>1</v>
      </c>
      <c r="S21" s="254" t="b">
        <v>0</v>
      </c>
      <c r="T21" s="256" t="str" cm="1">
        <f t="array" ref="T21">IF(SUMPRODUCT((Cert_Matrix!$A$28:$A$33=E21)*(Cert_Matrix!$AH$28:$AQ$33="X")*(H21:Q21=TRUE))&lt;SUMPRODUCT((Cert_Matrix!$A$28:$A$33=E21)*(Cert_Matrix!$AH$28:$AQ$33="X")),"Thiếu chứng nhận","Đủ điều kiện")</f>
        <v>Đủ điều kiện</v>
      </c>
      <c r="U21" s="287"/>
      <c r="V21" s="290"/>
      <c r="W21" s="257" t="str">
        <f>VLOOKUP(B21,'HC Golf'!C:G,5,0)</f>
        <v>S1</v>
      </c>
    </row>
    <row r="22" spans="1:23">
      <c r="A22" s="256">
        <f>ROWS($B$5:B20)</f>
        <v>16</v>
      </c>
      <c r="B22" s="256" t="s">
        <v>727</v>
      </c>
      <c r="C22" s="256" t="s">
        <v>728</v>
      </c>
      <c r="D22" s="256" t="s">
        <v>1486</v>
      </c>
      <c r="E22" s="256" t="s">
        <v>1168</v>
      </c>
      <c r="F22" s="256" t="s">
        <v>576</v>
      </c>
      <c r="G22" s="290">
        <v>46132</v>
      </c>
      <c r="H22" s="236" t="b">
        <v>0</v>
      </c>
      <c r="I22" s="236" t="b">
        <v>0</v>
      </c>
      <c r="J22" s="236" t="b">
        <v>0</v>
      </c>
      <c r="K22" s="236" t="b">
        <v>1</v>
      </c>
      <c r="L22" s="236" t="b">
        <v>1</v>
      </c>
      <c r="M22" s="236" t="b">
        <v>0</v>
      </c>
      <c r="N22" s="236" t="b">
        <v>0</v>
      </c>
      <c r="O22" s="236" t="b">
        <v>1</v>
      </c>
      <c r="P22" s="236" t="b">
        <v>1</v>
      </c>
      <c r="Q22" s="236" t="b">
        <v>0</v>
      </c>
      <c r="R22" s="236" t="b">
        <v>1</v>
      </c>
      <c r="S22" s="254" t="b">
        <v>0</v>
      </c>
      <c r="T22" s="256" t="str" cm="1">
        <f t="array" ref="T22">IF(SUMPRODUCT((Cert_Matrix!$A$28:$A$33=E22)*(Cert_Matrix!$AH$28:$AQ$33="X")*(H22:Q22=TRUE))&lt;SUMPRODUCT((Cert_Matrix!$A$28:$A$33=E22)*(Cert_Matrix!$AH$28:$AQ$33="X")),"Thiếu chứng nhận","Đủ điều kiện")</f>
        <v>Đủ điều kiện</v>
      </c>
      <c r="U22" s="287"/>
      <c r="V22" s="290"/>
      <c r="W22" s="257" t="str">
        <f>VLOOKUP(B22,'HC Golf'!C:G,5,0)</f>
        <v>S3</v>
      </c>
    </row>
    <row r="23" spans="1:23">
      <c r="A23" s="256">
        <f>ROWS($B$5:B21)</f>
        <v>17</v>
      </c>
      <c r="B23" s="256" t="s">
        <v>589</v>
      </c>
      <c r="C23" s="256" t="s">
        <v>590</v>
      </c>
      <c r="D23" s="256" t="s">
        <v>1470</v>
      </c>
      <c r="E23" s="256" t="s">
        <v>1165</v>
      </c>
      <c r="F23" s="256" t="s">
        <v>576</v>
      </c>
      <c r="G23" s="290"/>
      <c r="H23" s="236" t="b">
        <v>1</v>
      </c>
      <c r="I23" s="236" t="b">
        <v>0</v>
      </c>
      <c r="J23" s="236" t="b">
        <v>1</v>
      </c>
      <c r="K23" s="236" t="b">
        <v>1</v>
      </c>
      <c r="L23" s="236" t="b">
        <v>1</v>
      </c>
      <c r="M23" s="236" t="b">
        <v>1</v>
      </c>
      <c r="N23" s="236" t="b">
        <v>0</v>
      </c>
      <c r="O23" s="236" t="b">
        <v>1</v>
      </c>
      <c r="P23" s="236" t="b">
        <v>1</v>
      </c>
      <c r="Q23" s="236" t="b">
        <v>0</v>
      </c>
      <c r="R23" s="236" t="b">
        <v>1</v>
      </c>
      <c r="S23" s="254" t="b">
        <v>0</v>
      </c>
      <c r="T23" s="256" t="str" cm="1">
        <f t="array" ref="T23">IF(SUMPRODUCT((Cert_Matrix!$A$28:$A$33=E23)*(Cert_Matrix!$AH$28:$AQ$33="X")*(H23:Q23=TRUE))&lt;SUMPRODUCT((Cert_Matrix!$A$28:$A$33=E23)*(Cert_Matrix!$AH$28:$AQ$33="X")),"Thiếu chứng nhận","Đủ điều kiện")</f>
        <v>Đủ điều kiện</v>
      </c>
      <c r="U23" s="287"/>
      <c r="V23" s="290"/>
      <c r="W23" s="257" t="str">
        <f>VLOOKUP(B23,'HC Golf'!C:G,5,0)</f>
        <v>S3</v>
      </c>
    </row>
    <row r="24" spans="1:23">
      <c r="A24" s="256">
        <f>ROWS($B$5:B22)</f>
        <v>18</v>
      </c>
      <c r="B24" s="256" t="s">
        <v>1487</v>
      </c>
      <c r="C24" s="256" t="s">
        <v>1488</v>
      </c>
      <c r="D24" s="256" t="s">
        <v>1225</v>
      </c>
      <c r="E24" s="256" t="s">
        <v>1167</v>
      </c>
      <c r="F24" s="256" t="s">
        <v>576</v>
      </c>
      <c r="G24" s="290"/>
      <c r="H24" s="236" t="b">
        <v>0</v>
      </c>
      <c r="I24" s="236" t="b">
        <v>0</v>
      </c>
      <c r="J24" s="236" t="b">
        <v>0</v>
      </c>
      <c r="K24" s="236" t="b">
        <v>0</v>
      </c>
      <c r="L24" s="236" t="b">
        <v>0</v>
      </c>
      <c r="M24" s="236" t="b">
        <v>0</v>
      </c>
      <c r="N24" s="236" t="b">
        <v>0</v>
      </c>
      <c r="O24" s="236" t="b">
        <v>0</v>
      </c>
      <c r="P24" s="236" t="b">
        <v>0</v>
      </c>
      <c r="Q24" s="236" t="b">
        <v>0</v>
      </c>
      <c r="R24" s="236" t="b">
        <v>1</v>
      </c>
      <c r="S24" s="254" t="b">
        <v>0</v>
      </c>
      <c r="T24" s="256" t="str" cm="1">
        <f t="array" ref="T24">IF(SUMPRODUCT((Cert_Matrix!$A$28:$A$33=E24)*(Cert_Matrix!$AH$28:$AQ$33="X")*(H24:Q24=TRUE))&lt;SUMPRODUCT((Cert_Matrix!$A$28:$A$33=E24)*(Cert_Matrix!$AH$28:$AQ$33="X")),"Thiếu chứng nhận","Đủ điều kiện")</f>
        <v>Đủ điều kiện</v>
      </c>
      <c r="U24" s="287"/>
      <c r="V24" s="290"/>
      <c r="W24" s="257" t="str">
        <f>VLOOKUP(B24,'HC Golf'!C:G,5,0)</f>
        <v>S3</v>
      </c>
    </row>
    <row r="25" spans="1:23">
      <c r="A25" s="256">
        <f>ROWS($B$5:B23)</f>
        <v>19</v>
      </c>
      <c r="B25" s="256" t="s">
        <v>1489</v>
      </c>
      <c r="C25" s="256" t="s">
        <v>1490</v>
      </c>
      <c r="D25" s="256" t="s">
        <v>1225</v>
      </c>
      <c r="E25" s="256" t="s">
        <v>1164</v>
      </c>
      <c r="F25" s="256" t="s">
        <v>576</v>
      </c>
      <c r="G25" s="290">
        <v>46154</v>
      </c>
      <c r="H25" s="236" t="b">
        <v>0</v>
      </c>
      <c r="I25" s="236" t="b">
        <v>1</v>
      </c>
      <c r="J25" s="236" t="b">
        <v>0</v>
      </c>
      <c r="K25" s="236" t="b">
        <v>0</v>
      </c>
      <c r="L25" s="236" t="b">
        <v>0</v>
      </c>
      <c r="M25" s="236" t="b">
        <v>0</v>
      </c>
      <c r="N25" s="236" t="b">
        <v>0</v>
      </c>
      <c r="O25" s="236" t="b">
        <v>0</v>
      </c>
      <c r="P25" s="236" t="b">
        <v>0</v>
      </c>
      <c r="Q25" s="236" t="b">
        <v>0</v>
      </c>
      <c r="R25" s="236" t="b">
        <v>1</v>
      </c>
      <c r="S25" s="254" t="b">
        <v>0</v>
      </c>
      <c r="T25" s="256" t="str" cm="1">
        <f t="array" ref="T25">IF(SUMPRODUCT((Cert_Matrix!$A$28:$A$33=E25)*(Cert_Matrix!$AH$28:$AQ$33="X")*(H25:Q25=TRUE))&lt;SUMPRODUCT((Cert_Matrix!$A$28:$A$33=E25)*(Cert_Matrix!$AH$28:$AQ$33="X")),"Thiếu chứng nhận","Đủ điều kiện")</f>
        <v>Đủ điều kiện</v>
      </c>
      <c r="U25" s="287"/>
      <c r="V25" s="290"/>
      <c r="W25" s="257" t="str">
        <f>VLOOKUP(B25,'HC Golf'!C:G,5,0)</f>
        <v>S3</v>
      </c>
    </row>
    <row r="26" spans="1:23">
      <c r="A26" s="256">
        <f>ROWS($B$5:B24)</f>
        <v>20</v>
      </c>
      <c r="B26" s="256" t="s">
        <v>1491</v>
      </c>
      <c r="C26" s="256" t="s">
        <v>1492</v>
      </c>
      <c r="D26" s="256" t="s">
        <v>1470</v>
      </c>
      <c r="E26" s="256" t="s">
        <v>1165</v>
      </c>
      <c r="F26" s="256" t="s">
        <v>576</v>
      </c>
      <c r="G26" s="290">
        <v>45998</v>
      </c>
      <c r="H26" s="236" t="b">
        <v>0</v>
      </c>
      <c r="I26" s="236" t="b">
        <v>0</v>
      </c>
      <c r="J26" s="236" t="b">
        <v>1</v>
      </c>
      <c r="K26" s="236" t="b">
        <v>0</v>
      </c>
      <c r="L26" s="236" t="b">
        <v>0</v>
      </c>
      <c r="M26" s="236" t="b">
        <v>0</v>
      </c>
      <c r="N26" s="236" t="b">
        <v>0</v>
      </c>
      <c r="O26" s="236" t="b">
        <v>0</v>
      </c>
      <c r="P26" s="236" t="b">
        <v>0</v>
      </c>
      <c r="Q26" s="236" t="b">
        <v>0</v>
      </c>
      <c r="R26" s="236" t="b">
        <v>1</v>
      </c>
      <c r="S26" s="254" t="b">
        <v>0</v>
      </c>
      <c r="T26" s="256" t="str" cm="1">
        <f t="array" ref="T26">IF(SUMPRODUCT((Cert_Matrix!$A$28:$A$33=E26)*(Cert_Matrix!$AH$28:$AQ$33="X")*(H26:Q26=TRUE))&lt;SUMPRODUCT((Cert_Matrix!$A$28:$A$33=E26)*(Cert_Matrix!$AH$28:$AQ$33="X")),"Thiếu chứng nhận","Đủ điều kiện")</f>
        <v>Đủ điều kiện</v>
      </c>
      <c r="U26" s="287"/>
      <c r="V26" s="290"/>
      <c r="W26" s="257" t="str">
        <f>VLOOKUP(B26,'HC Golf'!C:G,5,0)</f>
        <v>S3</v>
      </c>
    </row>
    <row r="27" spans="1:23">
      <c r="A27" s="256">
        <f>ROWS($B$5:B25)</f>
        <v>21</v>
      </c>
      <c r="B27" s="256" t="s">
        <v>1493</v>
      </c>
      <c r="C27" s="256" t="s">
        <v>1494</v>
      </c>
      <c r="D27" s="256" t="s">
        <v>1225</v>
      </c>
      <c r="E27" s="256" t="s">
        <v>1168</v>
      </c>
      <c r="F27" s="256" t="s">
        <v>576</v>
      </c>
      <c r="G27" s="290"/>
      <c r="H27" s="236" t="b">
        <v>0</v>
      </c>
      <c r="I27" s="236" t="b">
        <v>0</v>
      </c>
      <c r="J27" s="236" t="b">
        <v>1</v>
      </c>
      <c r="K27" s="236" t="b">
        <v>1</v>
      </c>
      <c r="L27" s="236" t="b">
        <v>1</v>
      </c>
      <c r="M27" s="236" t="b">
        <v>1</v>
      </c>
      <c r="N27" s="236" t="b">
        <v>0</v>
      </c>
      <c r="O27" s="236" t="b">
        <v>1</v>
      </c>
      <c r="P27" s="236" t="b">
        <v>0</v>
      </c>
      <c r="Q27" s="236" t="b">
        <v>0</v>
      </c>
      <c r="R27" s="236" t="b">
        <v>1</v>
      </c>
      <c r="S27" s="254" t="b">
        <v>0</v>
      </c>
      <c r="T27" s="256" t="str" cm="1">
        <f t="array" ref="T27">IF(SUMPRODUCT((Cert_Matrix!$A$28:$A$33=E27)*(Cert_Matrix!$AH$28:$AQ$33="X")*(H27:Q27=TRUE))&lt;SUMPRODUCT((Cert_Matrix!$A$28:$A$33=E27)*(Cert_Matrix!$AH$28:$AQ$33="X")),"Thiếu chứng nhận","Đủ điều kiện")</f>
        <v>Đủ điều kiện</v>
      </c>
      <c r="U27" s="287"/>
      <c r="V27" s="290"/>
      <c r="W27" s="257" t="str">
        <f>VLOOKUP(B27,'HC Golf'!C:G,5,0)</f>
        <v>S1</v>
      </c>
    </row>
    <row r="28" spans="1:23">
      <c r="A28" s="256">
        <f>ROWS($B$5:B26)</f>
        <v>22</v>
      </c>
      <c r="B28" s="256" t="s">
        <v>1495</v>
      </c>
      <c r="C28" s="256" t="s">
        <v>1496</v>
      </c>
      <c r="D28" s="256" t="s">
        <v>1225</v>
      </c>
      <c r="E28" s="256" t="s">
        <v>1165</v>
      </c>
      <c r="F28" s="256" t="s">
        <v>576</v>
      </c>
      <c r="G28" s="290"/>
      <c r="H28" s="236" t="b">
        <v>0</v>
      </c>
      <c r="I28" s="236" t="b">
        <v>0</v>
      </c>
      <c r="J28" s="236" t="b">
        <v>1</v>
      </c>
      <c r="K28" s="236" t="b">
        <v>0</v>
      </c>
      <c r="L28" s="236" t="b">
        <v>0</v>
      </c>
      <c r="M28" s="236" t="b">
        <v>0</v>
      </c>
      <c r="N28" s="236" t="b">
        <v>0</v>
      </c>
      <c r="O28" s="236" t="b">
        <v>0</v>
      </c>
      <c r="P28" s="236" t="b">
        <v>0</v>
      </c>
      <c r="Q28" s="236" t="b">
        <v>0</v>
      </c>
      <c r="R28" s="236" t="b">
        <v>1</v>
      </c>
      <c r="S28" s="254" t="b">
        <v>0</v>
      </c>
      <c r="T28" s="256" t="str" cm="1">
        <f t="array" ref="T28">IF(SUMPRODUCT((Cert_Matrix!$A$28:$A$33=E28)*(Cert_Matrix!$AH$28:$AQ$33="X")*(H28:Q28=TRUE))&lt;SUMPRODUCT((Cert_Matrix!$A$28:$A$33=E28)*(Cert_Matrix!$AH$28:$AQ$33="X")),"Thiếu chứng nhận","Đủ điều kiện")</f>
        <v>Đủ điều kiện</v>
      </c>
      <c r="U28" s="287"/>
      <c r="V28" s="290"/>
      <c r="W28" s="257" t="str">
        <f>VLOOKUP(B28,'HC Golf'!C:G,5,0)</f>
        <v>S3</v>
      </c>
    </row>
    <row r="29" spans="1:23">
      <c r="A29" s="256">
        <f>ROWS($B$5:B27)</f>
        <v>23</v>
      </c>
      <c r="B29" s="256" t="s">
        <v>1497</v>
      </c>
      <c r="C29" s="256" t="s">
        <v>1498</v>
      </c>
      <c r="D29" s="256" t="s">
        <v>1225</v>
      </c>
      <c r="E29" s="256" t="s">
        <v>1163</v>
      </c>
      <c r="F29" s="256" t="s">
        <v>576</v>
      </c>
      <c r="G29" s="290">
        <v>46154</v>
      </c>
      <c r="H29" s="236" t="b">
        <v>1</v>
      </c>
      <c r="I29" s="236" t="b">
        <v>1</v>
      </c>
      <c r="J29" s="236" t="b">
        <v>0</v>
      </c>
      <c r="K29" s="236" t="b">
        <v>0</v>
      </c>
      <c r="L29" s="236" t="b">
        <v>0</v>
      </c>
      <c r="M29" s="236" t="b">
        <v>0</v>
      </c>
      <c r="N29" s="236" t="b">
        <v>0</v>
      </c>
      <c r="O29" s="236" t="b">
        <v>0</v>
      </c>
      <c r="P29" s="236" t="b">
        <v>0</v>
      </c>
      <c r="Q29" s="236" t="b">
        <v>0</v>
      </c>
      <c r="R29" s="236" t="b">
        <v>1</v>
      </c>
      <c r="S29" s="254" t="b">
        <v>0</v>
      </c>
      <c r="T29" s="256" t="str" cm="1">
        <f t="array" ref="T29">IF(SUMPRODUCT((Cert_Matrix!$A$28:$A$33=E29)*(Cert_Matrix!$AH$28:$AQ$33="X")*(H29:Q29=TRUE))&lt;SUMPRODUCT((Cert_Matrix!$A$28:$A$33=E29)*(Cert_Matrix!$AH$28:$AQ$33="X")),"Thiếu chứng nhận","Đủ điều kiện")</f>
        <v>Đủ điều kiện</v>
      </c>
      <c r="U29" s="287"/>
      <c r="V29" s="290"/>
      <c r="W29" s="257" t="str">
        <f>VLOOKUP(B29,'HC Golf'!C:G,5,0)</f>
        <v>S3</v>
      </c>
    </row>
    <row r="30" spans="1:23">
      <c r="A30" s="256">
        <f>ROWS($B$5:B28)</f>
        <v>24</v>
      </c>
      <c r="B30" s="256" t="s">
        <v>1499</v>
      </c>
      <c r="C30" s="256" t="s">
        <v>997</v>
      </c>
      <c r="D30" s="256" t="s">
        <v>1225</v>
      </c>
      <c r="E30" s="256" t="s">
        <v>1165</v>
      </c>
      <c r="F30" s="256" t="s">
        <v>576</v>
      </c>
      <c r="G30" s="290">
        <v>46140</v>
      </c>
      <c r="H30" s="236" t="b">
        <v>0</v>
      </c>
      <c r="I30" s="236" t="b">
        <v>0</v>
      </c>
      <c r="J30" s="236" t="b">
        <v>1</v>
      </c>
      <c r="K30" s="236" t="b">
        <v>1</v>
      </c>
      <c r="L30" s="236" t="b">
        <v>1</v>
      </c>
      <c r="M30" s="236" t="b">
        <v>1</v>
      </c>
      <c r="N30" s="236" t="b">
        <v>0</v>
      </c>
      <c r="O30" s="236" t="b">
        <v>1</v>
      </c>
      <c r="P30" s="236" t="b">
        <v>1</v>
      </c>
      <c r="Q30" s="236" t="b">
        <v>0</v>
      </c>
      <c r="R30" s="236" t="b">
        <v>1</v>
      </c>
      <c r="S30" s="254" t="b">
        <v>0</v>
      </c>
      <c r="T30" s="256" t="str" cm="1">
        <f t="array" ref="T30">IF(SUMPRODUCT((Cert_Matrix!$A$28:$A$33=E30)*(Cert_Matrix!$AH$28:$AQ$33="X")*(H30:Q30=TRUE))&lt;SUMPRODUCT((Cert_Matrix!$A$28:$A$33=E30)*(Cert_Matrix!$AH$28:$AQ$33="X")),"Thiếu chứng nhận","Đủ điều kiện")</f>
        <v>Đủ điều kiện</v>
      </c>
      <c r="U30" s="287"/>
      <c r="V30" s="290"/>
      <c r="W30" s="257" t="str">
        <f>VLOOKUP(B30,'HC Golf'!C:G,5,0)</f>
        <v>S3</v>
      </c>
    </row>
    <row r="31" spans="1:23">
      <c r="A31" s="256">
        <f>ROWS($B$5:B29)</f>
        <v>25</v>
      </c>
      <c r="B31" s="256" t="s">
        <v>1500</v>
      </c>
      <c r="C31" s="256" t="s">
        <v>1501</v>
      </c>
      <c r="D31" s="256" t="s">
        <v>1225</v>
      </c>
      <c r="E31" s="256" t="s">
        <v>1167</v>
      </c>
      <c r="F31" s="256" t="s">
        <v>576</v>
      </c>
      <c r="G31" s="290"/>
      <c r="H31" s="236" t="b">
        <v>0</v>
      </c>
      <c r="I31" s="236" t="b">
        <v>0</v>
      </c>
      <c r="J31" s="236" t="b">
        <v>0</v>
      </c>
      <c r="K31" s="236" t="b">
        <v>0</v>
      </c>
      <c r="L31" s="236" t="b">
        <v>0</v>
      </c>
      <c r="M31" s="236" t="b">
        <v>0</v>
      </c>
      <c r="N31" s="236" t="b">
        <v>0</v>
      </c>
      <c r="O31" s="236" t="b">
        <v>0</v>
      </c>
      <c r="P31" s="236" t="b">
        <v>0</v>
      </c>
      <c r="Q31" s="236" t="b">
        <v>0</v>
      </c>
      <c r="R31" s="236" t="b">
        <v>0</v>
      </c>
      <c r="S31" s="254" t="b">
        <v>0</v>
      </c>
      <c r="T31" s="256" t="str" cm="1">
        <f t="array" ref="T31">IF(SUMPRODUCT((Cert_Matrix!$A$28:$A$33=E31)*(Cert_Matrix!$AH$28:$AQ$33="X")*(H31:Q31=TRUE))&lt;SUMPRODUCT((Cert_Matrix!$A$28:$A$33=E31)*(Cert_Matrix!$AH$28:$AQ$33="X")),"Thiếu chứng nhận","Đủ điều kiện")</f>
        <v>Đủ điều kiện</v>
      </c>
      <c r="U31" s="287"/>
      <c r="V31" s="290"/>
      <c r="W31" s="257" t="str">
        <f>VLOOKUP(B31,'HC Golf'!C:G,5,0)</f>
        <v>S3</v>
      </c>
    </row>
    <row r="32" spans="1:23">
      <c r="A32" s="256">
        <f>ROWS($B$5:B30)</f>
        <v>26</v>
      </c>
      <c r="B32" s="256" t="s">
        <v>1502</v>
      </c>
      <c r="C32" s="256" t="s">
        <v>1503</v>
      </c>
      <c r="D32" s="256" t="s">
        <v>1225</v>
      </c>
      <c r="E32" s="256" t="s">
        <v>1167</v>
      </c>
      <c r="F32" s="256" t="s">
        <v>576</v>
      </c>
      <c r="G32" s="290"/>
      <c r="H32" s="236" t="b">
        <v>0</v>
      </c>
      <c r="I32" s="236" t="b">
        <v>0</v>
      </c>
      <c r="J32" s="236" t="b">
        <v>0</v>
      </c>
      <c r="K32" s="236" t="b">
        <v>0</v>
      </c>
      <c r="L32" s="236" t="b">
        <v>0</v>
      </c>
      <c r="M32" s="236" t="b">
        <v>0</v>
      </c>
      <c r="N32" s="236" t="b">
        <v>0</v>
      </c>
      <c r="O32" s="236" t="b">
        <v>0</v>
      </c>
      <c r="P32" s="236" t="b">
        <v>0</v>
      </c>
      <c r="Q32" s="236" t="b">
        <v>0</v>
      </c>
      <c r="R32" s="236" t="b">
        <v>0</v>
      </c>
      <c r="S32" s="254" t="b">
        <v>0</v>
      </c>
      <c r="T32" s="256" t="str" cm="1">
        <f t="array" ref="T32">IF(SUMPRODUCT((Cert_Matrix!$A$28:$A$33=E32)*(Cert_Matrix!$AH$28:$AQ$33="X")*(H32:Q32=TRUE))&lt;SUMPRODUCT((Cert_Matrix!$A$28:$A$33=E32)*(Cert_Matrix!$AH$28:$AQ$33="X")),"Thiếu chứng nhận","Đủ điều kiện")</f>
        <v>Đủ điều kiện</v>
      </c>
      <c r="U32" s="287"/>
      <c r="V32" s="290"/>
      <c r="W32" s="257" t="str">
        <f>VLOOKUP(B32,'HC Golf'!C:G,5,0)</f>
        <v>S3</v>
      </c>
    </row>
    <row r="33" spans="1:23">
      <c r="A33" s="256">
        <f>ROWS($B$5:B31)</f>
        <v>27</v>
      </c>
      <c r="B33" s="256" t="s">
        <v>1504</v>
      </c>
      <c r="C33" s="256" t="s">
        <v>798</v>
      </c>
      <c r="D33" s="256" t="s">
        <v>1292</v>
      </c>
      <c r="E33" s="256"/>
      <c r="F33" s="256" t="s">
        <v>576</v>
      </c>
      <c r="G33" s="290"/>
      <c r="H33" s="236" t="b">
        <v>0</v>
      </c>
      <c r="I33" s="236" t="b">
        <v>0</v>
      </c>
      <c r="J33" s="236" t="b">
        <v>0</v>
      </c>
      <c r="K33" s="236" t="b">
        <v>0</v>
      </c>
      <c r="L33" s="236" t="b">
        <v>0</v>
      </c>
      <c r="M33" s="236" t="b">
        <v>0</v>
      </c>
      <c r="N33" s="236" t="b">
        <v>0</v>
      </c>
      <c r="O33" s="236" t="b">
        <v>0</v>
      </c>
      <c r="P33" s="236" t="b">
        <v>0</v>
      </c>
      <c r="Q33" s="236" t="b">
        <v>0</v>
      </c>
      <c r="R33" s="236" t="b">
        <v>0</v>
      </c>
      <c r="S33" s="254" t="b">
        <v>0</v>
      </c>
      <c r="T33" s="256" t="str" cm="1">
        <f t="array" ref="T33">IF(SUMPRODUCT((Cert_Matrix!$A$28:$A$33=E33)*(Cert_Matrix!$AH$28:$AQ$33="X")*(H33:Q33=TRUE))&lt;SUMPRODUCT((Cert_Matrix!$A$28:$A$33=E33)*(Cert_Matrix!$AH$28:$AQ$33="X")),"Thiếu chứng nhận","Đủ điều kiện")</f>
        <v>Đủ điều kiện</v>
      </c>
      <c r="U33" s="287"/>
      <c r="V33" s="290"/>
      <c r="W33" s="257" t="str">
        <f>VLOOKUP(B33,'HC Golf'!C:G,5,0)</f>
        <v>S1</v>
      </c>
    </row>
    <row r="34" spans="1:23">
      <c r="A34" s="256">
        <f>ROWS($B$5:B32)</f>
        <v>28</v>
      </c>
      <c r="B34" s="256" t="s">
        <v>293</v>
      </c>
      <c r="C34" s="256" t="s">
        <v>294</v>
      </c>
      <c r="D34" s="256" t="s">
        <v>1292</v>
      </c>
      <c r="E34" s="256" t="s">
        <v>1165</v>
      </c>
      <c r="F34" s="256" t="s">
        <v>576</v>
      </c>
      <c r="G34" s="290"/>
      <c r="H34" s="236" t="b">
        <v>1</v>
      </c>
      <c r="I34" s="236" t="b">
        <v>0</v>
      </c>
      <c r="J34" s="236" t="b">
        <v>1</v>
      </c>
      <c r="K34" s="236" t="b">
        <v>1</v>
      </c>
      <c r="L34" s="236" t="b">
        <v>1</v>
      </c>
      <c r="M34" s="236" t="b">
        <v>1</v>
      </c>
      <c r="N34" s="236" t="b">
        <v>1</v>
      </c>
      <c r="O34" s="236" t="b">
        <v>1</v>
      </c>
      <c r="P34" s="236" t="b">
        <v>1</v>
      </c>
      <c r="Q34" s="236" t="b">
        <v>0</v>
      </c>
      <c r="R34" s="236" t="b">
        <v>1</v>
      </c>
      <c r="S34" s="254" t="b">
        <v>1</v>
      </c>
      <c r="T34" s="256" t="str" cm="1">
        <f t="array" ref="T34">IF(SUMPRODUCT((Cert_Matrix!$A$28:$A$33=E34)*(Cert_Matrix!$AH$28:$AQ$33="X")*(H34:Q34=TRUE))&lt;SUMPRODUCT((Cert_Matrix!$A$28:$A$33=E34)*(Cert_Matrix!$AH$28:$AQ$33="X")),"Thiếu chứng nhận","Đủ điều kiện")</f>
        <v>Đủ điều kiện</v>
      </c>
      <c r="U34" s="287"/>
      <c r="V34" s="290"/>
      <c r="W34" s="257" t="str">
        <f>VLOOKUP(B34,'HC Golf'!C:G,5,0)</f>
        <v>S1</v>
      </c>
    </row>
    <row r="35" spans="1:23">
      <c r="A35" s="256">
        <f>ROWS($B$5:B33)</f>
        <v>29</v>
      </c>
      <c r="B35" s="256" t="s">
        <v>574</v>
      </c>
      <c r="C35" s="256" t="s">
        <v>575</v>
      </c>
      <c r="D35" s="256" t="s">
        <v>1471</v>
      </c>
      <c r="E35" s="256" t="s">
        <v>1472</v>
      </c>
      <c r="F35" s="256" t="s">
        <v>576</v>
      </c>
      <c r="G35" s="290">
        <v>46132</v>
      </c>
      <c r="H35" s="236" t="b">
        <v>0</v>
      </c>
      <c r="I35" s="236" t="b">
        <v>0</v>
      </c>
      <c r="J35" s="236" t="b">
        <v>0</v>
      </c>
      <c r="K35" s="236" t="b">
        <v>1</v>
      </c>
      <c r="L35" s="236" t="b">
        <v>1</v>
      </c>
      <c r="M35" s="236" t="b">
        <v>0</v>
      </c>
      <c r="N35" s="236" t="b">
        <v>1</v>
      </c>
      <c r="O35" s="236" t="b">
        <v>1</v>
      </c>
      <c r="P35" s="236" t="b">
        <v>1</v>
      </c>
      <c r="Q35" s="236" t="b">
        <v>0</v>
      </c>
      <c r="R35" s="236" t="b">
        <v>1</v>
      </c>
      <c r="S35" s="254" t="b">
        <v>1</v>
      </c>
      <c r="T35" s="256" t="str" cm="1">
        <f t="array" ref="T35">IF(SUMPRODUCT((Cert_Matrix!$A$28:$A$33=E35)*(Cert_Matrix!$AH$28:$AQ$33="X")*(H35:Q35=TRUE))&lt;SUMPRODUCT((Cert_Matrix!$A$28:$A$33=E35)*(Cert_Matrix!$AH$28:$AQ$33="X")),"Thiếu chứng nhận","Đủ điều kiện")</f>
        <v>Đủ điều kiện</v>
      </c>
      <c r="U35" s="287"/>
      <c r="V35" s="290"/>
      <c r="W35" s="257" t="str">
        <f>VLOOKUP(B35,'HC Golf'!C:G,5,0)</f>
        <v>S1</v>
      </c>
    </row>
    <row r="36" spans="1:23">
      <c r="A36" s="256">
        <f>ROWS($B$5:B34)</f>
        <v>30</v>
      </c>
      <c r="B36" s="256" t="s">
        <v>607</v>
      </c>
      <c r="C36" s="256" t="s">
        <v>608</v>
      </c>
      <c r="D36" s="256" t="s">
        <v>1486</v>
      </c>
      <c r="E36" s="256" t="s">
        <v>1168</v>
      </c>
      <c r="F36" s="256" t="s">
        <v>576</v>
      </c>
      <c r="G36" s="290">
        <v>46008</v>
      </c>
      <c r="H36" s="236" t="b">
        <v>0</v>
      </c>
      <c r="I36" s="236" t="b">
        <v>0</v>
      </c>
      <c r="J36" s="236" t="b">
        <v>0</v>
      </c>
      <c r="K36" s="236" t="b">
        <v>1</v>
      </c>
      <c r="L36" s="236" t="b">
        <v>1</v>
      </c>
      <c r="M36" s="236" t="b">
        <v>1</v>
      </c>
      <c r="N36" s="236" t="b">
        <v>0</v>
      </c>
      <c r="O36" s="236" t="b">
        <v>1</v>
      </c>
      <c r="P36" s="236" t="b">
        <v>1</v>
      </c>
      <c r="Q36" s="236" t="b">
        <v>0</v>
      </c>
      <c r="R36" s="236" t="b">
        <v>1</v>
      </c>
      <c r="S36" s="254" t="b">
        <v>0</v>
      </c>
      <c r="T36" s="256" t="str" cm="1">
        <f t="array" ref="T36">IF(SUMPRODUCT((Cert_Matrix!$A$28:$A$33=E36)*(Cert_Matrix!$AH$28:$AQ$33="X")*(H36:Q36=TRUE))&lt;SUMPRODUCT((Cert_Matrix!$A$28:$A$33=E36)*(Cert_Matrix!$AH$28:$AQ$33="X")),"Thiếu chứng nhận","Đủ điều kiện")</f>
        <v>Đủ điều kiện</v>
      </c>
      <c r="U36" s="287"/>
      <c r="V36" s="290"/>
      <c r="W36" s="257" t="str">
        <f>VLOOKUP(B36,'HC Golf'!C:G,5,0)</f>
        <v>S1</v>
      </c>
    </row>
    <row r="37" spans="1:23">
      <c r="A37" s="256">
        <f>ROWS($B$5:B35)</f>
        <v>31</v>
      </c>
      <c r="B37" s="256" t="s">
        <v>605</v>
      </c>
      <c r="C37" s="256" t="s">
        <v>606</v>
      </c>
      <c r="D37" s="256" t="s">
        <v>1167</v>
      </c>
      <c r="E37" s="256" t="s">
        <v>1167</v>
      </c>
      <c r="F37" s="256" t="s">
        <v>576</v>
      </c>
      <c r="G37" s="290">
        <v>46008</v>
      </c>
      <c r="H37" s="236" t="b">
        <v>1</v>
      </c>
      <c r="I37" s="236" t="b">
        <v>0</v>
      </c>
      <c r="J37" s="236" t="b">
        <v>1</v>
      </c>
      <c r="K37" s="236" t="b">
        <v>0</v>
      </c>
      <c r="L37" s="236" t="b">
        <v>0</v>
      </c>
      <c r="M37" s="236" t="b">
        <v>0</v>
      </c>
      <c r="N37" s="236" t="b">
        <v>0</v>
      </c>
      <c r="O37" s="236" t="b">
        <v>0</v>
      </c>
      <c r="P37" s="236" t="b">
        <v>0</v>
      </c>
      <c r="Q37" s="236" t="b">
        <v>0</v>
      </c>
      <c r="R37" s="236" t="b">
        <v>1</v>
      </c>
      <c r="S37" s="254" t="b">
        <v>0</v>
      </c>
      <c r="T37" s="256" t="str" cm="1">
        <f t="array" ref="T37">IF(SUMPRODUCT((Cert_Matrix!$A$28:$A$33=E37)*(Cert_Matrix!$AH$28:$AQ$33="X")*(H37:Q37=TRUE))&lt;SUMPRODUCT((Cert_Matrix!$A$28:$A$33=E37)*(Cert_Matrix!$AH$28:$AQ$33="X")),"Thiếu chứng nhận","Đủ điều kiện")</f>
        <v>Đủ điều kiện</v>
      </c>
      <c r="U37" s="287"/>
      <c r="V37" s="290"/>
      <c r="W37" s="257" t="str">
        <f>VLOOKUP(B37,'HC Golf'!C:G,5,0)</f>
        <v>S1</v>
      </c>
    </row>
    <row r="38" spans="1:23">
      <c r="A38" s="256">
        <f>ROWS($B$5:B36)</f>
        <v>32</v>
      </c>
      <c r="B38" s="256" t="s">
        <v>1505</v>
      </c>
      <c r="C38" s="256" t="s">
        <v>696</v>
      </c>
      <c r="D38" s="256" t="s">
        <v>1470</v>
      </c>
      <c r="E38" s="256" t="s">
        <v>1165</v>
      </c>
      <c r="F38" s="256" t="s">
        <v>576</v>
      </c>
      <c r="G38" s="290"/>
      <c r="H38" s="236" t="b">
        <v>0</v>
      </c>
      <c r="I38" s="236" t="b">
        <v>0</v>
      </c>
      <c r="J38" s="236" t="b">
        <v>1</v>
      </c>
      <c r="K38" s="236" t="b">
        <v>0</v>
      </c>
      <c r="L38" s="236" t="b">
        <v>0</v>
      </c>
      <c r="M38" s="236" t="b">
        <v>1</v>
      </c>
      <c r="N38" s="236" t="b">
        <v>0</v>
      </c>
      <c r="O38" s="236" t="b">
        <v>0</v>
      </c>
      <c r="P38" s="236" t="b">
        <v>0</v>
      </c>
      <c r="Q38" s="236" t="b">
        <v>0</v>
      </c>
      <c r="R38" s="236" t="b">
        <v>1</v>
      </c>
      <c r="S38" s="254" t="b">
        <v>0</v>
      </c>
      <c r="T38" s="256" t="str" cm="1">
        <f t="array" ref="T38">IF(SUMPRODUCT((Cert_Matrix!$A$28:$A$33=E38)*(Cert_Matrix!$AH$28:$AQ$33="X")*(H38:Q38=TRUE))&lt;SUMPRODUCT((Cert_Matrix!$A$28:$A$33=E38)*(Cert_Matrix!$AH$28:$AQ$33="X")),"Thiếu chứng nhận","Đủ điều kiện")</f>
        <v>Đủ điều kiện</v>
      </c>
      <c r="U38" s="287"/>
      <c r="V38" s="290"/>
      <c r="W38" s="257" t="str">
        <f>VLOOKUP(B38,'HC Golf'!C:G,5,0)</f>
        <v>S1</v>
      </c>
    </row>
    <row r="39" spans="1:23">
      <c r="A39" s="256">
        <f>ROWS($B$5:B37)</f>
        <v>33</v>
      </c>
      <c r="B39" s="256" t="s">
        <v>1506</v>
      </c>
      <c r="C39" s="256" t="s">
        <v>1507</v>
      </c>
      <c r="D39" s="256" t="s">
        <v>1470</v>
      </c>
      <c r="E39" s="256" t="s">
        <v>1165</v>
      </c>
      <c r="F39" s="256" t="s">
        <v>576</v>
      </c>
      <c r="G39" s="290">
        <v>46132</v>
      </c>
      <c r="H39" s="236" t="b">
        <v>1</v>
      </c>
      <c r="I39" s="236" t="b">
        <v>0</v>
      </c>
      <c r="J39" s="236" t="b">
        <v>1</v>
      </c>
      <c r="K39" s="236" t="b">
        <v>0</v>
      </c>
      <c r="L39" s="236" t="b">
        <v>0</v>
      </c>
      <c r="M39" s="236" t="b">
        <v>0</v>
      </c>
      <c r="N39" s="236" t="b">
        <v>0</v>
      </c>
      <c r="O39" s="236" t="b">
        <v>0</v>
      </c>
      <c r="P39" s="236" t="b">
        <v>0</v>
      </c>
      <c r="Q39" s="236" t="b">
        <v>0</v>
      </c>
      <c r="R39" s="236" t="b">
        <v>1</v>
      </c>
      <c r="S39" s="254" t="b">
        <v>0</v>
      </c>
      <c r="T39" s="256" t="str" cm="1">
        <f t="array" ref="T39">IF(SUMPRODUCT((Cert_Matrix!$A$28:$A$33=E39)*(Cert_Matrix!$AH$28:$AQ$33="X")*(H39:Q39=TRUE))&lt;SUMPRODUCT((Cert_Matrix!$A$28:$A$33=E39)*(Cert_Matrix!$AH$28:$AQ$33="X")),"Thiếu chứng nhận","Đủ điều kiện")</f>
        <v>Đủ điều kiện</v>
      </c>
      <c r="U39" s="287"/>
      <c r="V39" s="290"/>
      <c r="W39" s="257" t="str">
        <f>VLOOKUP(B39,'HC Golf'!C:G,5,0)</f>
        <v>S1</v>
      </c>
    </row>
    <row r="40" spans="1:23">
      <c r="A40" s="256">
        <f>ROWS($B$5:B38)</f>
        <v>34</v>
      </c>
      <c r="B40" s="256" t="s">
        <v>1508</v>
      </c>
      <c r="C40" s="256" t="s">
        <v>1509</v>
      </c>
      <c r="D40" s="256" t="s">
        <v>1470</v>
      </c>
      <c r="E40" s="256" t="s">
        <v>1165</v>
      </c>
      <c r="F40" s="256" t="s">
        <v>576</v>
      </c>
      <c r="G40" s="290">
        <v>46132</v>
      </c>
      <c r="H40" s="236" t="b">
        <v>0</v>
      </c>
      <c r="I40" s="236" t="b">
        <v>0</v>
      </c>
      <c r="J40" s="236" t="b">
        <v>1</v>
      </c>
      <c r="K40" s="236" t="b">
        <v>0</v>
      </c>
      <c r="L40" s="236" t="b">
        <v>0</v>
      </c>
      <c r="M40" s="236" t="b">
        <v>0</v>
      </c>
      <c r="N40" s="236" t="b">
        <v>0</v>
      </c>
      <c r="O40" s="236" t="b">
        <v>0</v>
      </c>
      <c r="P40" s="236" t="b">
        <v>0</v>
      </c>
      <c r="Q40" s="236" t="b">
        <v>0</v>
      </c>
      <c r="R40" s="236" t="b">
        <v>1</v>
      </c>
      <c r="S40" s="254" t="b">
        <v>0</v>
      </c>
      <c r="T40" s="256" t="str" cm="1">
        <f t="array" ref="T40">IF(SUMPRODUCT((Cert_Matrix!$A$28:$A$33=E40)*(Cert_Matrix!$AH$28:$AQ$33="X")*(H40:Q40=TRUE))&lt;SUMPRODUCT((Cert_Matrix!$A$28:$A$33=E40)*(Cert_Matrix!$AH$28:$AQ$33="X")),"Thiếu chứng nhận","Đủ điều kiện")</f>
        <v>Đủ điều kiện</v>
      </c>
      <c r="U40" s="287"/>
      <c r="V40" s="290"/>
      <c r="W40" s="257" t="str">
        <f>VLOOKUP(B40,'HC Golf'!C:G,5,0)</f>
        <v>S1</v>
      </c>
    </row>
    <row r="41" spans="1:23">
      <c r="A41" s="256">
        <f>ROWS($B$5:B39)</f>
        <v>35</v>
      </c>
      <c r="B41" s="256" t="s">
        <v>1510</v>
      </c>
      <c r="C41" s="256" t="s">
        <v>1511</v>
      </c>
      <c r="D41" s="256" t="s">
        <v>1225</v>
      </c>
      <c r="E41" s="256" t="s">
        <v>1168</v>
      </c>
      <c r="F41" s="256" t="s">
        <v>576</v>
      </c>
      <c r="G41" s="290">
        <v>45998</v>
      </c>
      <c r="H41" s="236" t="b">
        <v>0</v>
      </c>
      <c r="I41" s="236" t="b">
        <v>0</v>
      </c>
      <c r="J41" s="236" t="b">
        <v>1</v>
      </c>
      <c r="K41" s="236" t="b">
        <v>1</v>
      </c>
      <c r="L41" s="236" t="b">
        <v>1</v>
      </c>
      <c r="M41" s="236" t="b">
        <v>1</v>
      </c>
      <c r="N41" s="236" t="b">
        <v>0</v>
      </c>
      <c r="O41" s="236" t="b">
        <v>1</v>
      </c>
      <c r="P41" s="236" t="b">
        <v>1</v>
      </c>
      <c r="Q41" s="236" t="b">
        <v>0</v>
      </c>
      <c r="R41" s="236" t="b">
        <v>1</v>
      </c>
      <c r="S41" s="254" t="b">
        <v>0</v>
      </c>
      <c r="T41" s="256" t="str" cm="1">
        <f t="array" ref="T41">IF(SUMPRODUCT((Cert_Matrix!$A$28:$A$33=E41)*(Cert_Matrix!$AH$28:$AQ$33="X")*(H41:Q41=TRUE))&lt;SUMPRODUCT((Cert_Matrix!$A$28:$A$33=E41)*(Cert_Matrix!$AH$28:$AQ$33="X")),"Thiếu chứng nhận","Đủ điều kiện")</f>
        <v>Đủ điều kiện</v>
      </c>
      <c r="U41" s="287"/>
      <c r="V41" s="290"/>
      <c r="W41" s="257" t="str">
        <f>VLOOKUP(B41,'HC Golf'!C:G,5,0)</f>
        <v>S1</v>
      </c>
    </row>
    <row r="42" spans="1:23">
      <c r="A42" s="256">
        <f>ROWS($B$5:B40)</f>
        <v>36</v>
      </c>
      <c r="B42" s="256" t="s">
        <v>1512</v>
      </c>
      <c r="C42" s="256" t="s">
        <v>1513</v>
      </c>
      <c r="D42" s="256" t="s">
        <v>1225</v>
      </c>
      <c r="E42" s="256" t="s">
        <v>1164</v>
      </c>
      <c r="F42" s="256" t="s">
        <v>576</v>
      </c>
      <c r="G42" s="290">
        <v>46152</v>
      </c>
      <c r="H42" s="236" t="b">
        <v>0</v>
      </c>
      <c r="I42" s="236" t="b">
        <v>1</v>
      </c>
      <c r="J42" s="236" t="b">
        <v>0</v>
      </c>
      <c r="K42" s="236" t="b">
        <v>0</v>
      </c>
      <c r="L42" s="236" t="b">
        <v>0</v>
      </c>
      <c r="M42" s="236" t="b">
        <v>0</v>
      </c>
      <c r="N42" s="236" t="b">
        <v>0</v>
      </c>
      <c r="O42" s="236" t="b">
        <v>0</v>
      </c>
      <c r="P42" s="236" t="b">
        <v>0</v>
      </c>
      <c r="Q42" s="236" t="b">
        <v>0</v>
      </c>
      <c r="R42" s="236" t="b">
        <v>0</v>
      </c>
      <c r="S42" s="254" t="b">
        <v>0</v>
      </c>
      <c r="T42" s="256" t="str" cm="1">
        <f t="array" ref="T42">IF(SUMPRODUCT((Cert_Matrix!$A$28:$A$33=E42)*(Cert_Matrix!$AH$28:$AQ$33="X")*(H42:Q42=TRUE))&lt;SUMPRODUCT((Cert_Matrix!$A$28:$A$33=E42)*(Cert_Matrix!$AH$28:$AQ$33="X")),"Thiếu chứng nhận","Đủ điều kiện")</f>
        <v>Đủ điều kiện</v>
      </c>
      <c r="U42" s="287"/>
      <c r="V42" s="290"/>
      <c r="W42" s="257" t="str">
        <f>VLOOKUP(B42,'HC Golf'!C:G,5,0)</f>
        <v>S1</v>
      </c>
    </row>
    <row r="43" spans="1:23">
      <c r="A43" s="256">
        <f>ROWS($B$5:B41)</f>
        <v>37</v>
      </c>
      <c r="B43" s="256" t="s">
        <v>1514</v>
      </c>
      <c r="C43" s="256" t="s">
        <v>852</v>
      </c>
      <c r="D43" s="256" t="s">
        <v>1225</v>
      </c>
      <c r="E43" s="256" t="s">
        <v>1165</v>
      </c>
      <c r="F43" s="256" t="s">
        <v>576</v>
      </c>
      <c r="G43" s="290">
        <v>46137</v>
      </c>
      <c r="H43" s="236" t="b">
        <v>0</v>
      </c>
      <c r="I43" s="236" t="b">
        <v>0</v>
      </c>
      <c r="J43" s="236" t="b">
        <v>1</v>
      </c>
      <c r="K43" s="236" t="b">
        <v>0</v>
      </c>
      <c r="L43" s="236" t="b">
        <v>0</v>
      </c>
      <c r="M43" s="236" t="b">
        <v>0</v>
      </c>
      <c r="N43" s="236" t="b">
        <v>0</v>
      </c>
      <c r="O43" s="236" t="b">
        <v>0</v>
      </c>
      <c r="P43" s="236" t="b">
        <v>0</v>
      </c>
      <c r="Q43" s="236" t="b">
        <v>0</v>
      </c>
      <c r="R43" s="236" t="b">
        <v>1</v>
      </c>
      <c r="S43" s="254" t="b">
        <v>0</v>
      </c>
      <c r="T43" s="256" t="str" cm="1">
        <f t="array" ref="T43">IF(SUMPRODUCT((Cert_Matrix!$A$28:$A$33=E43)*(Cert_Matrix!$AH$28:$AQ$33="X")*(H43:Q43=TRUE))&lt;SUMPRODUCT((Cert_Matrix!$A$28:$A$33=E43)*(Cert_Matrix!$AH$28:$AQ$33="X")),"Thiếu chứng nhận","Đủ điều kiện")</f>
        <v>Đủ điều kiện</v>
      </c>
      <c r="U43" s="287"/>
      <c r="V43" s="290"/>
      <c r="W43" s="257" t="str">
        <f>VLOOKUP(B43,'HC Golf'!C:G,5,0)</f>
        <v>S1</v>
      </c>
    </row>
    <row r="44" spans="1:23">
      <c r="A44" s="256">
        <f>ROWS($B$5:B42)</f>
        <v>38</v>
      </c>
      <c r="B44" s="256" t="s">
        <v>1515</v>
      </c>
      <c r="C44" s="256" t="s">
        <v>662</v>
      </c>
      <c r="D44" s="256" t="s">
        <v>1225</v>
      </c>
      <c r="E44" s="256" t="s">
        <v>1163</v>
      </c>
      <c r="F44" s="256" t="s">
        <v>576</v>
      </c>
      <c r="G44" s="290">
        <v>45998</v>
      </c>
      <c r="H44" s="236" t="b">
        <v>1</v>
      </c>
      <c r="I44" s="236" t="b">
        <v>1</v>
      </c>
      <c r="J44" s="236" t="b">
        <v>1</v>
      </c>
      <c r="K44" s="236" t="b">
        <v>0</v>
      </c>
      <c r="L44" s="236" t="b">
        <v>0</v>
      </c>
      <c r="M44" s="236" t="b">
        <v>1</v>
      </c>
      <c r="N44" s="236" t="b">
        <v>0</v>
      </c>
      <c r="O44" s="236" t="b">
        <v>0</v>
      </c>
      <c r="P44" s="236" t="b">
        <v>0</v>
      </c>
      <c r="Q44" s="236" t="b">
        <v>0</v>
      </c>
      <c r="R44" s="236" t="b">
        <v>1</v>
      </c>
      <c r="S44" s="254" t="b">
        <v>0</v>
      </c>
      <c r="T44" s="256" t="str" cm="1">
        <f t="array" ref="T44">IF(SUMPRODUCT((Cert_Matrix!$A$28:$A$33=E44)*(Cert_Matrix!$AH$28:$AQ$33="X")*(H44:Q44=TRUE))&lt;SUMPRODUCT((Cert_Matrix!$A$28:$A$33=E44)*(Cert_Matrix!$AH$28:$AQ$33="X")),"Thiếu chứng nhận","Đủ điều kiện")</f>
        <v>Đủ điều kiện</v>
      </c>
      <c r="U44" s="287"/>
      <c r="V44" s="290"/>
      <c r="W44" s="257" t="str">
        <f>VLOOKUP(B44,'HC Golf'!C:G,5,0)</f>
        <v>S1</v>
      </c>
    </row>
    <row r="45" spans="1:23">
      <c r="A45" s="256">
        <f>ROWS($B$5:B43)</f>
        <v>39</v>
      </c>
      <c r="B45" s="256" t="s">
        <v>1516</v>
      </c>
      <c r="C45" s="256" t="s">
        <v>1517</v>
      </c>
      <c r="D45" s="256" t="s">
        <v>1225</v>
      </c>
      <c r="E45" s="256" t="s">
        <v>1167</v>
      </c>
      <c r="F45" s="256" t="s">
        <v>576</v>
      </c>
      <c r="G45" s="290">
        <v>46028</v>
      </c>
      <c r="H45" s="236" t="b">
        <v>0</v>
      </c>
      <c r="I45" s="236" t="b">
        <v>0</v>
      </c>
      <c r="J45" s="236" t="b">
        <v>0</v>
      </c>
      <c r="K45" s="236" t="b">
        <v>0</v>
      </c>
      <c r="L45" s="236" t="b">
        <v>0</v>
      </c>
      <c r="M45" s="236" t="b">
        <v>0</v>
      </c>
      <c r="N45" s="236" t="b">
        <v>0</v>
      </c>
      <c r="O45" s="236" t="b">
        <v>0</v>
      </c>
      <c r="P45" s="236" t="b">
        <v>0</v>
      </c>
      <c r="Q45" s="236" t="b">
        <v>0</v>
      </c>
      <c r="R45" s="236" t="b">
        <v>1</v>
      </c>
      <c r="S45" s="254" t="b">
        <v>0</v>
      </c>
      <c r="T45" s="256" t="str" cm="1">
        <f t="array" ref="T45">IF(SUMPRODUCT((Cert_Matrix!$A$28:$A$33=E45)*(Cert_Matrix!$AH$28:$AQ$33="X")*(H45:Q45=TRUE))&lt;SUMPRODUCT((Cert_Matrix!$A$28:$A$33=E45)*(Cert_Matrix!$AH$28:$AQ$33="X")),"Thiếu chứng nhận","Đủ điều kiện")</f>
        <v>Đủ điều kiện</v>
      </c>
      <c r="U45" s="287"/>
      <c r="V45" s="290"/>
      <c r="W45" s="257" t="str">
        <f>VLOOKUP(B45,'HC Golf'!C:G,5,0)</f>
        <v>S1</v>
      </c>
    </row>
    <row r="46" spans="1:23">
      <c r="A46" s="256">
        <f>ROWS($B$5:B44)</f>
        <v>40</v>
      </c>
      <c r="B46" s="256" t="s">
        <v>1518</v>
      </c>
      <c r="C46" s="256" t="s">
        <v>913</v>
      </c>
      <c r="D46" s="256" t="s">
        <v>1225</v>
      </c>
      <c r="E46" s="256" t="s">
        <v>1167</v>
      </c>
      <c r="F46" s="256"/>
      <c r="G46" s="290">
        <v>46170</v>
      </c>
      <c r="H46" s="236" t="b">
        <v>0</v>
      </c>
      <c r="I46" s="236" t="b">
        <v>0</v>
      </c>
      <c r="J46" s="236" t="b">
        <v>0</v>
      </c>
      <c r="K46" s="236" t="b">
        <v>0</v>
      </c>
      <c r="L46" s="236" t="b">
        <v>0</v>
      </c>
      <c r="M46" s="236" t="b">
        <v>0</v>
      </c>
      <c r="N46" s="236" t="b">
        <v>1</v>
      </c>
      <c r="O46" s="236" t="b">
        <v>0</v>
      </c>
      <c r="P46" s="236" t="b">
        <v>1</v>
      </c>
      <c r="Q46" s="236" t="b">
        <v>0</v>
      </c>
      <c r="R46" s="236" t="b">
        <v>0</v>
      </c>
      <c r="S46" s="254" t="b">
        <v>0</v>
      </c>
      <c r="T46" s="256" t="str" cm="1">
        <f t="array" ref="T46">IF(SUMPRODUCT((Cert_Matrix!$A$28:$A$33=E46)*(Cert_Matrix!$AH$28:$AQ$33="X")*(H46:Q46=TRUE))&lt;SUMPRODUCT((Cert_Matrix!$A$28:$A$33=E46)*(Cert_Matrix!$AH$28:$AQ$33="X")),"Thiếu chứng nhận","Đủ điều kiện")</f>
        <v>Đủ điều kiện</v>
      </c>
      <c r="U46" s="287"/>
      <c r="V46" s="290"/>
      <c r="W46" s="257" t="str">
        <f>VLOOKUP(B46,'HC Golf'!C:G,5,0)</f>
        <v>S1</v>
      </c>
    </row>
    <row r="47" spans="1:23">
      <c r="A47" s="256">
        <f>ROWS($B$5:B45)</f>
        <v>41</v>
      </c>
      <c r="B47" s="256" t="s">
        <v>1519</v>
      </c>
      <c r="C47" s="256" t="s">
        <v>592</v>
      </c>
      <c r="D47" s="256" t="s">
        <v>1225</v>
      </c>
      <c r="E47" s="256" t="s">
        <v>1167</v>
      </c>
      <c r="F47" s="256"/>
      <c r="G47" s="290">
        <v>46177</v>
      </c>
      <c r="H47" s="236" t="b">
        <v>0</v>
      </c>
      <c r="I47" s="236" t="b">
        <v>0</v>
      </c>
      <c r="J47" s="236" t="b">
        <v>0</v>
      </c>
      <c r="K47" s="236" t="b">
        <v>0</v>
      </c>
      <c r="L47" s="236" t="b">
        <v>0</v>
      </c>
      <c r="M47" s="236" t="b">
        <v>1</v>
      </c>
      <c r="N47" s="236" t="b">
        <v>1</v>
      </c>
      <c r="O47" s="236" t="b">
        <v>0</v>
      </c>
      <c r="P47" s="236" t="b">
        <v>0</v>
      </c>
      <c r="Q47" s="236" t="b">
        <v>0</v>
      </c>
      <c r="R47" s="236" t="b">
        <v>1</v>
      </c>
      <c r="S47" s="254" t="b">
        <v>0</v>
      </c>
      <c r="T47" s="256" t="str" cm="1">
        <f t="array" ref="T47">IF(SUMPRODUCT((Cert_Matrix!$A$28:$A$33=E47)*(Cert_Matrix!$AH$28:$AQ$33="X")*(H47:Q47=TRUE))&lt;SUMPRODUCT((Cert_Matrix!$A$28:$A$33=E47)*(Cert_Matrix!$AH$28:$AQ$33="X")),"Thiếu chứng nhận","Đủ điều kiện")</f>
        <v>Đủ điều kiện</v>
      </c>
      <c r="U47" s="287"/>
      <c r="V47" s="290"/>
      <c r="W47" s="257" t="str">
        <f>VLOOKUP(B47,'HC Golf'!C:G,5,0)</f>
        <v>S3</v>
      </c>
    </row>
    <row r="48" spans="1:23">
      <c r="A48" s="256">
        <f>ROWS($B$5:B46)</f>
        <v>42</v>
      </c>
      <c r="B48" s="256" t="s">
        <v>1520</v>
      </c>
      <c r="C48" s="256" t="s">
        <v>1521</v>
      </c>
      <c r="D48" s="256" t="s">
        <v>1225</v>
      </c>
      <c r="E48" s="256" t="s">
        <v>1167</v>
      </c>
      <c r="F48" s="256"/>
      <c r="G48" s="290"/>
      <c r="H48" s="236" t="b">
        <v>0</v>
      </c>
      <c r="I48" s="236" t="b">
        <v>0</v>
      </c>
      <c r="J48" s="236" t="b">
        <v>0</v>
      </c>
      <c r="K48" s="236" t="b">
        <v>0</v>
      </c>
      <c r="L48" s="236" t="b">
        <v>0</v>
      </c>
      <c r="M48" s="236" t="b">
        <v>0</v>
      </c>
      <c r="N48" s="236" t="b">
        <v>0</v>
      </c>
      <c r="O48" s="236" t="b">
        <v>0</v>
      </c>
      <c r="P48" s="236" t="b">
        <v>0</v>
      </c>
      <c r="Q48" s="236" t="b">
        <v>0</v>
      </c>
      <c r="R48" s="236" t="b">
        <v>0</v>
      </c>
      <c r="S48" s="254" t="b">
        <v>0</v>
      </c>
      <c r="T48" s="256" t="str" cm="1">
        <f t="array" ref="T48">IF(SUMPRODUCT((Cert_Matrix!$A$28:$A$33=E48)*(Cert_Matrix!$AH$28:$AQ$33="X")*(H48:Q48=TRUE))&lt;SUMPRODUCT((Cert_Matrix!$A$28:$A$33=E48)*(Cert_Matrix!$AH$28:$AQ$33="X")),"Thiếu chứng nhận","Đủ điều kiện")</f>
        <v>Đủ điều kiện</v>
      </c>
      <c r="U48" s="287"/>
      <c r="V48" s="290"/>
      <c r="W48" s="257" t="str">
        <f>VLOOKUP(B48,'HC Golf'!C:G,5,0)</f>
        <v>S2</v>
      </c>
    </row>
    <row r="49" spans="1:23">
      <c r="A49" s="256">
        <f>ROWS($B$5:B47)</f>
        <v>43</v>
      </c>
      <c r="B49" s="256" t="s">
        <v>1522</v>
      </c>
      <c r="C49" s="256" t="s">
        <v>1523</v>
      </c>
      <c r="D49" s="256" t="s">
        <v>1225</v>
      </c>
      <c r="E49" s="256" t="s">
        <v>1167</v>
      </c>
      <c r="F49" s="256"/>
      <c r="G49" s="290"/>
      <c r="H49" s="236" t="b">
        <v>0</v>
      </c>
      <c r="I49" s="236" t="b">
        <v>0</v>
      </c>
      <c r="J49" s="236" t="b">
        <v>0</v>
      </c>
      <c r="K49" s="236" t="b">
        <v>0</v>
      </c>
      <c r="L49" s="236" t="b">
        <v>0</v>
      </c>
      <c r="M49" s="236" t="b">
        <v>0</v>
      </c>
      <c r="N49" s="236" t="b">
        <v>0</v>
      </c>
      <c r="O49" s="236" t="b">
        <v>0</v>
      </c>
      <c r="P49" s="236" t="b">
        <v>0</v>
      </c>
      <c r="Q49" s="236" t="b">
        <v>0</v>
      </c>
      <c r="R49" s="236" t="b">
        <v>0</v>
      </c>
      <c r="S49" s="254" t="b">
        <v>0</v>
      </c>
      <c r="T49" s="256" t="str" cm="1">
        <f t="array" ref="T49">IF(SUMPRODUCT((Cert_Matrix!$A$28:$A$33=E49)*(Cert_Matrix!$AH$28:$AQ$33="X")*(H49:Q49=TRUE))&lt;SUMPRODUCT((Cert_Matrix!$A$28:$A$33=E49)*(Cert_Matrix!$AH$28:$AQ$33="X")),"Thiếu chứng nhận","Đủ điều kiện")</f>
        <v>Đủ điều kiện</v>
      </c>
      <c r="U49" s="287"/>
      <c r="V49" s="290"/>
      <c r="W49" s="257" t="str">
        <f>VLOOKUP(B49,'HC Golf'!C:G,5,0)</f>
        <v>S1</v>
      </c>
    </row>
    <row r="50" spans="1:23">
      <c r="A50" s="256">
        <f>ROWS($B$5:B48)</f>
        <v>44</v>
      </c>
      <c r="B50" s="256" t="s">
        <v>1524</v>
      </c>
      <c r="C50" s="256" t="s">
        <v>1525</v>
      </c>
      <c r="D50" s="256" t="s">
        <v>1225</v>
      </c>
      <c r="E50" s="256" t="s">
        <v>1167</v>
      </c>
      <c r="F50" s="256"/>
      <c r="G50" s="290"/>
      <c r="H50" s="236" t="b">
        <v>0</v>
      </c>
      <c r="I50" s="236" t="b">
        <v>0</v>
      </c>
      <c r="J50" s="236" t="b">
        <v>0</v>
      </c>
      <c r="K50" s="236" t="b">
        <v>0</v>
      </c>
      <c r="L50" s="236" t="b">
        <v>0</v>
      </c>
      <c r="M50" s="236" t="b">
        <v>0</v>
      </c>
      <c r="N50" s="236" t="b">
        <v>0</v>
      </c>
      <c r="O50" s="236" t="b">
        <v>0</v>
      </c>
      <c r="P50" s="236" t="b">
        <v>0</v>
      </c>
      <c r="Q50" s="236" t="b">
        <v>0</v>
      </c>
      <c r="R50" s="236" t="b">
        <v>0</v>
      </c>
      <c r="S50" s="254" t="b">
        <v>0</v>
      </c>
      <c r="T50" s="256" t="str" cm="1">
        <f t="array" ref="T50">IF(SUMPRODUCT((Cert_Matrix!$A$28:$A$33=E50)*(Cert_Matrix!$AH$28:$AQ$33="X")*(H50:Q50=TRUE))&lt;SUMPRODUCT((Cert_Matrix!$A$28:$A$33=E50)*(Cert_Matrix!$AH$28:$AQ$33="X")),"Thiếu chứng nhận","Đủ điều kiện")</f>
        <v>Đủ điều kiện</v>
      </c>
      <c r="U50" s="287"/>
      <c r="V50" s="290"/>
      <c r="W50" s="257" t="str">
        <f>VLOOKUP(B50,'HC Golf'!C:G,5,0)</f>
        <v>S3</v>
      </c>
    </row>
    <row r="51" spans="1:23">
      <c r="A51" s="256">
        <f>ROWS($B$5:B49)</f>
        <v>45</v>
      </c>
      <c r="B51" s="256" t="s">
        <v>1526</v>
      </c>
      <c r="C51" s="256" t="s">
        <v>1527</v>
      </c>
      <c r="D51" s="256" t="s">
        <v>1225</v>
      </c>
      <c r="E51" s="256" t="s">
        <v>1168</v>
      </c>
      <c r="F51" s="256" t="s">
        <v>576</v>
      </c>
      <c r="G51" s="290">
        <v>46153</v>
      </c>
      <c r="H51" s="236" t="b">
        <v>0</v>
      </c>
      <c r="I51" s="236" t="b">
        <v>0</v>
      </c>
      <c r="J51" s="236" t="b">
        <v>0</v>
      </c>
      <c r="K51" s="236" t="b">
        <v>1</v>
      </c>
      <c r="L51" s="236" t="b">
        <v>1</v>
      </c>
      <c r="M51" s="236" t="b">
        <v>0</v>
      </c>
      <c r="N51" s="236" t="b">
        <v>0</v>
      </c>
      <c r="O51" s="236" t="b">
        <v>1</v>
      </c>
      <c r="P51" s="236" t="b">
        <v>0</v>
      </c>
      <c r="Q51" s="236" t="b">
        <v>0</v>
      </c>
      <c r="R51" s="236" t="b">
        <v>0</v>
      </c>
      <c r="S51" s="254" t="b">
        <v>0</v>
      </c>
      <c r="T51" s="256" t="str" cm="1">
        <f t="array" ref="T51">IF(SUMPRODUCT((Cert_Matrix!$A$28:$A$33=E51)*(Cert_Matrix!$AH$28:$AQ$33="X")*(H51:Q51=TRUE))&lt;SUMPRODUCT((Cert_Matrix!$A$28:$A$33=E51)*(Cert_Matrix!$AH$28:$AQ$33="X")),"Thiếu chứng nhận","Đủ điều kiện")</f>
        <v>Đủ điều kiện</v>
      </c>
      <c r="U51" s="287"/>
      <c r="V51" s="290"/>
      <c r="W51" s="257" t="str">
        <f>VLOOKUP(B51,'HC Golf'!C:G,5,0)</f>
        <v>S2</v>
      </c>
    </row>
  </sheetData>
  <sheetProtection algorithmName="SHA-512" hashValue="nlzenWSdh1ut7nQypbgwhcM93dDACddNwogpZmX9nOMQ7Xor43j+DmxsdFUZ3siYKhDZVNfoeaTP6GK4DhaogA==" saltValue="S50BOs9o470bhBWEMQu6ZQ==" spinCount="100000" sheet="1" objects="1" scenarios="1"/>
  <autoFilter ref="A5:G51" xr:uid="{BE36811D-1750-40AC-B090-AB91AB57266A}"/>
  <mergeCells count="9">
    <mergeCell ref="G5:G6"/>
    <mergeCell ref="A2:F3"/>
    <mergeCell ref="H5:S5"/>
    <mergeCell ref="E5:E6"/>
    <mergeCell ref="A5:A6"/>
    <mergeCell ref="B5:B6"/>
    <mergeCell ref="C5:C6"/>
    <mergeCell ref="D5:D6"/>
    <mergeCell ref="F5:F6"/>
  </mergeCells>
  <conditionalFormatting sqref="B1:C1 B4:C1048576">
    <cfRule type="duplicateValues" dxfId="48" priority="4"/>
  </conditionalFormatting>
  <conditionalFormatting sqref="H7:S51">
    <cfRule type="containsText" dxfId="47" priority="1" operator="containsText" text="false">
      <formula>NOT(ISERROR(SEARCH("false",H7)))</formula>
    </cfRule>
  </conditionalFormatting>
  <conditionalFormatting sqref="T1:T1048576">
    <cfRule type="containsText" dxfId="46" priority="2" operator="containsText" text="THIẾU CHỨNG NHẬN">
      <formula>NOT(ISERROR(SEARCH("THIẾU CHỨNG NHẬN",T1)))</formula>
    </cfRule>
  </conditionalFormatting>
  <dataValidations count="1">
    <dataValidation type="list" allowBlank="1" showInputMessage="1" showErrorMessage="1" sqref="U7:U51" xr:uid="{1F84F0D2-ECB1-470F-810D-1356ED6DB241}">
      <formula1>"CHƯA ĐÀO TẠO,ĐANG ĐÀO TẠO,CHỜ ĐÁNH GIÁ,CHỜ CẤP THẺ CNVH,ĐÁNH GIÁ LẠI"</formula1>
    </dataValidation>
  </dataValidations>
  <pageMargins left="0.16" right="0.16" top="0.16" bottom="0.16" header="0.16" footer="0.16"/>
  <pageSetup paperSize="9" scale="7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E78CB-15C6-4EA0-B627-324726079151}">
  <sheetPr>
    <tabColor theme="0" tint="-0.14999847407452621"/>
  </sheetPr>
  <dimension ref="A1:U80"/>
  <sheetViews>
    <sheetView showGridLines="0" zoomScale="90" zoomScaleNormal="90" workbookViewId="0">
      <pane xSplit="7" ySplit="7" topLeftCell="H8" activePane="bottomRight" state="frozen"/>
      <selection pane="bottomRight" activeCell="I84" sqref="I84"/>
      <selection pane="bottomLeft" activeCell="A8" sqref="A8"/>
      <selection pane="topRight" activeCell="H1" sqref="H1"/>
    </sheetView>
  </sheetViews>
  <sheetFormatPr defaultRowHeight="15"/>
  <cols>
    <col min="1" max="1" width="5.28515625" style="257" customWidth="1"/>
    <col min="2" max="2" width="7.28515625" style="257" customWidth="1"/>
    <col min="3" max="3" width="24.85546875" style="257" bestFit="1" customWidth="1"/>
    <col min="4" max="5" width="24.42578125" style="257" customWidth="1"/>
    <col min="6" max="6" width="12.7109375" style="257" hidden="1" customWidth="1"/>
    <col min="7" max="7" width="14.85546875" style="288" bestFit="1" customWidth="1"/>
    <col min="8" max="8" width="7.7109375" style="237" bestFit="1" customWidth="1"/>
    <col min="9" max="9" width="10.42578125" style="237" bestFit="1" customWidth="1"/>
    <col min="10" max="10" width="12.42578125" style="237" bestFit="1" customWidth="1"/>
    <col min="11" max="11" width="19.42578125" style="237" bestFit="1" customWidth="1"/>
    <col min="12" max="12" width="9.85546875" style="237" customWidth="1"/>
    <col min="13" max="13" width="6.42578125" style="237" bestFit="1" customWidth="1"/>
    <col min="14" max="14" width="10.7109375" style="237" bestFit="1" customWidth="1"/>
    <col min="15" max="15" width="7.5703125" style="237" bestFit="1" customWidth="1"/>
    <col min="16" max="16" width="12.28515625" style="237" bestFit="1" customWidth="1"/>
    <col min="17" max="17" width="12.140625" style="237" bestFit="1" customWidth="1"/>
    <col min="18" max="18" width="16.85546875" style="257" bestFit="1" customWidth="1"/>
    <col min="19" max="19" width="15" style="257" bestFit="1" customWidth="1"/>
    <col min="20" max="20" width="14.28515625" style="288" bestFit="1" customWidth="1"/>
    <col min="21" max="16384" width="9.140625" style="257"/>
  </cols>
  <sheetData>
    <row r="1" spans="1:21" ht="15" customHeight="1">
      <c r="H1" s="257"/>
      <c r="I1" s="257"/>
      <c r="J1" s="257"/>
      <c r="K1" s="257"/>
      <c r="L1" s="257"/>
      <c r="M1" s="257"/>
      <c r="N1" s="291" t="s">
        <v>1</v>
      </c>
      <c r="O1" s="292"/>
      <c r="P1" s="292"/>
      <c r="Q1" s="293"/>
    </row>
    <row r="2" spans="1:21" ht="15" customHeight="1">
      <c r="A2" s="367" t="s">
        <v>0</v>
      </c>
      <c r="B2" s="367"/>
      <c r="C2" s="367"/>
      <c r="D2" s="367"/>
      <c r="E2" s="367"/>
      <c r="F2" s="367"/>
      <c r="G2" s="367"/>
      <c r="H2" s="257"/>
      <c r="I2" s="257"/>
      <c r="J2" s="257"/>
      <c r="K2" s="257"/>
      <c r="L2" s="257"/>
      <c r="M2" s="257"/>
      <c r="N2" s="291" t="s">
        <v>2</v>
      </c>
      <c r="O2" s="292"/>
      <c r="P2" s="292"/>
      <c r="Q2" s="293"/>
    </row>
    <row r="3" spans="1:21" ht="15" customHeight="1">
      <c r="A3" s="367"/>
      <c r="B3" s="367"/>
      <c r="C3" s="367"/>
      <c r="D3" s="367"/>
      <c r="E3" s="367"/>
      <c r="F3" s="367"/>
      <c r="G3" s="367"/>
      <c r="H3" s="257"/>
      <c r="I3" s="257"/>
      <c r="J3" s="257"/>
      <c r="K3" s="257"/>
      <c r="L3" s="257"/>
      <c r="M3" s="257"/>
      <c r="N3" s="291" t="s">
        <v>3</v>
      </c>
      <c r="O3" s="292"/>
      <c r="P3" s="292"/>
      <c r="Q3" s="293"/>
    </row>
    <row r="4" spans="1:21" s="295" customFormat="1" ht="15" customHeight="1">
      <c r="G4" s="296"/>
      <c r="N4" s="291" t="s">
        <v>4</v>
      </c>
      <c r="O4" s="292"/>
      <c r="P4" s="292"/>
      <c r="Q4" s="301"/>
      <c r="T4" s="296"/>
    </row>
    <row r="5" spans="1:21" s="285" customFormat="1" ht="15" customHeight="1">
      <c r="A5" s="374" t="s">
        <v>5</v>
      </c>
      <c r="B5" s="374" t="s">
        <v>6</v>
      </c>
      <c r="C5" s="374" t="s">
        <v>1190</v>
      </c>
      <c r="D5" s="374" t="s">
        <v>1191</v>
      </c>
      <c r="E5" s="368" t="s">
        <v>1528</v>
      </c>
      <c r="F5" s="364" t="s">
        <v>8</v>
      </c>
      <c r="G5" s="370" t="s">
        <v>1193</v>
      </c>
      <c r="H5" s="364" t="s">
        <v>10</v>
      </c>
      <c r="I5" s="365"/>
      <c r="J5" s="365"/>
      <c r="K5" s="365"/>
      <c r="L5" s="365"/>
      <c r="M5" s="365"/>
      <c r="N5" s="365"/>
      <c r="O5" s="365"/>
      <c r="P5" s="365"/>
      <c r="Q5" s="366"/>
      <c r="T5" s="305"/>
    </row>
    <row r="6" spans="1:21" s="284" customFormat="1" ht="45">
      <c r="A6" s="374"/>
      <c r="B6" s="374"/>
      <c r="C6" s="374"/>
      <c r="D6" s="374"/>
      <c r="E6" s="369"/>
      <c r="F6" s="374"/>
      <c r="G6" s="371"/>
      <c r="H6" s="289" t="s">
        <v>1086</v>
      </c>
      <c r="I6" s="289" t="s">
        <v>1087</v>
      </c>
      <c r="J6" s="289" t="s">
        <v>1088</v>
      </c>
      <c r="K6" s="289" t="s">
        <v>1089</v>
      </c>
      <c r="L6" s="289" t="s">
        <v>68</v>
      </c>
      <c r="M6" s="289" t="s">
        <v>1090</v>
      </c>
      <c r="N6" s="289" t="s">
        <v>1081</v>
      </c>
      <c r="O6" s="289" t="s">
        <v>1091</v>
      </c>
      <c r="P6" s="289" t="s">
        <v>1417</v>
      </c>
      <c r="Q6" s="289" t="s">
        <v>1200</v>
      </c>
      <c r="R6" s="286" t="s">
        <v>1201</v>
      </c>
      <c r="S6" s="286" t="s">
        <v>1202</v>
      </c>
      <c r="T6" s="315" t="s">
        <v>1203</v>
      </c>
    </row>
    <row r="7" spans="1:21">
      <c r="A7" s="256">
        <f>ROWS($B$5:B5)</f>
        <v>1</v>
      </c>
      <c r="B7" s="256" t="s">
        <v>810</v>
      </c>
      <c r="C7" s="256" t="s">
        <v>811</v>
      </c>
      <c r="D7" s="256" t="s">
        <v>1292</v>
      </c>
      <c r="E7" s="256" t="s">
        <v>1170</v>
      </c>
      <c r="F7" s="256" t="s">
        <v>393</v>
      </c>
      <c r="G7" s="290"/>
      <c r="H7" s="236" t="b">
        <v>1</v>
      </c>
      <c r="I7" s="236" t="b">
        <v>1</v>
      </c>
      <c r="J7" s="236" t="b">
        <v>1</v>
      </c>
      <c r="K7" s="236" t="b">
        <v>1</v>
      </c>
      <c r="L7" s="236" t="b">
        <v>1</v>
      </c>
      <c r="M7" s="236" t="b">
        <v>1</v>
      </c>
      <c r="N7" s="236" t="b">
        <v>0</v>
      </c>
      <c r="O7" s="236" t="b">
        <v>0</v>
      </c>
      <c r="P7" s="236" t="b">
        <v>0</v>
      </c>
      <c r="Q7" s="236" t="b">
        <v>0</v>
      </c>
      <c r="R7" s="256" t="str" cm="1">
        <f t="array" ref="R7">IF(SUMPRODUCT((Cert_Matrix!$A$34:$A$38=E7)*(Cert_Matrix!$AR$34:$AY$38="X")*(H7:O7=TRUE))&lt;SUMPRODUCT((Cert_Matrix!$A$34:$A$38=E7)*(Cert_Matrix!$AR$34:$AY$38="X")),"Thiếu chứng nhận","Đủ điều kiện")</f>
        <v>Đủ điều kiện</v>
      </c>
      <c r="S7" s="287"/>
      <c r="T7" s="290"/>
      <c r="U7" s="257" t="str">
        <f>VLOOKUP(B7,'HC Golf'!C:G,5,0)</f>
        <v>S2</v>
      </c>
    </row>
    <row r="8" spans="1:21">
      <c r="A8" s="256">
        <f>ROWS($B$5:B6)</f>
        <v>2</v>
      </c>
      <c r="B8" s="256" t="s">
        <v>649</v>
      </c>
      <c r="C8" s="256" t="s">
        <v>650</v>
      </c>
      <c r="D8" s="256" t="s">
        <v>1292</v>
      </c>
      <c r="E8" s="256" t="s">
        <v>1170</v>
      </c>
      <c r="F8" s="256" t="s">
        <v>393</v>
      </c>
      <c r="G8" s="290"/>
      <c r="H8" s="236" t="b">
        <v>1</v>
      </c>
      <c r="I8" s="236" t="b">
        <v>1</v>
      </c>
      <c r="J8" s="236" t="b">
        <v>1</v>
      </c>
      <c r="K8" s="236" t="b">
        <v>1</v>
      </c>
      <c r="L8" s="236" t="b">
        <v>1</v>
      </c>
      <c r="M8" s="236" t="b">
        <v>1</v>
      </c>
      <c r="N8" s="236" t="b">
        <v>0</v>
      </c>
      <c r="O8" s="236" t="b">
        <v>0</v>
      </c>
      <c r="P8" s="236" t="b">
        <v>1</v>
      </c>
      <c r="Q8" s="236" t="b">
        <v>1</v>
      </c>
      <c r="R8" s="256" t="str" cm="1">
        <f t="array" ref="R8">IF(SUMPRODUCT((Cert_Matrix!$A$34:$A$38=E8)*(Cert_Matrix!$AR$34:$AY$38="X")*(H8:O8=TRUE))&lt;SUMPRODUCT((Cert_Matrix!$A$34:$A$38=E8)*(Cert_Matrix!$AR$34:$AY$38="X")),"Thiếu chứng nhận","Đủ điều kiện")</f>
        <v>Đủ điều kiện</v>
      </c>
      <c r="S8" s="287"/>
      <c r="T8" s="290"/>
      <c r="U8" s="257" t="str">
        <f>VLOOKUP(B8,'HC Golf'!C:G,5,0)</f>
        <v>S2</v>
      </c>
    </row>
    <row r="9" spans="1:21">
      <c r="A9" s="256">
        <f>ROWS($B$5:B7)</f>
        <v>3</v>
      </c>
      <c r="B9" s="256" t="s">
        <v>1529</v>
      </c>
      <c r="C9" s="256" t="s">
        <v>1530</v>
      </c>
      <c r="D9" s="256" t="s">
        <v>1531</v>
      </c>
      <c r="E9" s="256" t="s">
        <v>1170</v>
      </c>
      <c r="F9" s="256" t="s">
        <v>393</v>
      </c>
      <c r="G9" s="290"/>
      <c r="H9" s="236" t="b">
        <v>0</v>
      </c>
      <c r="I9" s="236" t="b">
        <v>0</v>
      </c>
      <c r="J9" s="236" t="b">
        <v>0</v>
      </c>
      <c r="K9" s="236" t="b">
        <v>0</v>
      </c>
      <c r="L9" s="236" t="b">
        <v>0</v>
      </c>
      <c r="M9" s="236" t="b">
        <v>0</v>
      </c>
      <c r="N9" s="236" t="b">
        <v>0</v>
      </c>
      <c r="O9" s="236" t="b">
        <v>0</v>
      </c>
      <c r="P9" s="236" t="b">
        <v>0</v>
      </c>
      <c r="Q9" s="236" t="b">
        <v>0</v>
      </c>
      <c r="R9" s="256" t="str" cm="1">
        <f t="array" ref="R9">IF(SUMPRODUCT((Cert_Matrix!$A$34:$A$38=E9)*(Cert_Matrix!$AR$34:$AY$38="X")*(H9:O9=TRUE))&lt;SUMPRODUCT((Cert_Matrix!$A$34:$A$38=E9)*(Cert_Matrix!$AR$34:$AY$38="X")),"Thiếu chứng nhận","Đủ điều kiện")</f>
        <v>Đủ điều kiện</v>
      </c>
      <c r="S9" s="287"/>
      <c r="T9" s="290"/>
      <c r="U9" s="257" t="str">
        <f>VLOOKUP(B9,'HC Golf'!C:G,5,0)</f>
        <v>S2</v>
      </c>
    </row>
    <row r="10" spans="1:21">
      <c r="A10" s="256">
        <f>ROWS($B$5:B8)</f>
        <v>4</v>
      </c>
      <c r="B10" s="256" t="s">
        <v>1532</v>
      </c>
      <c r="C10" s="256" t="s">
        <v>1533</v>
      </c>
      <c r="D10" s="256" t="s">
        <v>1297</v>
      </c>
      <c r="E10" s="256" t="s">
        <v>1170</v>
      </c>
      <c r="F10" s="256" t="s">
        <v>393</v>
      </c>
      <c r="G10" s="290"/>
      <c r="H10" s="236" t="b">
        <v>1</v>
      </c>
      <c r="I10" s="236" t="b">
        <v>1</v>
      </c>
      <c r="J10" s="236" t="b">
        <v>1</v>
      </c>
      <c r="K10" s="236" t="b">
        <v>0</v>
      </c>
      <c r="L10" s="236" t="b">
        <v>1</v>
      </c>
      <c r="M10" s="236" t="b">
        <v>1</v>
      </c>
      <c r="N10" s="236" t="b">
        <v>0</v>
      </c>
      <c r="O10" s="236" t="b">
        <v>0</v>
      </c>
      <c r="P10" s="236" t="b">
        <v>0</v>
      </c>
      <c r="Q10" s="236" t="b">
        <v>0</v>
      </c>
      <c r="R10" s="256" t="str" cm="1">
        <f t="array" ref="R10">IF(SUMPRODUCT((Cert_Matrix!$A$34:$A$38=E10)*(Cert_Matrix!$AR$34:$AY$38="X")*(H10:O10=TRUE))&lt;SUMPRODUCT((Cert_Matrix!$A$34:$A$38=E10)*(Cert_Matrix!$AR$34:$AY$38="X")),"Thiếu chứng nhận","Đủ điều kiện")</f>
        <v>Đủ điều kiện</v>
      </c>
      <c r="S10" s="287"/>
      <c r="T10" s="290"/>
      <c r="U10" s="257" t="str">
        <f>VLOOKUP(B10,'HC Golf'!C:G,5,0)</f>
        <v>S2</v>
      </c>
    </row>
    <row r="11" spans="1:21">
      <c r="A11" s="256">
        <f>ROWS($B$5:B9)</f>
        <v>5</v>
      </c>
      <c r="B11" s="256" t="s">
        <v>1534</v>
      </c>
      <c r="C11" s="256" t="s">
        <v>1535</v>
      </c>
      <c r="D11" s="256" t="s">
        <v>1536</v>
      </c>
      <c r="E11" s="256" t="s">
        <v>1170</v>
      </c>
      <c r="F11" s="256" t="s">
        <v>393</v>
      </c>
      <c r="G11" s="290"/>
      <c r="H11" s="236" t="b">
        <v>0</v>
      </c>
      <c r="I11" s="236" t="b">
        <v>0</v>
      </c>
      <c r="J11" s="236" t="b">
        <v>0</v>
      </c>
      <c r="K11" s="236" t="b">
        <v>0</v>
      </c>
      <c r="L11" s="236" t="b">
        <v>0</v>
      </c>
      <c r="M11" s="236" t="b">
        <v>0</v>
      </c>
      <c r="N11" s="236" t="b">
        <v>0</v>
      </c>
      <c r="O11" s="236" t="b">
        <v>0</v>
      </c>
      <c r="P11" s="236" t="b">
        <v>0</v>
      </c>
      <c r="Q11" s="236" t="b">
        <v>0</v>
      </c>
      <c r="R11" s="256" t="str" cm="1">
        <f t="array" ref="R11">IF(SUMPRODUCT((Cert_Matrix!$A$34:$A$38=E11)*(Cert_Matrix!$AR$34:$AY$38="X")*(H11:O11=TRUE))&lt;SUMPRODUCT((Cert_Matrix!$A$34:$A$38=E11)*(Cert_Matrix!$AR$34:$AY$38="X")),"Thiếu chứng nhận","Đủ điều kiện")</f>
        <v>Đủ điều kiện</v>
      </c>
      <c r="S11" s="287"/>
      <c r="T11" s="290"/>
      <c r="U11" s="257" t="str">
        <f>VLOOKUP(B11,'HC Golf'!C:G,5,0)</f>
        <v>S1</v>
      </c>
    </row>
    <row r="12" spans="1:21">
      <c r="A12" s="256">
        <f>ROWS($B$5:B10)</f>
        <v>6</v>
      </c>
      <c r="B12" s="256" t="s">
        <v>402</v>
      </c>
      <c r="C12" s="256" t="s">
        <v>403</v>
      </c>
      <c r="D12" s="256" t="s">
        <v>1537</v>
      </c>
      <c r="E12" s="256" t="s">
        <v>1155</v>
      </c>
      <c r="F12" s="256" t="s">
        <v>393</v>
      </c>
      <c r="G12" s="290"/>
      <c r="H12" s="236" t="b">
        <v>0</v>
      </c>
      <c r="I12" s="236" t="b">
        <v>0</v>
      </c>
      <c r="J12" s="236" t="b">
        <v>0</v>
      </c>
      <c r="K12" s="236" t="b">
        <v>1</v>
      </c>
      <c r="L12" s="236" t="b">
        <v>0</v>
      </c>
      <c r="M12" s="236" t="b">
        <v>1</v>
      </c>
      <c r="N12" s="236" t="b">
        <v>0</v>
      </c>
      <c r="O12" s="236" t="b">
        <v>0</v>
      </c>
      <c r="P12" s="236" t="b">
        <v>0</v>
      </c>
      <c r="Q12" s="236" t="b">
        <v>0</v>
      </c>
      <c r="R12" s="256" t="str" cm="1">
        <f t="array" ref="R12">IF(SUMPRODUCT((Cert_Matrix!$A$34:$A$38=E12)*(Cert_Matrix!$AR$34:$AY$38="X")*(H12:O12=TRUE))&lt;SUMPRODUCT((Cert_Matrix!$A$34:$A$38=E12)*(Cert_Matrix!$AR$34:$AY$38="X")),"Thiếu chứng nhận","Đủ điều kiện")</f>
        <v>Đủ điều kiện</v>
      </c>
      <c r="S12" s="287"/>
      <c r="T12" s="290"/>
      <c r="U12" s="257" t="str">
        <f>VLOOKUP(B12,'HC Golf'!C:G,5,0)</f>
        <v>S2</v>
      </c>
    </row>
    <row r="13" spans="1:21">
      <c r="A13" s="256">
        <f>ROWS($B$5:B11)</f>
        <v>7</v>
      </c>
      <c r="B13" s="256" t="s">
        <v>1538</v>
      </c>
      <c r="C13" s="256" t="s">
        <v>804</v>
      </c>
      <c r="D13" s="256" t="s">
        <v>1539</v>
      </c>
      <c r="E13" s="256" t="s">
        <v>1169</v>
      </c>
      <c r="F13" s="256" t="s">
        <v>393</v>
      </c>
      <c r="G13" s="290"/>
      <c r="H13" s="236" t="b">
        <v>0</v>
      </c>
      <c r="I13" s="236" t="b">
        <v>0</v>
      </c>
      <c r="J13" s="236" t="b">
        <v>1</v>
      </c>
      <c r="K13" s="236" t="b">
        <v>0</v>
      </c>
      <c r="L13" s="236" t="b">
        <v>0</v>
      </c>
      <c r="M13" s="236" t="b">
        <v>0</v>
      </c>
      <c r="N13" s="236" t="b">
        <v>0</v>
      </c>
      <c r="O13" s="236" t="b">
        <v>0</v>
      </c>
      <c r="P13" s="236" t="b">
        <v>0</v>
      </c>
      <c r="Q13" s="236" t="b">
        <v>0</v>
      </c>
      <c r="R13" s="256" t="str" cm="1">
        <f t="array" ref="R13">IF(SUMPRODUCT((Cert_Matrix!$A$34:$A$38=E13)*(Cert_Matrix!$AR$34:$AY$38="X")*(H13:O13=TRUE))&lt;SUMPRODUCT((Cert_Matrix!$A$34:$A$38=E13)*(Cert_Matrix!$AR$34:$AY$38="X")),"Thiếu chứng nhận","Đủ điều kiện")</f>
        <v>Đủ điều kiện</v>
      </c>
      <c r="S13" s="287"/>
      <c r="T13" s="290"/>
      <c r="U13" s="257" t="str">
        <f>VLOOKUP(B13,'HC Golf'!C:G,5,0)</f>
        <v>S2</v>
      </c>
    </row>
    <row r="14" spans="1:21">
      <c r="A14" s="256">
        <f>ROWS($B$5:B12)</f>
        <v>8</v>
      </c>
      <c r="B14" s="256" t="s">
        <v>1540</v>
      </c>
      <c r="C14" s="256" t="s">
        <v>1541</v>
      </c>
      <c r="D14" s="256" t="s">
        <v>1536</v>
      </c>
      <c r="E14" s="256" t="s">
        <v>1170</v>
      </c>
      <c r="F14" s="256" t="s">
        <v>393</v>
      </c>
      <c r="G14" s="290">
        <v>46122</v>
      </c>
      <c r="H14" s="236" t="b">
        <v>0</v>
      </c>
      <c r="I14" s="236" t="b">
        <v>0</v>
      </c>
      <c r="J14" s="236" t="b">
        <v>0</v>
      </c>
      <c r="K14" s="236" t="b">
        <v>0</v>
      </c>
      <c r="L14" s="236" t="b">
        <v>1</v>
      </c>
      <c r="M14" s="236" t="b">
        <v>0</v>
      </c>
      <c r="N14" s="236" t="b">
        <v>0</v>
      </c>
      <c r="O14" s="236" t="b">
        <v>0</v>
      </c>
      <c r="P14" s="236" t="b">
        <v>0</v>
      </c>
      <c r="Q14" s="236" t="b">
        <v>0</v>
      </c>
      <c r="R14" s="256" t="str" cm="1">
        <f t="array" ref="R14">IF(SUMPRODUCT((Cert_Matrix!$A$34:$A$38=E14)*(Cert_Matrix!$AR$34:$AY$38="X")*(H14:O14=TRUE))&lt;SUMPRODUCT((Cert_Matrix!$A$34:$A$38=E14)*(Cert_Matrix!$AR$34:$AY$38="X")),"Thiếu chứng nhận","Đủ điều kiện")</f>
        <v>Đủ điều kiện</v>
      </c>
      <c r="S14" s="287"/>
      <c r="T14" s="290"/>
      <c r="U14" s="257" t="str">
        <f>VLOOKUP(B14,'HC Golf'!C:G,5,0)</f>
        <v>S2</v>
      </c>
    </row>
    <row r="15" spans="1:21">
      <c r="A15" s="256">
        <f>ROWS($B$5:B13)</f>
        <v>9</v>
      </c>
      <c r="B15" s="256" t="s">
        <v>737</v>
      </c>
      <c r="C15" s="256" t="s">
        <v>738</v>
      </c>
      <c r="D15" s="256" t="s">
        <v>1536</v>
      </c>
      <c r="E15" s="256" t="s">
        <v>1170</v>
      </c>
      <c r="F15" s="256" t="s">
        <v>393</v>
      </c>
      <c r="G15" s="290"/>
      <c r="H15" s="236" t="b">
        <v>0</v>
      </c>
      <c r="I15" s="236" t="b">
        <v>0</v>
      </c>
      <c r="J15" s="236" t="b">
        <v>0</v>
      </c>
      <c r="K15" s="236" t="b">
        <v>1</v>
      </c>
      <c r="L15" s="236" t="b">
        <v>0</v>
      </c>
      <c r="M15" s="236" t="b">
        <v>1</v>
      </c>
      <c r="N15" s="236" t="b">
        <v>0</v>
      </c>
      <c r="O15" s="236" t="b">
        <v>0</v>
      </c>
      <c r="P15" s="236" t="b">
        <v>0</v>
      </c>
      <c r="Q15" s="236" t="b">
        <v>0</v>
      </c>
      <c r="R15" s="256" t="str" cm="1">
        <f t="array" ref="R15">IF(SUMPRODUCT((Cert_Matrix!$A$34:$A$38=E15)*(Cert_Matrix!$AR$34:$AY$38="X")*(H15:O15=TRUE))&lt;SUMPRODUCT((Cert_Matrix!$A$34:$A$38=E15)*(Cert_Matrix!$AR$34:$AY$38="X")),"Thiếu chứng nhận","Đủ điều kiện")</f>
        <v>Đủ điều kiện</v>
      </c>
      <c r="S15" s="287"/>
      <c r="T15" s="290"/>
      <c r="U15" s="257" t="str">
        <f>VLOOKUP(B15,'HC Golf'!C:G,5,0)</f>
        <v>S2</v>
      </c>
    </row>
    <row r="16" spans="1:21">
      <c r="A16" s="256">
        <f>ROWS($B$5:B14)</f>
        <v>10</v>
      </c>
      <c r="B16" s="256" t="s">
        <v>391</v>
      </c>
      <c r="C16" s="256" t="s">
        <v>392</v>
      </c>
      <c r="D16" s="256" t="s">
        <v>1542</v>
      </c>
      <c r="E16" s="256" t="s">
        <v>1172</v>
      </c>
      <c r="F16" s="256" t="s">
        <v>393</v>
      </c>
      <c r="G16" s="290"/>
      <c r="H16" s="236" t="b">
        <v>1</v>
      </c>
      <c r="I16" s="236" t="b">
        <v>1</v>
      </c>
      <c r="J16" s="236" t="b">
        <v>0</v>
      </c>
      <c r="K16" s="236" t="b">
        <v>0</v>
      </c>
      <c r="L16" s="236" t="b">
        <v>0</v>
      </c>
      <c r="M16" s="236" t="b">
        <v>0</v>
      </c>
      <c r="N16" s="236" t="b">
        <v>0</v>
      </c>
      <c r="O16" s="236" t="b">
        <v>0</v>
      </c>
      <c r="P16" s="236" t="b">
        <v>0</v>
      </c>
      <c r="Q16" s="236" t="b">
        <v>0</v>
      </c>
      <c r="R16" s="256" t="str" cm="1">
        <f t="array" ref="R16">IF(SUMPRODUCT((Cert_Matrix!$A$34:$A$38=E16)*(Cert_Matrix!$AR$34:$AY$38="X")*(H16:O16=TRUE))&lt;SUMPRODUCT((Cert_Matrix!$A$34:$A$38=E16)*(Cert_Matrix!$AR$34:$AY$38="X")),"Thiếu chứng nhận","Đủ điều kiện")</f>
        <v>Đủ điều kiện</v>
      </c>
      <c r="S16" s="287"/>
      <c r="T16" s="290"/>
      <c r="U16" s="257" t="str">
        <f>VLOOKUP(B16,'HC Golf'!C:G,5,0)</f>
        <v>S2</v>
      </c>
    </row>
    <row r="17" spans="1:21">
      <c r="A17" s="256">
        <f>ROWS($B$5:B15)</f>
        <v>11</v>
      </c>
      <c r="B17" s="256" t="s">
        <v>408</v>
      </c>
      <c r="C17" s="256" t="s">
        <v>409</v>
      </c>
      <c r="D17" s="256" t="s">
        <v>1536</v>
      </c>
      <c r="E17" s="256" t="s">
        <v>1171</v>
      </c>
      <c r="F17" s="256" t="s">
        <v>393</v>
      </c>
      <c r="G17" s="290"/>
      <c r="H17" s="236" t="b">
        <v>0</v>
      </c>
      <c r="I17" s="236" t="b">
        <v>0</v>
      </c>
      <c r="J17" s="236" t="b">
        <v>0</v>
      </c>
      <c r="K17" s="236" t="b">
        <v>0</v>
      </c>
      <c r="L17" s="236" t="b">
        <v>1</v>
      </c>
      <c r="M17" s="236" t="b">
        <v>0</v>
      </c>
      <c r="N17" s="236" t="b">
        <v>0</v>
      </c>
      <c r="O17" s="236" t="b">
        <v>0</v>
      </c>
      <c r="P17" s="236" t="b">
        <v>0</v>
      </c>
      <c r="Q17" s="236" t="b">
        <v>0</v>
      </c>
      <c r="R17" s="256" t="str" cm="1">
        <f t="array" ref="R17">IF(SUMPRODUCT((Cert_Matrix!$A$34:$A$38=E17)*(Cert_Matrix!$AR$34:$AY$38="X")*(H17:O17=TRUE))&lt;SUMPRODUCT((Cert_Matrix!$A$34:$A$38=E17)*(Cert_Matrix!$AR$34:$AY$38="X")),"Thiếu chứng nhận","Đủ điều kiện")</f>
        <v>Đủ điều kiện</v>
      </c>
      <c r="S17" s="287"/>
      <c r="T17" s="290"/>
      <c r="U17" s="257" t="str">
        <f>VLOOKUP(B17,'HC Golf'!C:G,5,0)</f>
        <v>S2</v>
      </c>
    </row>
    <row r="18" spans="1:21">
      <c r="A18" s="256">
        <f>ROWS($B$5:B16)</f>
        <v>12</v>
      </c>
      <c r="B18" s="256" t="s">
        <v>1543</v>
      </c>
      <c r="C18" s="256" t="s">
        <v>1544</v>
      </c>
      <c r="D18" s="256" t="s">
        <v>1536</v>
      </c>
      <c r="E18" s="256" t="s">
        <v>1170</v>
      </c>
      <c r="F18" s="256" t="s">
        <v>393</v>
      </c>
      <c r="G18" s="290"/>
      <c r="H18" s="236" t="b">
        <v>0</v>
      </c>
      <c r="I18" s="236" t="b">
        <v>0</v>
      </c>
      <c r="J18" s="236" t="b">
        <v>0</v>
      </c>
      <c r="K18" s="236" t="b">
        <v>0</v>
      </c>
      <c r="L18" s="236" t="b">
        <v>0</v>
      </c>
      <c r="M18" s="236" t="b">
        <v>0</v>
      </c>
      <c r="N18" s="236" t="b">
        <v>0</v>
      </c>
      <c r="O18" s="236" t="b">
        <v>0</v>
      </c>
      <c r="P18" s="236" t="b">
        <v>0</v>
      </c>
      <c r="Q18" s="236" t="b">
        <v>0</v>
      </c>
      <c r="R18" s="256" t="str" cm="1">
        <f t="array" ref="R18">IF(SUMPRODUCT((Cert_Matrix!$A$34:$A$38=E18)*(Cert_Matrix!$AR$34:$AY$38="X")*(H18:O18=TRUE))&lt;SUMPRODUCT((Cert_Matrix!$A$34:$A$38=E18)*(Cert_Matrix!$AR$34:$AY$38="X")),"Thiếu chứng nhận","Đủ điều kiện")</f>
        <v>Đủ điều kiện</v>
      </c>
      <c r="S18" s="287"/>
      <c r="T18" s="290"/>
      <c r="U18" s="257" t="str">
        <f>VLOOKUP(B18,'HC Golf'!C:G,5,0)</f>
        <v>S2</v>
      </c>
    </row>
    <row r="19" spans="1:21">
      <c r="A19" s="256">
        <f>ROWS($B$5:B17)</f>
        <v>13</v>
      </c>
      <c r="B19" s="256" t="s">
        <v>416</v>
      </c>
      <c r="C19" s="256" t="s">
        <v>417</v>
      </c>
      <c r="D19" s="256" t="s">
        <v>1537</v>
      </c>
      <c r="E19" s="256" t="s">
        <v>1171</v>
      </c>
      <c r="F19" s="256" t="s">
        <v>393</v>
      </c>
      <c r="G19" s="290"/>
      <c r="H19" s="236" t="b">
        <v>0</v>
      </c>
      <c r="I19" s="236" t="b">
        <v>0</v>
      </c>
      <c r="J19" s="236" t="b">
        <v>0</v>
      </c>
      <c r="K19" s="236" t="b">
        <v>0</v>
      </c>
      <c r="L19" s="236" t="b">
        <v>1</v>
      </c>
      <c r="M19" s="236" t="b">
        <v>0</v>
      </c>
      <c r="N19" s="236" t="b">
        <v>0</v>
      </c>
      <c r="O19" s="236" t="b">
        <v>0</v>
      </c>
      <c r="P19" s="236" t="b">
        <v>0</v>
      </c>
      <c r="Q19" s="236" t="b">
        <v>0</v>
      </c>
      <c r="R19" s="256" t="str" cm="1">
        <f t="array" ref="R19">IF(SUMPRODUCT((Cert_Matrix!$A$34:$A$38=E19)*(Cert_Matrix!$AR$34:$AY$38="X")*(H19:O19=TRUE))&lt;SUMPRODUCT((Cert_Matrix!$A$34:$A$38=E19)*(Cert_Matrix!$AR$34:$AY$38="X")),"Thiếu chứng nhận","Đủ điều kiện")</f>
        <v>Đủ điều kiện</v>
      </c>
      <c r="S19" s="287"/>
      <c r="T19" s="290"/>
      <c r="U19" s="257" t="str">
        <f>VLOOKUP(B19,'HC Golf'!C:G,5,0)</f>
        <v>S2</v>
      </c>
    </row>
    <row r="20" spans="1:21">
      <c r="A20" s="256">
        <f>ROWS($B$5:B18)</f>
        <v>14</v>
      </c>
      <c r="B20" s="256" t="s">
        <v>404</v>
      </c>
      <c r="C20" s="256" t="s">
        <v>405</v>
      </c>
      <c r="D20" s="256" t="s">
        <v>1545</v>
      </c>
      <c r="E20" s="256" t="s">
        <v>1169</v>
      </c>
      <c r="F20" s="256" t="s">
        <v>393</v>
      </c>
      <c r="G20" s="290"/>
      <c r="H20" s="236" t="b">
        <v>0</v>
      </c>
      <c r="I20" s="236" t="b">
        <v>0</v>
      </c>
      <c r="J20" s="236" t="b">
        <v>1</v>
      </c>
      <c r="K20" s="236" t="b">
        <v>1</v>
      </c>
      <c r="L20" s="236" t="b">
        <v>0</v>
      </c>
      <c r="M20" s="236" t="b">
        <v>0</v>
      </c>
      <c r="N20" s="236" t="b">
        <v>0</v>
      </c>
      <c r="O20" s="236" t="b">
        <v>0</v>
      </c>
      <c r="P20" s="236" t="b">
        <v>0</v>
      </c>
      <c r="Q20" s="236" t="b">
        <v>0</v>
      </c>
      <c r="R20" s="256" t="str" cm="1">
        <f t="array" ref="R20">IF(SUMPRODUCT((Cert_Matrix!$A$34:$A$38=E20)*(Cert_Matrix!$AR$34:$AY$38="X")*(H20:O20=TRUE))&lt;SUMPRODUCT((Cert_Matrix!$A$34:$A$38=E20)*(Cert_Matrix!$AR$34:$AY$38="X")),"Thiếu chứng nhận","Đủ điều kiện")</f>
        <v>Đủ điều kiện</v>
      </c>
      <c r="S20" s="287"/>
      <c r="T20" s="290"/>
      <c r="U20" s="257" t="str">
        <f>VLOOKUP(B20,'HC Golf'!C:G,5,0)</f>
        <v>S2</v>
      </c>
    </row>
    <row r="21" spans="1:21">
      <c r="A21" s="256">
        <f>ROWS($B$5:B20)</f>
        <v>16</v>
      </c>
      <c r="B21" s="256" t="s">
        <v>1546</v>
      </c>
      <c r="C21" s="256" t="s">
        <v>1547</v>
      </c>
      <c r="D21" s="256" t="s">
        <v>1537</v>
      </c>
      <c r="E21" s="256" t="s">
        <v>1171</v>
      </c>
      <c r="F21" s="256" t="s">
        <v>393</v>
      </c>
      <c r="G21" s="290">
        <v>46006</v>
      </c>
      <c r="H21" s="236" t="b">
        <v>0</v>
      </c>
      <c r="I21" s="236" t="b">
        <v>0</v>
      </c>
      <c r="J21" s="236" t="b">
        <v>0</v>
      </c>
      <c r="K21" s="236" t="b">
        <v>0</v>
      </c>
      <c r="L21" s="236" t="b">
        <v>1</v>
      </c>
      <c r="M21" s="236" t="b">
        <v>0</v>
      </c>
      <c r="N21" s="236" t="b">
        <v>0</v>
      </c>
      <c r="O21" s="236" t="b">
        <v>1</v>
      </c>
      <c r="P21" s="236" t="b">
        <v>0</v>
      </c>
      <c r="Q21" s="236" t="b">
        <v>0</v>
      </c>
      <c r="R21" s="256" t="str" cm="1">
        <f t="array" ref="R21">IF(SUMPRODUCT((Cert_Matrix!$A$34:$A$38=E21)*(Cert_Matrix!$AR$34:$AY$38="X")*(H21:O21=TRUE))&lt;SUMPRODUCT((Cert_Matrix!$A$34:$A$38=E21)*(Cert_Matrix!$AR$34:$AY$38="X")),"Thiếu chứng nhận","Đủ điều kiện")</f>
        <v>Đủ điều kiện</v>
      </c>
      <c r="S21" s="287"/>
      <c r="T21" s="290"/>
      <c r="U21" s="257" t="str">
        <f>VLOOKUP(B21,'HC Golf'!C:G,5,0)</f>
        <v>S2</v>
      </c>
    </row>
    <row r="22" spans="1:21">
      <c r="A22" s="256">
        <f>ROWS($B$5:B20)</f>
        <v>16</v>
      </c>
      <c r="B22" s="256" t="s">
        <v>1548</v>
      </c>
      <c r="C22" s="256" t="s">
        <v>1549</v>
      </c>
      <c r="D22" s="256" t="s">
        <v>1225</v>
      </c>
      <c r="E22" s="256" t="s">
        <v>1170</v>
      </c>
      <c r="F22" s="256" t="s">
        <v>393</v>
      </c>
      <c r="G22" s="290">
        <v>46001</v>
      </c>
      <c r="H22" s="236" t="b">
        <v>0</v>
      </c>
      <c r="I22" s="236" t="b">
        <v>0</v>
      </c>
      <c r="J22" s="236" t="b">
        <v>0</v>
      </c>
      <c r="K22" s="236" t="b">
        <v>0</v>
      </c>
      <c r="L22" s="236" t="b">
        <v>0</v>
      </c>
      <c r="M22" s="236" t="b">
        <v>0</v>
      </c>
      <c r="N22" s="236" t="b">
        <v>0</v>
      </c>
      <c r="O22" s="236" t="b">
        <v>0</v>
      </c>
      <c r="P22" s="236" t="b">
        <v>0</v>
      </c>
      <c r="Q22" s="236" t="b">
        <v>0</v>
      </c>
      <c r="R22" s="256" t="str" cm="1">
        <f t="array" ref="R22">IF(SUMPRODUCT((Cert_Matrix!$A$34:$A$38=E22)*(Cert_Matrix!$AR$34:$AY$38="X")*(H22:O22=TRUE))&lt;SUMPRODUCT((Cert_Matrix!$A$34:$A$38=E22)*(Cert_Matrix!$AR$34:$AY$38="X")),"Thiếu chứng nhận","Đủ điều kiện")</f>
        <v>Đủ điều kiện</v>
      </c>
      <c r="S22" s="287"/>
      <c r="T22" s="290"/>
      <c r="U22" s="257" t="str">
        <f>VLOOKUP(B22,'HC Golf'!C:G,5,0)</f>
        <v>S2</v>
      </c>
    </row>
    <row r="23" spans="1:21">
      <c r="A23" s="256">
        <f>ROWS($B$5:B21)</f>
        <v>17</v>
      </c>
      <c r="B23" s="256" t="s">
        <v>1550</v>
      </c>
      <c r="C23" s="256" t="s">
        <v>1551</v>
      </c>
      <c r="D23" s="256" t="s">
        <v>1225</v>
      </c>
      <c r="E23" s="256" t="s">
        <v>1170</v>
      </c>
      <c r="F23" s="256" t="s">
        <v>393</v>
      </c>
      <c r="G23" s="290"/>
      <c r="H23" s="236" t="b">
        <v>0</v>
      </c>
      <c r="I23" s="236" t="b">
        <v>0</v>
      </c>
      <c r="J23" s="236" t="b">
        <v>0</v>
      </c>
      <c r="K23" s="236" t="b">
        <v>0</v>
      </c>
      <c r="L23" s="236" t="b">
        <v>0</v>
      </c>
      <c r="M23" s="236" t="b">
        <v>0</v>
      </c>
      <c r="N23" s="236" t="b">
        <v>0</v>
      </c>
      <c r="O23" s="236" t="b">
        <v>0</v>
      </c>
      <c r="P23" s="236" t="b">
        <v>0</v>
      </c>
      <c r="Q23" s="236" t="b">
        <v>0</v>
      </c>
      <c r="R23" s="256" t="str" cm="1">
        <f t="array" ref="R23">IF(SUMPRODUCT((Cert_Matrix!$A$34:$A$38=E23)*(Cert_Matrix!$AR$34:$AY$38="X")*(H23:O23=TRUE))&lt;SUMPRODUCT((Cert_Matrix!$A$34:$A$38=E23)*(Cert_Matrix!$AR$34:$AY$38="X")),"Thiếu chứng nhận","Đủ điều kiện")</f>
        <v>Đủ điều kiện</v>
      </c>
      <c r="S23" s="287"/>
      <c r="T23" s="290"/>
      <c r="U23" s="257" t="str">
        <f>VLOOKUP(B23,'HC Golf'!C:G,5,0)</f>
        <v>S2</v>
      </c>
    </row>
    <row r="24" spans="1:21">
      <c r="A24" s="256">
        <f>ROWS($B$5:B22)</f>
        <v>18</v>
      </c>
      <c r="B24" s="256" t="s">
        <v>396</v>
      </c>
      <c r="C24" s="256" t="s">
        <v>397</v>
      </c>
      <c r="D24" s="256" t="s">
        <v>1539</v>
      </c>
      <c r="E24" s="256" t="s">
        <v>1169</v>
      </c>
      <c r="F24" s="256" t="s">
        <v>393</v>
      </c>
      <c r="G24" s="290"/>
      <c r="H24" s="236" t="b">
        <v>0</v>
      </c>
      <c r="I24" s="236" t="b">
        <v>0</v>
      </c>
      <c r="J24" s="236" t="b">
        <v>1</v>
      </c>
      <c r="K24" s="236" t="b">
        <v>0</v>
      </c>
      <c r="L24" s="236" t="b">
        <v>0</v>
      </c>
      <c r="M24" s="236" t="b">
        <v>0</v>
      </c>
      <c r="N24" s="236" t="b">
        <v>0</v>
      </c>
      <c r="O24" s="236" t="b">
        <v>0</v>
      </c>
      <c r="P24" s="236" t="b">
        <v>0</v>
      </c>
      <c r="Q24" s="236" t="b">
        <v>0</v>
      </c>
      <c r="R24" s="256" t="str" cm="1">
        <f t="array" ref="R24">IF(SUMPRODUCT((Cert_Matrix!$A$34:$A$38=E24)*(Cert_Matrix!$AR$34:$AY$38="X")*(H24:O24=TRUE))&lt;SUMPRODUCT((Cert_Matrix!$A$34:$A$38=E24)*(Cert_Matrix!$AR$34:$AY$38="X")),"Thiếu chứng nhận","Đủ điều kiện")</f>
        <v>Đủ điều kiện</v>
      </c>
      <c r="S24" s="287"/>
      <c r="T24" s="290"/>
      <c r="U24" s="257" t="str">
        <f>VLOOKUP(B24,'HC Golf'!C:G,5,0)</f>
        <v>S3</v>
      </c>
    </row>
    <row r="25" spans="1:21">
      <c r="A25" s="256">
        <f>ROWS($B$5:B23)</f>
        <v>19</v>
      </c>
      <c r="B25" s="256" t="s">
        <v>1552</v>
      </c>
      <c r="C25" s="256" t="s">
        <v>1553</v>
      </c>
      <c r="D25" s="256" t="s">
        <v>1297</v>
      </c>
      <c r="E25" s="256" t="s">
        <v>1170</v>
      </c>
      <c r="F25" s="256" t="s">
        <v>393</v>
      </c>
      <c r="G25" s="290"/>
      <c r="H25" s="236" t="b">
        <v>1</v>
      </c>
      <c r="I25" s="236" t="b">
        <v>1</v>
      </c>
      <c r="J25" s="236" t="b">
        <v>1</v>
      </c>
      <c r="K25" s="236" t="b">
        <v>1</v>
      </c>
      <c r="L25" s="236" t="b">
        <v>1</v>
      </c>
      <c r="M25" s="236" t="b">
        <v>1</v>
      </c>
      <c r="N25" s="236" t="b">
        <v>0</v>
      </c>
      <c r="O25" s="236" t="b">
        <v>0</v>
      </c>
      <c r="P25" s="236" t="b">
        <v>0</v>
      </c>
      <c r="Q25" s="236" t="b">
        <v>0</v>
      </c>
      <c r="R25" s="256" t="str" cm="1">
        <f t="array" ref="R25">IF(SUMPRODUCT((Cert_Matrix!$A$34:$A$38=E25)*(Cert_Matrix!$AR$34:$AY$38="X")*(H25:O25=TRUE))&lt;SUMPRODUCT((Cert_Matrix!$A$34:$A$38=E25)*(Cert_Matrix!$AR$34:$AY$38="X")),"Thiếu chứng nhận","Đủ điều kiện")</f>
        <v>Đủ điều kiện</v>
      </c>
      <c r="S25" s="287"/>
      <c r="T25" s="290"/>
      <c r="U25" s="257" t="str">
        <f>VLOOKUP(B25,'HC Golf'!C:G,5,0)</f>
        <v>S3</v>
      </c>
    </row>
    <row r="26" spans="1:21">
      <c r="A26" s="256">
        <f>ROWS($B$5:B24)</f>
        <v>20</v>
      </c>
      <c r="B26" s="256" t="s">
        <v>1554</v>
      </c>
      <c r="C26" s="256" t="s">
        <v>800</v>
      </c>
      <c r="D26" s="256" t="s">
        <v>1536</v>
      </c>
      <c r="E26" s="256" t="s">
        <v>1170</v>
      </c>
      <c r="F26" s="256" t="s">
        <v>393</v>
      </c>
      <c r="G26" s="290"/>
      <c r="H26" s="236" t="b">
        <v>0</v>
      </c>
      <c r="I26" s="236" t="b">
        <v>0</v>
      </c>
      <c r="J26" s="236" t="b">
        <v>0</v>
      </c>
      <c r="K26" s="236" t="b">
        <v>0</v>
      </c>
      <c r="L26" s="236" t="b">
        <v>0</v>
      </c>
      <c r="M26" s="236" t="b">
        <v>0</v>
      </c>
      <c r="N26" s="236" t="b">
        <v>0</v>
      </c>
      <c r="O26" s="236" t="b">
        <v>0</v>
      </c>
      <c r="P26" s="236" t="b">
        <v>0</v>
      </c>
      <c r="Q26" s="236" t="b">
        <v>0</v>
      </c>
      <c r="R26" s="256" t="str" cm="1">
        <f t="array" ref="R26">IF(SUMPRODUCT((Cert_Matrix!$A$34:$A$38=E26)*(Cert_Matrix!$AR$34:$AY$38="X")*(H26:O26=TRUE))&lt;SUMPRODUCT((Cert_Matrix!$A$34:$A$38=E26)*(Cert_Matrix!$AR$34:$AY$38="X")),"Thiếu chứng nhận","Đủ điều kiện")</f>
        <v>Đủ điều kiện</v>
      </c>
      <c r="S26" s="287"/>
      <c r="T26" s="290"/>
      <c r="U26" s="257" t="str">
        <f>VLOOKUP(B26,'HC Golf'!C:G,5,0)</f>
        <v>S3</v>
      </c>
    </row>
    <row r="27" spans="1:21">
      <c r="A27" s="256">
        <f>ROWS($B$5:B25)</f>
        <v>21</v>
      </c>
      <c r="B27" s="256" t="s">
        <v>1555</v>
      </c>
      <c r="C27" s="256" t="s">
        <v>893</v>
      </c>
      <c r="D27" s="256" t="s">
        <v>1536</v>
      </c>
      <c r="E27" s="256" t="s">
        <v>1170</v>
      </c>
      <c r="F27" s="256" t="s">
        <v>393</v>
      </c>
      <c r="G27" s="290"/>
      <c r="H27" s="236" t="b">
        <v>0</v>
      </c>
      <c r="I27" s="236" t="b">
        <v>0</v>
      </c>
      <c r="J27" s="236" t="b">
        <v>0</v>
      </c>
      <c r="K27" s="236" t="b">
        <v>0</v>
      </c>
      <c r="L27" s="236" t="b">
        <v>0</v>
      </c>
      <c r="M27" s="236" t="b">
        <v>0</v>
      </c>
      <c r="N27" s="236" t="b">
        <v>0</v>
      </c>
      <c r="O27" s="236" t="b">
        <v>0</v>
      </c>
      <c r="P27" s="236" t="b">
        <v>0</v>
      </c>
      <c r="Q27" s="236" t="b">
        <v>0</v>
      </c>
      <c r="R27" s="256" t="str" cm="1">
        <f t="array" ref="R27">IF(SUMPRODUCT((Cert_Matrix!$A$34:$A$38=E27)*(Cert_Matrix!$AR$34:$AY$38="X")*(H27:O27=TRUE))&lt;SUMPRODUCT((Cert_Matrix!$A$34:$A$38=E27)*(Cert_Matrix!$AR$34:$AY$38="X")),"Thiếu chứng nhận","Đủ điều kiện")</f>
        <v>Đủ điều kiện</v>
      </c>
      <c r="S27" s="287"/>
      <c r="T27" s="290"/>
      <c r="U27" s="257" t="str">
        <f>VLOOKUP(B27,'HC Golf'!C:G,5,0)</f>
        <v>S3</v>
      </c>
    </row>
    <row r="28" spans="1:21">
      <c r="A28" s="256">
        <f>ROWS($B$5:B26)</f>
        <v>22</v>
      </c>
      <c r="B28" s="256" t="s">
        <v>1556</v>
      </c>
      <c r="C28" s="256" t="s">
        <v>1557</v>
      </c>
      <c r="D28" s="256" t="s">
        <v>1536</v>
      </c>
      <c r="E28" s="256" t="s">
        <v>1170</v>
      </c>
      <c r="F28" s="256" t="s">
        <v>393</v>
      </c>
      <c r="G28" s="290"/>
      <c r="H28" s="236" t="b">
        <v>0</v>
      </c>
      <c r="I28" s="236" t="b">
        <v>0</v>
      </c>
      <c r="J28" s="236" t="b">
        <v>0</v>
      </c>
      <c r="K28" s="236" t="b">
        <v>0</v>
      </c>
      <c r="L28" s="236" t="b">
        <v>0</v>
      </c>
      <c r="M28" s="236" t="b">
        <v>0</v>
      </c>
      <c r="N28" s="236" t="b">
        <v>0</v>
      </c>
      <c r="O28" s="236" t="b">
        <v>0</v>
      </c>
      <c r="P28" s="236" t="b">
        <v>0</v>
      </c>
      <c r="Q28" s="236" t="b">
        <v>0</v>
      </c>
      <c r="R28" s="256" t="str" cm="1">
        <f t="array" ref="R28">IF(SUMPRODUCT((Cert_Matrix!$A$34:$A$38=E28)*(Cert_Matrix!$AR$34:$AY$38="X")*(H28:O28=TRUE))&lt;SUMPRODUCT((Cert_Matrix!$A$34:$A$38=E28)*(Cert_Matrix!$AR$34:$AY$38="X")),"Thiếu chứng nhận","Đủ điều kiện")</f>
        <v>Đủ điều kiện</v>
      </c>
      <c r="S28" s="287"/>
      <c r="T28" s="290"/>
      <c r="U28" s="257" t="str">
        <f>VLOOKUP(B28,'HC Golf'!C:G,5,0)</f>
        <v>S3</v>
      </c>
    </row>
    <row r="29" spans="1:21">
      <c r="A29" s="256">
        <f>ROWS($B$5:B27)</f>
        <v>23</v>
      </c>
      <c r="B29" s="256" t="s">
        <v>1558</v>
      </c>
      <c r="C29" s="256" t="s">
        <v>1559</v>
      </c>
      <c r="D29" s="256" t="s">
        <v>1536</v>
      </c>
      <c r="E29" s="256" t="s">
        <v>1170</v>
      </c>
      <c r="F29" s="256" t="s">
        <v>393</v>
      </c>
      <c r="G29" s="290"/>
      <c r="H29" s="236" t="b">
        <v>0</v>
      </c>
      <c r="I29" s="236" t="b">
        <v>0</v>
      </c>
      <c r="J29" s="236" t="b">
        <v>0</v>
      </c>
      <c r="K29" s="236" t="b">
        <v>0</v>
      </c>
      <c r="L29" s="236" t="b">
        <v>0</v>
      </c>
      <c r="M29" s="236" t="b">
        <v>0</v>
      </c>
      <c r="N29" s="236" t="b">
        <v>0</v>
      </c>
      <c r="O29" s="236" t="b">
        <v>0</v>
      </c>
      <c r="P29" s="236" t="b">
        <v>0</v>
      </c>
      <c r="Q29" s="236" t="b">
        <v>0</v>
      </c>
      <c r="R29" s="256" t="str" cm="1">
        <f t="array" ref="R29">IF(SUMPRODUCT((Cert_Matrix!$A$34:$A$38=E29)*(Cert_Matrix!$AR$34:$AY$38="X")*(H29:O29=TRUE))&lt;SUMPRODUCT((Cert_Matrix!$A$34:$A$38=E29)*(Cert_Matrix!$AR$34:$AY$38="X")),"Thiếu chứng nhận","Đủ điều kiện")</f>
        <v>Đủ điều kiện</v>
      </c>
      <c r="S29" s="287"/>
      <c r="T29" s="290"/>
      <c r="U29" s="257" t="str">
        <f>VLOOKUP(B29,'HC Golf'!C:G,5,0)</f>
        <v>S3</v>
      </c>
    </row>
    <row r="30" spans="1:21">
      <c r="A30" s="256">
        <f>ROWS($B$5:B28)</f>
        <v>24</v>
      </c>
      <c r="B30" s="256" t="s">
        <v>1560</v>
      </c>
      <c r="C30" s="256" t="s">
        <v>1561</v>
      </c>
      <c r="D30" s="256" t="s">
        <v>1531</v>
      </c>
      <c r="E30" s="256" t="s">
        <v>1170</v>
      </c>
      <c r="F30" s="256" t="s">
        <v>393</v>
      </c>
      <c r="G30" s="290"/>
      <c r="H30" s="236" t="b">
        <v>0</v>
      </c>
      <c r="I30" s="236" t="b">
        <v>0</v>
      </c>
      <c r="J30" s="236" t="b">
        <v>0</v>
      </c>
      <c r="K30" s="236" t="b">
        <v>0</v>
      </c>
      <c r="L30" s="236" t="b">
        <v>0</v>
      </c>
      <c r="M30" s="236" t="b">
        <v>0</v>
      </c>
      <c r="N30" s="236" t="b">
        <v>0</v>
      </c>
      <c r="O30" s="236" t="b">
        <v>0</v>
      </c>
      <c r="P30" s="236" t="b">
        <v>0</v>
      </c>
      <c r="Q30" s="236" t="b">
        <v>0</v>
      </c>
      <c r="R30" s="256" t="str" cm="1">
        <f t="array" ref="R30">IF(SUMPRODUCT((Cert_Matrix!$A$34:$A$38=E30)*(Cert_Matrix!$AR$34:$AY$38="X")*(H30:O30=TRUE))&lt;SUMPRODUCT((Cert_Matrix!$A$34:$A$38=E30)*(Cert_Matrix!$AR$34:$AY$38="X")),"Thiếu chứng nhận","Đủ điều kiện")</f>
        <v>Đủ điều kiện</v>
      </c>
      <c r="S30" s="287"/>
      <c r="T30" s="290"/>
      <c r="U30" s="257" t="str">
        <f>VLOOKUP(B30,'HC Golf'!C:G,5,0)</f>
        <v>S3</v>
      </c>
    </row>
    <row r="31" spans="1:21">
      <c r="A31" s="256">
        <f>ROWS($B$5:B29)</f>
        <v>25</v>
      </c>
      <c r="B31" s="256" t="s">
        <v>1562</v>
      </c>
      <c r="C31" s="256" t="s">
        <v>1563</v>
      </c>
      <c r="D31" s="256" t="s">
        <v>1531</v>
      </c>
      <c r="E31" s="256" t="s">
        <v>1170</v>
      </c>
      <c r="F31" s="256" t="s">
        <v>393</v>
      </c>
      <c r="G31" s="290"/>
      <c r="H31" s="236" t="b">
        <v>0</v>
      </c>
      <c r="I31" s="236" t="b">
        <v>0</v>
      </c>
      <c r="J31" s="236" t="b">
        <v>0</v>
      </c>
      <c r="K31" s="236" t="b">
        <v>0</v>
      </c>
      <c r="L31" s="236" t="b">
        <v>0</v>
      </c>
      <c r="M31" s="236" t="b">
        <v>0</v>
      </c>
      <c r="N31" s="236" t="b">
        <v>0</v>
      </c>
      <c r="O31" s="236" t="b">
        <v>0</v>
      </c>
      <c r="P31" s="236" t="b">
        <v>0</v>
      </c>
      <c r="Q31" s="236" t="b">
        <v>0</v>
      </c>
      <c r="R31" s="256" t="str" cm="1">
        <f t="array" ref="R31">IF(SUMPRODUCT((Cert_Matrix!$A$34:$A$38=E31)*(Cert_Matrix!$AR$34:$AY$38="X")*(H31:O31=TRUE))&lt;SUMPRODUCT((Cert_Matrix!$A$34:$A$38=E31)*(Cert_Matrix!$AR$34:$AY$38="X")),"Thiếu chứng nhận","Đủ điều kiện")</f>
        <v>Đủ điều kiện</v>
      </c>
      <c r="S31" s="287"/>
      <c r="T31" s="290"/>
      <c r="U31" s="257" t="str">
        <f>VLOOKUP(B31,'HC Golf'!C:G,5,0)</f>
        <v>S3</v>
      </c>
    </row>
    <row r="32" spans="1:21">
      <c r="A32" s="256">
        <f>ROWS($B$5:B30)</f>
        <v>26</v>
      </c>
      <c r="B32" s="256" t="s">
        <v>1564</v>
      </c>
      <c r="C32" s="256" t="s">
        <v>802</v>
      </c>
      <c r="D32" s="256" t="s">
        <v>1565</v>
      </c>
      <c r="E32" s="256" t="s">
        <v>1172</v>
      </c>
      <c r="F32" s="256" t="s">
        <v>393</v>
      </c>
      <c r="G32" s="290"/>
      <c r="H32" s="236" t="b">
        <v>1</v>
      </c>
      <c r="I32" s="236" t="b">
        <v>1</v>
      </c>
      <c r="J32" s="236" t="b">
        <v>0</v>
      </c>
      <c r="K32" s="236" t="b">
        <v>0</v>
      </c>
      <c r="L32" s="236" t="b">
        <v>0</v>
      </c>
      <c r="M32" s="236" t="b">
        <v>0</v>
      </c>
      <c r="N32" s="236" t="b">
        <v>0</v>
      </c>
      <c r="O32" s="236" t="b">
        <v>0</v>
      </c>
      <c r="P32" s="236" t="b">
        <v>0</v>
      </c>
      <c r="Q32" s="236" t="b">
        <v>0</v>
      </c>
      <c r="R32" s="256" t="str" cm="1">
        <f t="array" ref="R32">IF(SUMPRODUCT((Cert_Matrix!$A$34:$A$38=E32)*(Cert_Matrix!$AR$34:$AY$38="X")*(H32:O32=TRUE))&lt;SUMPRODUCT((Cert_Matrix!$A$34:$A$38=E32)*(Cert_Matrix!$AR$34:$AY$38="X")),"Thiếu chứng nhận","Đủ điều kiện")</f>
        <v>Đủ điều kiện</v>
      </c>
      <c r="S32" s="287"/>
      <c r="T32" s="290"/>
      <c r="U32" s="257" t="str">
        <f>VLOOKUP(B32,'HC Golf'!C:G,5,0)</f>
        <v>S3</v>
      </c>
    </row>
    <row r="33" spans="1:21">
      <c r="A33" s="256">
        <f>ROWS($B$5:B31)</f>
        <v>27</v>
      </c>
      <c r="B33" s="256" t="s">
        <v>697</v>
      </c>
      <c r="C33" s="256" t="s">
        <v>698</v>
      </c>
      <c r="D33" s="256" t="s">
        <v>1545</v>
      </c>
      <c r="E33" s="256" t="s">
        <v>1169</v>
      </c>
      <c r="F33" s="256" t="s">
        <v>393</v>
      </c>
      <c r="G33" s="290">
        <v>46152</v>
      </c>
      <c r="H33" s="236" t="b">
        <v>0</v>
      </c>
      <c r="I33" s="236" t="b">
        <v>0</v>
      </c>
      <c r="J33" s="236" t="b">
        <v>1</v>
      </c>
      <c r="K33" s="236" t="b">
        <v>0</v>
      </c>
      <c r="L33" s="236" t="b">
        <v>1</v>
      </c>
      <c r="M33" s="236" t="b">
        <v>0</v>
      </c>
      <c r="N33" s="236" t="b">
        <v>0</v>
      </c>
      <c r="O33" s="236" t="b">
        <v>0</v>
      </c>
      <c r="P33" s="236" t="b">
        <v>0</v>
      </c>
      <c r="Q33" s="236" t="b">
        <v>0</v>
      </c>
      <c r="R33" s="256" t="str" cm="1">
        <f t="array" ref="R33">IF(SUMPRODUCT((Cert_Matrix!$A$34:$A$38=E33)*(Cert_Matrix!$AR$34:$AY$38="X")*(H33:O33=TRUE))&lt;SUMPRODUCT((Cert_Matrix!$A$34:$A$38=E33)*(Cert_Matrix!$AR$34:$AY$38="X")),"Thiếu chứng nhận","Đủ điều kiện")</f>
        <v>Đủ điều kiện</v>
      </c>
      <c r="S33" s="287"/>
      <c r="T33" s="290"/>
      <c r="U33" s="257" t="str">
        <f>VLOOKUP(B33,'HC Golf'!C:G,5,0)</f>
        <v>S3</v>
      </c>
    </row>
    <row r="34" spans="1:21">
      <c r="A34" s="256">
        <f>ROWS($B$5:B32)</f>
        <v>28</v>
      </c>
      <c r="B34" s="256" t="s">
        <v>1566</v>
      </c>
      <c r="C34" s="256" t="s">
        <v>987</v>
      </c>
      <c r="D34" s="256" t="s">
        <v>1537</v>
      </c>
      <c r="E34" s="256" t="s">
        <v>1155</v>
      </c>
      <c r="F34" s="256" t="s">
        <v>393</v>
      </c>
      <c r="G34" s="290"/>
      <c r="H34" s="236" t="b">
        <v>0</v>
      </c>
      <c r="I34" s="236" t="b">
        <v>0</v>
      </c>
      <c r="J34" s="236" t="b">
        <v>0</v>
      </c>
      <c r="K34" s="236" t="b">
        <v>0</v>
      </c>
      <c r="L34" s="236" t="b">
        <v>0</v>
      </c>
      <c r="M34" s="236" t="b">
        <v>1</v>
      </c>
      <c r="N34" s="236" t="b">
        <v>0</v>
      </c>
      <c r="O34" s="236" t="b">
        <v>0</v>
      </c>
      <c r="P34" s="236" t="b">
        <v>0</v>
      </c>
      <c r="Q34" s="236" t="b">
        <v>0</v>
      </c>
      <c r="R34" s="256" t="str" cm="1">
        <f t="array" ref="R34">IF(SUMPRODUCT((Cert_Matrix!$A$34:$A$38=E34)*(Cert_Matrix!$AR$34:$AY$38="X")*(H34:O34=TRUE))&lt;SUMPRODUCT((Cert_Matrix!$A$34:$A$38=E34)*(Cert_Matrix!$AR$34:$AY$38="X")),"Thiếu chứng nhận","Đủ điều kiện")</f>
        <v>Đủ điều kiện</v>
      </c>
      <c r="S34" s="287"/>
      <c r="T34" s="290"/>
      <c r="U34" s="257" t="str">
        <f>VLOOKUP(B34,'HC Golf'!C:G,5,0)</f>
        <v>S3</v>
      </c>
    </row>
    <row r="35" spans="1:21">
      <c r="A35" s="256">
        <f>ROWS($B$5:B33)</f>
        <v>29</v>
      </c>
      <c r="B35" s="256" t="s">
        <v>1567</v>
      </c>
      <c r="C35" s="256" t="s">
        <v>986</v>
      </c>
      <c r="D35" s="256" t="s">
        <v>1537</v>
      </c>
      <c r="E35" s="256" t="s">
        <v>1170</v>
      </c>
      <c r="F35" s="256" t="s">
        <v>393</v>
      </c>
      <c r="G35" s="290">
        <v>45948</v>
      </c>
      <c r="H35" s="236" t="b">
        <v>0</v>
      </c>
      <c r="I35" s="236" t="b">
        <v>0</v>
      </c>
      <c r="J35" s="236" t="b">
        <v>0</v>
      </c>
      <c r="K35" s="236" t="b">
        <v>0</v>
      </c>
      <c r="L35" s="236" t="b">
        <v>1</v>
      </c>
      <c r="M35" s="236" t="b">
        <v>1</v>
      </c>
      <c r="N35" s="236" t="b">
        <v>0</v>
      </c>
      <c r="O35" s="236" t="b">
        <v>1</v>
      </c>
      <c r="P35" s="236" t="b">
        <v>1</v>
      </c>
      <c r="Q35" s="236" t="b">
        <v>1</v>
      </c>
      <c r="R35" s="256" t="str" cm="1">
        <f t="array" ref="R35">IF(SUMPRODUCT((Cert_Matrix!$A$34:$A$38=E35)*(Cert_Matrix!$AR$34:$AY$38="X")*(H35:O35=TRUE))&lt;SUMPRODUCT((Cert_Matrix!$A$34:$A$38=E35)*(Cert_Matrix!$AR$34:$AY$38="X")),"Thiếu chứng nhận","Đủ điều kiện")</f>
        <v>Đủ điều kiện</v>
      </c>
      <c r="S35" s="287"/>
      <c r="T35" s="290"/>
      <c r="U35" s="257" t="str">
        <f>VLOOKUP(B35,'HC Golf'!C:G,5,0)</f>
        <v>S2</v>
      </c>
    </row>
    <row r="36" spans="1:21">
      <c r="A36" s="256">
        <f>ROWS($B$5:B34)</f>
        <v>30</v>
      </c>
      <c r="B36" s="256" t="s">
        <v>655</v>
      </c>
      <c r="C36" s="256" t="s">
        <v>656</v>
      </c>
      <c r="D36" s="256" t="s">
        <v>1537</v>
      </c>
      <c r="E36" s="256" t="s">
        <v>1169</v>
      </c>
      <c r="F36" s="256" t="s">
        <v>393</v>
      </c>
      <c r="G36" s="290">
        <v>46031</v>
      </c>
      <c r="H36" s="236" t="b">
        <v>0</v>
      </c>
      <c r="I36" s="236" t="b">
        <v>0</v>
      </c>
      <c r="J36" s="236" t="b">
        <v>1</v>
      </c>
      <c r="K36" s="236" t="b">
        <v>0</v>
      </c>
      <c r="L36" s="236" t="b">
        <v>0</v>
      </c>
      <c r="M36" s="236" t="b">
        <v>0</v>
      </c>
      <c r="N36" s="236" t="b">
        <v>0</v>
      </c>
      <c r="O36" s="236" t="b">
        <v>1</v>
      </c>
      <c r="P36" s="236" t="b">
        <v>1</v>
      </c>
      <c r="Q36" s="236" t="b">
        <v>0</v>
      </c>
      <c r="R36" s="256" t="str" cm="1">
        <f t="array" ref="R36">IF(SUMPRODUCT((Cert_Matrix!$A$34:$A$38=E36)*(Cert_Matrix!$AR$34:$AY$38="X")*(H36:O36=TRUE))&lt;SUMPRODUCT((Cert_Matrix!$A$34:$A$38=E36)*(Cert_Matrix!$AR$34:$AY$38="X")),"Thiếu chứng nhận","Đủ điều kiện")</f>
        <v>Đủ điều kiện</v>
      </c>
      <c r="S36" s="287"/>
      <c r="T36" s="290"/>
      <c r="U36" s="257" t="str">
        <f>VLOOKUP(B36,'HC Golf'!C:G,5,0)</f>
        <v>S3</v>
      </c>
    </row>
    <row r="37" spans="1:21">
      <c r="A37" s="256">
        <f>ROWS($B$5:B35)</f>
        <v>31</v>
      </c>
      <c r="B37" s="256" t="s">
        <v>1568</v>
      </c>
      <c r="C37" s="256" t="s">
        <v>1569</v>
      </c>
      <c r="D37" s="256" t="s">
        <v>1537</v>
      </c>
      <c r="E37" s="256" t="s">
        <v>1171</v>
      </c>
      <c r="F37" s="256" t="s">
        <v>393</v>
      </c>
      <c r="G37" s="290">
        <v>45948</v>
      </c>
      <c r="H37" s="236" t="b">
        <v>0</v>
      </c>
      <c r="I37" s="236" t="b">
        <v>0</v>
      </c>
      <c r="J37" s="236" t="b">
        <v>0</v>
      </c>
      <c r="K37" s="236" t="b">
        <v>0</v>
      </c>
      <c r="L37" s="236" t="b">
        <v>1</v>
      </c>
      <c r="M37" s="236" t="b">
        <v>0</v>
      </c>
      <c r="N37" s="236" t="b">
        <v>0</v>
      </c>
      <c r="O37" s="236" t="b">
        <v>0</v>
      </c>
      <c r="P37" s="236" t="b">
        <v>0</v>
      </c>
      <c r="Q37" s="236" t="b">
        <v>0</v>
      </c>
      <c r="R37" s="256" t="str" cm="1">
        <f t="array" ref="R37">IF(SUMPRODUCT((Cert_Matrix!$A$34:$A$38=E37)*(Cert_Matrix!$AR$34:$AY$38="X")*(H37:O37=TRUE))&lt;SUMPRODUCT((Cert_Matrix!$A$34:$A$38=E37)*(Cert_Matrix!$AR$34:$AY$38="X")),"Thiếu chứng nhận","Đủ điều kiện")</f>
        <v>Đủ điều kiện</v>
      </c>
      <c r="S37" s="287"/>
      <c r="T37" s="290"/>
      <c r="U37" s="257" t="str">
        <f>VLOOKUP(B37,'HC Golf'!C:G,5,0)</f>
        <v>S3</v>
      </c>
    </row>
    <row r="38" spans="1:21">
      <c r="A38" s="256">
        <f>ROWS($B$5:B36)</f>
        <v>32</v>
      </c>
      <c r="B38" s="256" t="s">
        <v>1570</v>
      </c>
      <c r="C38" s="256" t="s">
        <v>1571</v>
      </c>
      <c r="D38" s="256" t="s">
        <v>1565</v>
      </c>
      <c r="E38" s="256" t="s">
        <v>1172</v>
      </c>
      <c r="F38" s="256" t="s">
        <v>393</v>
      </c>
      <c r="G38" s="290">
        <v>45948</v>
      </c>
      <c r="H38" s="236" t="b">
        <v>1</v>
      </c>
      <c r="I38" s="236" t="b">
        <v>1</v>
      </c>
      <c r="J38" s="236" t="b">
        <v>1</v>
      </c>
      <c r="K38" s="236" t="b">
        <v>0</v>
      </c>
      <c r="L38" s="236" t="b">
        <v>0</v>
      </c>
      <c r="M38" s="236" t="b">
        <v>0</v>
      </c>
      <c r="N38" s="236" t="b">
        <v>0</v>
      </c>
      <c r="O38" s="236" t="b">
        <v>0</v>
      </c>
      <c r="P38" s="236" t="b">
        <v>0</v>
      </c>
      <c r="Q38" s="236" t="b">
        <v>0</v>
      </c>
      <c r="R38" s="256" t="str" cm="1">
        <f t="array" ref="R38">IF(SUMPRODUCT((Cert_Matrix!$A$34:$A$38=E38)*(Cert_Matrix!$AR$34:$AY$38="X")*(H38:O38=TRUE))&lt;SUMPRODUCT((Cert_Matrix!$A$34:$A$38=E38)*(Cert_Matrix!$AR$34:$AY$38="X")),"Thiếu chứng nhận","Đủ điều kiện")</f>
        <v>Đủ điều kiện</v>
      </c>
      <c r="S38" s="287"/>
      <c r="T38" s="290"/>
      <c r="U38" s="257" t="str">
        <f>VLOOKUP(B38,'HC Golf'!C:G,5,0)</f>
        <v>S3</v>
      </c>
    </row>
    <row r="39" spans="1:21">
      <c r="A39" s="256">
        <f>ROWS($B$5:B37)</f>
        <v>33</v>
      </c>
      <c r="B39" s="256" t="s">
        <v>1572</v>
      </c>
      <c r="C39" s="256" t="s">
        <v>1573</v>
      </c>
      <c r="D39" s="256" t="s">
        <v>1537</v>
      </c>
      <c r="E39" s="256" t="s">
        <v>1170</v>
      </c>
      <c r="F39" s="256" t="s">
        <v>393</v>
      </c>
      <c r="G39" s="290"/>
      <c r="H39" s="236" t="b">
        <v>0</v>
      </c>
      <c r="I39" s="236" t="b">
        <v>0</v>
      </c>
      <c r="J39" s="236" t="b">
        <v>0</v>
      </c>
      <c r="K39" s="236" t="b">
        <v>0</v>
      </c>
      <c r="L39" s="236" t="b">
        <v>0</v>
      </c>
      <c r="M39" s="236" t="b">
        <v>0</v>
      </c>
      <c r="N39" s="236" t="b">
        <v>0</v>
      </c>
      <c r="O39" s="236" t="b">
        <v>0</v>
      </c>
      <c r="P39" s="236" t="b">
        <v>0</v>
      </c>
      <c r="Q39" s="236" t="b">
        <v>0</v>
      </c>
      <c r="R39" s="256" t="str" cm="1">
        <f t="array" ref="R39">IF(SUMPRODUCT((Cert_Matrix!$A$34:$A$38=E39)*(Cert_Matrix!$AR$34:$AY$38="X")*(H39:O39=TRUE))&lt;SUMPRODUCT((Cert_Matrix!$A$34:$A$38=E39)*(Cert_Matrix!$AR$34:$AY$38="X")),"Thiếu chứng nhận","Đủ điều kiện")</f>
        <v>Đủ điều kiện</v>
      </c>
      <c r="S39" s="287"/>
      <c r="T39" s="290"/>
      <c r="U39" s="257" t="str">
        <f>VLOOKUP(B39,'HC Golf'!C:G,5,0)</f>
        <v>S3</v>
      </c>
    </row>
    <row r="40" spans="1:21">
      <c r="A40" s="256">
        <f>ROWS($B$5:B38)</f>
        <v>34</v>
      </c>
      <c r="B40" s="256" t="s">
        <v>1574</v>
      </c>
      <c r="C40" s="256" t="s">
        <v>1575</v>
      </c>
      <c r="D40" s="256" t="s">
        <v>1537</v>
      </c>
      <c r="E40" s="256" t="s">
        <v>1170</v>
      </c>
      <c r="F40" s="256" t="s">
        <v>393</v>
      </c>
      <c r="G40" s="290">
        <v>46137</v>
      </c>
      <c r="H40" s="236" t="b">
        <v>0</v>
      </c>
      <c r="I40" s="236" t="b">
        <v>0</v>
      </c>
      <c r="J40" s="236" t="b">
        <v>0</v>
      </c>
      <c r="K40" s="236" t="b">
        <v>0</v>
      </c>
      <c r="L40" s="236" t="b">
        <v>0</v>
      </c>
      <c r="M40" s="236" t="b">
        <v>0</v>
      </c>
      <c r="N40" s="236" t="b">
        <v>0</v>
      </c>
      <c r="O40" s="236" t="b">
        <v>1</v>
      </c>
      <c r="P40" s="236" t="b">
        <v>0</v>
      </c>
      <c r="Q40" s="236" t="b">
        <v>0</v>
      </c>
      <c r="R40" s="256" t="str" cm="1">
        <f t="array" ref="R40">IF(SUMPRODUCT((Cert_Matrix!$A$34:$A$38=E40)*(Cert_Matrix!$AR$34:$AY$38="X")*(H40:O40=TRUE))&lt;SUMPRODUCT((Cert_Matrix!$A$34:$A$38=E40)*(Cert_Matrix!$AR$34:$AY$38="X")),"Thiếu chứng nhận","Đủ điều kiện")</f>
        <v>Đủ điều kiện</v>
      </c>
      <c r="S40" s="287"/>
      <c r="T40" s="290"/>
      <c r="U40" s="257" t="str">
        <f>VLOOKUP(B40,'HC Golf'!C:G,5,0)</f>
        <v>S3</v>
      </c>
    </row>
    <row r="41" spans="1:21">
      <c r="A41" s="256">
        <f>ROWS($B$5:B39)</f>
        <v>35</v>
      </c>
      <c r="B41" s="256" t="s">
        <v>1576</v>
      </c>
      <c r="C41" s="256" t="s">
        <v>1577</v>
      </c>
      <c r="D41" s="256" t="s">
        <v>1537</v>
      </c>
      <c r="E41" s="256" t="s">
        <v>1171</v>
      </c>
      <c r="F41" s="256" t="s">
        <v>393</v>
      </c>
      <c r="G41" s="290">
        <v>46042</v>
      </c>
      <c r="H41" s="236" t="b">
        <v>0</v>
      </c>
      <c r="I41" s="236" t="b">
        <v>0</v>
      </c>
      <c r="J41" s="236" t="b">
        <v>0</v>
      </c>
      <c r="K41" s="236" t="b">
        <v>0</v>
      </c>
      <c r="L41" s="236" t="b">
        <v>1</v>
      </c>
      <c r="M41" s="236" t="b">
        <v>0</v>
      </c>
      <c r="N41" s="236" t="b">
        <v>0</v>
      </c>
      <c r="O41" s="236" t="b">
        <v>1</v>
      </c>
      <c r="P41" s="236" t="b">
        <v>0</v>
      </c>
      <c r="Q41" s="236" t="b">
        <v>0</v>
      </c>
      <c r="R41" s="256" t="str" cm="1">
        <f t="array" ref="R41">IF(SUMPRODUCT((Cert_Matrix!$A$34:$A$38=E41)*(Cert_Matrix!$AR$34:$AY$38="X")*(H41:O41=TRUE))&lt;SUMPRODUCT((Cert_Matrix!$A$34:$A$38=E41)*(Cert_Matrix!$AR$34:$AY$38="X")),"Thiếu chứng nhận","Đủ điều kiện")</f>
        <v>Đủ điều kiện</v>
      </c>
      <c r="S41" s="287"/>
      <c r="T41" s="290"/>
      <c r="U41" s="257" t="str">
        <f>VLOOKUP(B41,'HC Golf'!C:G,5,0)</f>
        <v>S3</v>
      </c>
    </row>
    <row r="42" spans="1:21">
      <c r="A42" s="256">
        <f>ROWS($B$5:B40)</f>
        <v>36</v>
      </c>
      <c r="B42" s="256" t="s">
        <v>1578</v>
      </c>
      <c r="C42" s="256" t="s">
        <v>1579</v>
      </c>
      <c r="D42" s="256" t="s">
        <v>1225</v>
      </c>
      <c r="E42" s="256" t="s">
        <v>1169</v>
      </c>
      <c r="F42" s="256" t="s">
        <v>393</v>
      </c>
      <c r="G42" s="290">
        <v>46137</v>
      </c>
      <c r="H42" s="236" t="b">
        <v>0</v>
      </c>
      <c r="I42" s="236" t="b">
        <v>0</v>
      </c>
      <c r="J42" s="236" t="b">
        <v>1</v>
      </c>
      <c r="K42" s="236" t="b">
        <v>0</v>
      </c>
      <c r="L42" s="236" t="b">
        <v>0</v>
      </c>
      <c r="M42" s="236" t="b">
        <v>0</v>
      </c>
      <c r="N42" s="236" t="b">
        <v>0</v>
      </c>
      <c r="O42" s="236" t="b">
        <v>1</v>
      </c>
      <c r="P42" s="236" t="b">
        <v>1</v>
      </c>
      <c r="Q42" s="236" t="b">
        <v>0</v>
      </c>
      <c r="R42" s="256" t="str" cm="1">
        <f t="array" ref="R42">IF(SUMPRODUCT((Cert_Matrix!$A$34:$A$38=E42)*(Cert_Matrix!$AR$34:$AY$38="X")*(H42:O42=TRUE))&lt;SUMPRODUCT((Cert_Matrix!$A$34:$A$38=E42)*(Cert_Matrix!$AR$34:$AY$38="X")),"Thiếu chứng nhận","Đủ điều kiện")</f>
        <v>Đủ điều kiện</v>
      </c>
      <c r="S42" s="287"/>
      <c r="T42" s="290"/>
      <c r="U42" s="257" t="str">
        <f>VLOOKUP(B42,'HC Golf'!C:G,5,0)</f>
        <v>S3</v>
      </c>
    </row>
    <row r="43" spans="1:21">
      <c r="A43" s="256">
        <f>ROWS($B$5:B41)</f>
        <v>37</v>
      </c>
      <c r="B43" s="256" t="s">
        <v>1580</v>
      </c>
      <c r="C43" s="256" t="s">
        <v>1581</v>
      </c>
      <c r="D43" s="256" t="s">
        <v>1225</v>
      </c>
      <c r="E43" s="256" t="s">
        <v>1171</v>
      </c>
      <c r="F43" s="256" t="s">
        <v>393</v>
      </c>
      <c r="G43" s="290">
        <v>46147</v>
      </c>
      <c r="H43" s="236" t="b">
        <v>0</v>
      </c>
      <c r="I43" s="236" t="b">
        <v>0</v>
      </c>
      <c r="J43" s="236" t="b">
        <v>0</v>
      </c>
      <c r="K43" s="236" t="b">
        <v>0</v>
      </c>
      <c r="L43" s="236" t="b">
        <v>1</v>
      </c>
      <c r="M43" s="236" t="b">
        <v>0</v>
      </c>
      <c r="N43" s="236" t="b">
        <v>0</v>
      </c>
      <c r="O43" s="236" t="b">
        <v>0</v>
      </c>
      <c r="P43" s="236" t="b">
        <v>1</v>
      </c>
      <c r="Q43" s="236" t="b">
        <v>0</v>
      </c>
      <c r="R43" s="256" t="str" cm="1">
        <f t="array" ref="R43">IF(SUMPRODUCT((Cert_Matrix!$A$34:$A$38=E43)*(Cert_Matrix!$AR$34:$AY$38="X")*(H43:O43=TRUE))&lt;SUMPRODUCT((Cert_Matrix!$A$34:$A$38=E43)*(Cert_Matrix!$AR$34:$AY$38="X")),"Thiếu chứng nhận","Đủ điều kiện")</f>
        <v>Đủ điều kiện</v>
      </c>
      <c r="S43" s="287"/>
      <c r="T43" s="290"/>
      <c r="U43" s="257" t="str">
        <f>VLOOKUP(B43,'HC Golf'!C:G,5,0)</f>
        <v>S3</v>
      </c>
    </row>
    <row r="44" spans="1:21">
      <c r="A44" s="256">
        <f>ROWS($B$5:B42)</f>
        <v>38</v>
      </c>
      <c r="B44" s="256" t="s">
        <v>1582</v>
      </c>
      <c r="C44" s="304" t="s">
        <v>1583</v>
      </c>
      <c r="D44" s="256" t="s">
        <v>1225</v>
      </c>
      <c r="E44" s="256" t="s">
        <v>1171</v>
      </c>
      <c r="F44" s="256" t="s">
        <v>393</v>
      </c>
      <c r="G44" s="290"/>
      <c r="H44" s="236" t="b">
        <v>0</v>
      </c>
      <c r="I44" s="236" t="b">
        <v>0</v>
      </c>
      <c r="J44" s="236" t="b">
        <v>0</v>
      </c>
      <c r="K44" s="236" t="b">
        <v>0</v>
      </c>
      <c r="L44" s="236" t="b">
        <v>1</v>
      </c>
      <c r="M44" s="236" t="b">
        <v>0</v>
      </c>
      <c r="N44" s="236" t="b">
        <v>0</v>
      </c>
      <c r="O44" s="236" t="b">
        <v>0</v>
      </c>
      <c r="P44" s="236" t="b">
        <v>0</v>
      </c>
      <c r="Q44" s="236" t="b">
        <v>0</v>
      </c>
      <c r="R44" s="256" t="str" cm="1">
        <f t="array" ref="R44">IF(SUMPRODUCT((Cert_Matrix!$A$34:$A$38=E44)*(Cert_Matrix!$AR$34:$AY$38="X")*(H44:O44=TRUE))&lt;SUMPRODUCT((Cert_Matrix!$A$34:$A$38=E44)*(Cert_Matrix!$AR$34:$AY$38="X")),"Thiếu chứng nhận","Đủ điều kiện")</f>
        <v>Đủ điều kiện</v>
      </c>
      <c r="S44" s="287"/>
      <c r="T44" s="290"/>
      <c r="U44" s="257" t="str">
        <f>VLOOKUP(B44,'HC Golf'!C:G,5,0)</f>
        <v>S3</v>
      </c>
    </row>
    <row r="45" spans="1:21">
      <c r="A45" s="256">
        <f>ROWS($B$5:B43)</f>
        <v>39</v>
      </c>
      <c r="B45" s="256" t="s">
        <v>1584</v>
      </c>
      <c r="C45" s="256" t="s">
        <v>1585</v>
      </c>
      <c r="D45" s="256" t="s">
        <v>1225</v>
      </c>
      <c r="E45" s="256" t="s">
        <v>1170</v>
      </c>
      <c r="F45" s="256" t="s">
        <v>393</v>
      </c>
      <c r="G45" s="290"/>
      <c r="H45" s="236" t="b">
        <v>0</v>
      </c>
      <c r="I45" s="236" t="b">
        <v>0</v>
      </c>
      <c r="J45" s="236" t="b">
        <v>0</v>
      </c>
      <c r="K45" s="236" t="b">
        <v>0</v>
      </c>
      <c r="L45" s="236" t="b">
        <v>0</v>
      </c>
      <c r="M45" s="236" t="b">
        <v>0</v>
      </c>
      <c r="N45" s="236" t="b">
        <v>0</v>
      </c>
      <c r="O45" s="236" t="b">
        <v>0</v>
      </c>
      <c r="P45" s="236" t="b">
        <v>0</v>
      </c>
      <c r="Q45" s="236" t="b">
        <v>0</v>
      </c>
      <c r="R45" s="256" t="str" cm="1">
        <f t="array" ref="R45">IF(SUMPRODUCT((Cert_Matrix!$A$34:$A$38=E45)*(Cert_Matrix!$AR$34:$AY$38="X")*(H45:O45=TRUE))&lt;SUMPRODUCT((Cert_Matrix!$A$34:$A$38=E45)*(Cert_Matrix!$AR$34:$AY$38="X")),"Thiếu chứng nhận","Đủ điều kiện")</f>
        <v>Đủ điều kiện</v>
      </c>
      <c r="S45" s="287"/>
      <c r="T45" s="290"/>
      <c r="U45" s="257" t="str">
        <f>VLOOKUP(B45,'HC Golf'!C:G,5,0)</f>
        <v>S3</v>
      </c>
    </row>
    <row r="46" spans="1:21">
      <c r="A46" s="256">
        <f>ROWS($B$5:B44)</f>
        <v>40</v>
      </c>
      <c r="B46" s="256" t="s">
        <v>400</v>
      </c>
      <c r="C46" s="256" t="s">
        <v>401</v>
      </c>
      <c r="D46" s="256" t="s">
        <v>1292</v>
      </c>
      <c r="E46" s="256" t="s">
        <v>1170</v>
      </c>
      <c r="F46" s="256" t="s">
        <v>393</v>
      </c>
      <c r="G46" s="290"/>
      <c r="H46" s="236" t="b">
        <v>1</v>
      </c>
      <c r="I46" s="236" t="b">
        <v>1</v>
      </c>
      <c r="J46" s="236" t="b">
        <v>1</v>
      </c>
      <c r="K46" s="236" t="b">
        <v>1</v>
      </c>
      <c r="L46" s="236" t="b">
        <v>1</v>
      </c>
      <c r="M46" s="236" t="b">
        <v>0</v>
      </c>
      <c r="N46" s="236" t="b">
        <v>0</v>
      </c>
      <c r="O46" s="236" t="b">
        <v>1</v>
      </c>
      <c r="P46" s="236" t="b">
        <v>0</v>
      </c>
      <c r="Q46" s="236" t="b">
        <v>0</v>
      </c>
      <c r="R46" s="256" t="str" cm="1">
        <f t="array" ref="R46">IF(SUMPRODUCT((Cert_Matrix!$A$34:$A$38=E46)*(Cert_Matrix!$AR$34:$AY$38="X")*(H46:O46=TRUE))&lt;SUMPRODUCT((Cert_Matrix!$A$34:$A$38=E46)*(Cert_Matrix!$AR$34:$AY$38="X")),"Thiếu chứng nhận","Đủ điều kiện")</f>
        <v>Đủ điều kiện</v>
      </c>
      <c r="S46" s="287"/>
      <c r="T46" s="290"/>
      <c r="U46" s="257" t="str">
        <f>VLOOKUP(B46,'HC Golf'!C:G,5,0)</f>
        <v>S1</v>
      </c>
    </row>
    <row r="47" spans="1:21">
      <c r="A47" s="256">
        <f>ROWS($B$5:B45)</f>
        <v>41</v>
      </c>
      <c r="B47" s="256" t="s">
        <v>394</v>
      </c>
      <c r="C47" s="256" t="s">
        <v>395</v>
      </c>
      <c r="D47" s="256" t="s">
        <v>1297</v>
      </c>
      <c r="E47" s="256" t="s">
        <v>1170</v>
      </c>
      <c r="F47" s="256" t="s">
        <v>393</v>
      </c>
      <c r="G47" s="290">
        <v>46099</v>
      </c>
      <c r="H47" s="236" t="b">
        <v>1</v>
      </c>
      <c r="I47" s="236" t="b">
        <v>1</v>
      </c>
      <c r="J47" s="236" t="b">
        <v>1</v>
      </c>
      <c r="K47" s="236" t="b">
        <v>1</v>
      </c>
      <c r="L47" s="236" t="b">
        <v>1</v>
      </c>
      <c r="M47" s="236" t="b">
        <v>1</v>
      </c>
      <c r="N47" s="236" t="b">
        <v>0</v>
      </c>
      <c r="O47" s="236" t="b">
        <v>1</v>
      </c>
      <c r="P47" s="236" t="b">
        <v>1</v>
      </c>
      <c r="Q47" s="236" t="b">
        <v>1</v>
      </c>
      <c r="R47" s="256" t="str" cm="1">
        <f t="array" ref="R47">IF(SUMPRODUCT((Cert_Matrix!$A$34:$A$38=E47)*(Cert_Matrix!$AR$34:$AY$38="X")*(H47:O47=TRUE))&lt;SUMPRODUCT((Cert_Matrix!$A$34:$A$38=E47)*(Cert_Matrix!$AR$34:$AY$38="X")),"Thiếu chứng nhận","Đủ điều kiện")</f>
        <v>Đủ điều kiện</v>
      </c>
      <c r="S47" s="287"/>
      <c r="T47" s="290"/>
      <c r="U47" s="257" t="str">
        <f>VLOOKUP(B47,'HC Golf'!C:G,5,0)</f>
        <v>S1</v>
      </c>
    </row>
    <row r="48" spans="1:21">
      <c r="A48" s="256">
        <f>ROWS($B$5:B46)</f>
        <v>42</v>
      </c>
      <c r="B48" s="256" t="s">
        <v>1586</v>
      </c>
      <c r="C48" s="256" t="s">
        <v>1587</v>
      </c>
      <c r="D48" s="256" t="s">
        <v>1531</v>
      </c>
      <c r="E48" s="256" t="s">
        <v>1171</v>
      </c>
      <c r="F48" s="256" t="s">
        <v>393</v>
      </c>
      <c r="G48" s="290"/>
      <c r="H48" s="236" t="b">
        <v>0</v>
      </c>
      <c r="I48" s="236" t="b">
        <v>0</v>
      </c>
      <c r="J48" s="236" t="b">
        <v>0</v>
      </c>
      <c r="K48" s="236" t="b">
        <v>0</v>
      </c>
      <c r="L48" s="236" t="b">
        <v>1</v>
      </c>
      <c r="M48" s="236" t="b">
        <v>0</v>
      </c>
      <c r="N48" s="236" t="b">
        <v>0</v>
      </c>
      <c r="O48" s="236" t="b">
        <v>0</v>
      </c>
      <c r="P48" s="236" t="b">
        <v>0</v>
      </c>
      <c r="Q48" s="236" t="b">
        <v>0</v>
      </c>
      <c r="R48" s="256" t="str" cm="1">
        <f t="array" ref="R48">IF(SUMPRODUCT((Cert_Matrix!$A$34:$A$38=E48)*(Cert_Matrix!$AR$34:$AY$38="X")*(H48:O48=TRUE))&lt;SUMPRODUCT((Cert_Matrix!$A$34:$A$38=E48)*(Cert_Matrix!$AR$34:$AY$38="X")),"Thiếu chứng nhận","Đủ điều kiện")</f>
        <v>Đủ điều kiện</v>
      </c>
      <c r="S48" s="287"/>
      <c r="T48" s="290"/>
      <c r="U48" s="257" t="str">
        <f>VLOOKUP(B48,'HC Golf'!C:G,5,0)</f>
        <v>S1</v>
      </c>
    </row>
    <row r="49" spans="1:21">
      <c r="A49" s="256">
        <f>ROWS($B$5:B47)</f>
        <v>43</v>
      </c>
      <c r="B49" s="256" t="s">
        <v>659</v>
      </c>
      <c r="C49" s="256" t="s">
        <v>660</v>
      </c>
      <c r="D49" s="256" t="s">
        <v>1536</v>
      </c>
      <c r="E49" s="256" t="s">
        <v>1155</v>
      </c>
      <c r="F49" s="256" t="s">
        <v>393</v>
      </c>
      <c r="G49" s="290"/>
      <c r="H49" s="236" t="b">
        <v>0</v>
      </c>
      <c r="I49" s="236" t="b">
        <v>0</v>
      </c>
      <c r="J49" s="236" t="b">
        <v>0</v>
      </c>
      <c r="K49" s="236" t="b">
        <v>0</v>
      </c>
      <c r="L49" s="236" t="b">
        <v>0</v>
      </c>
      <c r="M49" s="236" t="b">
        <v>1</v>
      </c>
      <c r="N49" s="236" t="b">
        <v>0</v>
      </c>
      <c r="O49" s="236" t="b">
        <v>0</v>
      </c>
      <c r="P49" s="236" t="b">
        <v>0</v>
      </c>
      <c r="Q49" s="236" t="b">
        <v>0</v>
      </c>
      <c r="R49" s="256" t="str" cm="1">
        <f t="array" ref="R49">IF(SUMPRODUCT((Cert_Matrix!$A$34:$A$38=E49)*(Cert_Matrix!$AR$34:$AY$38="X")*(H49:O49=TRUE))&lt;SUMPRODUCT((Cert_Matrix!$A$34:$A$38=E49)*(Cert_Matrix!$AR$34:$AY$38="X")),"Thiếu chứng nhận","Đủ điều kiện")</f>
        <v>Đủ điều kiện</v>
      </c>
      <c r="S49" s="287"/>
      <c r="T49" s="290"/>
      <c r="U49" s="257" t="str">
        <f>VLOOKUP(B49,'HC Golf'!C:G,5,0)</f>
        <v>S1</v>
      </c>
    </row>
    <row r="50" spans="1:21">
      <c r="A50" s="256">
        <f>ROWS($B$5:B48)</f>
        <v>44</v>
      </c>
      <c r="B50" s="256" t="s">
        <v>1588</v>
      </c>
      <c r="C50" s="256" t="s">
        <v>801</v>
      </c>
      <c r="D50" s="256" t="s">
        <v>1536</v>
      </c>
      <c r="E50" s="256" t="s">
        <v>1170</v>
      </c>
      <c r="F50" s="256" t="s">
        <v>393</v>
      </c>
      <c r="G50" s="290">
        <v>46101</v>
      </c>
      <c r="H50" s="236" t="b">
        <v>0</v>
      </c>
      <c r="I50" s="236" t="b">
        <v>0</v>
      </c>
      <c r="J50" s="236" t="b">
        <v>0</v>
      </c>
      <c r="K50" s="236" t="b">
        <v>0</v>
      </c>
      <c r="L50" s="236" t="b">
        <v>0</v>
      </c>
      <c r="M50" s="236" t="b">
        <v>0</v>
      </c>
      <c r="N50" s="236" t="b">
        <v>0</v>
      </c>
      <c r="O50" s="236" t="b">
        <v>0</v>
      </c>
      <c r="P50" s="236" t="b">
        <v>1</v>
      </c>
      <c r="Q50" s="236" t="b">
        <v>1</v>
      </c>
      <c r="R50" s="256" t="str" cm="1">
        <f t="array" ref="R50">IF(SUMPRODUCT((Cert_Matrix!$A$34:$A$38=E50)*(Cert_Matrix!$AR$34:$AY$38="X")*(H50:O50=TRUE))&lt;SUMPRODUCT((Cert_Matrix!$A$34:$A$38=E50)*(Cert_Matrix!$AR$34:$AY$38="X")),"Thiếu chứng nhận","Đủ điều kiện")</f>
        <v>Đủ điều kiện</v>
      </c>
      <c r="S50" s="287"/>
      <c r="T50" s="290"/>
      <c r="U50" s="257" t="str">
        <f>VLOOKUP(B50,'HC Golf'!C:G,5,0)</f>
        <v>S1</v>
      </c>
    </row>
    <row r="51" spans="1:21">
      <c r="A51" s="256">
        <f>ROWS($B$5:B49)</f>
        <v>45</v>
      </c>
      <c r="B51" s="256" t="s">
        <v>1589</v>
      </c>
      <c r="C51" s="256" t="s">
        <v>1590</v>
      </c>
      <c r="D51" s="256" t="s">
        <v>1536</v>
      </c>
      <c r="E51" s="256" t="s">
        <v>1171</v>
      </c>
      <c r="F51" s="256" t="s">
        <v>393</v>
      </c>
      <c r="G51" s="290"/>
      <c r="H51" s="236" t="b">
        <v>0</v>
      </c>
      <c r="I51" s="236" t="b">
        <v>0</v>
      </c>
      <c r="J51" s="236" t="b">
        <v>0</v>
      </c>
      <c r="K51" s="236" t="b">
        <v>0</v>
      </c>
      <c r="L51" s="236" t="b">
        <v>1</v>
      </c>
      <c r="M51" s="236" t="b">
        <v>0</v>
      </c>
      <c r="N51" s="236" t="b">
        <v>0</v>
      </c>
      <c r="O51" s="236" t="b">
        <v>0</v>
      </c>
      <c r="P51" s="236" t="b">
        <v>0</v>
      </c>
      <c r="Q51" s="236" t="b">
        <v>0</v>
      </c>
      <c r="R51" s="256" t="str" cm="1">
        <f t="array" ref="R51">IF(SUMPRODUCT((Cert_Matrix!$A$34:$A$38=E51)*(Cert_Matrix!$AR$34:$AY$38="X")*(H51:O51=TRUE))&lt;SUMPRODUCT((Cert_Matrix!$A$34:$A$38=E51)*(Cert_Matrix!$AR$34:$AY$38="X")),"Thiếu chứng nhận","Đủ điều kiện")</f>
        <v>Đủ điều kiện</v>
      </c>
      <c r="S51" s="287"/>
      <c r="T51" s="290"/>
      <c r="U51" s="257" t="str">
        <f>VLOOKUP(B51,'HC Golf'!C:G,5,0)</f>
        <v>S1</v>
      </c>
    </row>
    <row r="52" spans="1:21">
      <c r="A52" s="256">
        <f>ROWS($B$5:B50)</f>
        <v>46</v>
      </c>
      <c r="B52" s="256" t="s">
        <v>398</v>
      </c>
      <c r="C52" s="256" t="s">
        <v>399</v>
      </c>
      <c r="D52" s="256" t="s">
        <v>1545</v>
      </c>
      <c r="E52" s="256" t="s">
        <v>1169</v>
      </c>
      <c r="F52" s="256" t="s">
        <v>393</v>
      </c>
      <c r="G52" s="290">
        <v>46101</v>
      </c>
      <c r="H52" s="236" t="b">
        <v>0</v>
      </c>
      <c r="I52" s="236" t="b">
        <v>0</v>
      </c>
      <c r="J52" s="236" t="b">
        <v>1</v>
      </c>
      <c r="K52" s="236" t="b">
        <v>1</v>
      </c>
      <c r="L52" s="236" t="b">
        <v>1</v>
      </c>
      <c r="M52" s="236" t="b">
        <v>0</v>
      </c>
      <c r="N52" s="236" t="b">
        <v>0</v>
      </c>
      <c r="O52" s="236" t="b">
        <v>1</v>
      </c>
      <c r="P52" s="236" t="b">
        <v>1</v>
      </c>
      <c r="Q52" s="236" t="b">
        <v>1</v>
      </c>
      <c r="R52" s="256" t="str" cm="1">
        <f t="array" ref="R52">IF(SUMPRODUCT((Cert_Matrix!$A$34:$A$38=E52)*(Cert_Matrix!$AR$34:$AY$38="X")*(H52:O52=TRUE))&lt;SUMPRODUCT((Cert_Matrix!$A$34:$A$38=E52)*(Cert_Matrix!$AR$34:$AY$38="X")),"Thiếu chứng nhận","Đủ điều kiện")</f>
        <v>Đủ điều kiện</v>
      </c>
      <c r="S52" s="287"/>
      <c r="T52" s="290"/>
      <c r="U52" s="257" t="str">
        <f>VLOOKUP(B52,'HC Golf'!C:G,5,0)</f>
        <v>S1</v>
      </c>
    </row>
    <row r="53" spans="1:21">
      <c r="A53" s="256">
        <f>ROWS($B$5:B51)</f>
        <v>47</v>
      </c>
      <c r="B53" s="256" t="s">
        <v>1591</v>
      </c>
      <c r="C53" s="256" t="s">
        <v>1592</v>
      </c>
      <c r="D53" s="256" t="s">
        <v>1531</v>
      </c>
      <c r="E53" s="256" t="s">
        <v>1170</v>
      </c>
      <c r="F53" s="256" t="s">
        <v>393</v>
      </c>
      <c r="G53" s="290"/>
      <c r="H53" s="236" t="b">
        <v>0</v>
      </c>
      <c r="I53" s="236" t="b">
        <v>0</v>
      </c>
      <c r="J53" s="236" t="b">
        <v>0</v>
      </c>
      <c r="K53" s="236" t="b">
        <v>0</v>
      </c>
      <c r="L53" s="236" t="b">
        <v>0</v>
      </c>
      <c r="M53" s="236" t="b">
        <v>0</v>
      </c>
      <c r="N53" s="236" t="b">
        <v>0</v>
      </c>
      <c r="O53" s="236" t="b">
        <v>0</v>
      </c>
      <c r="P53" s="236" t="b">
        <v>0</v>
      </c>
      <c r="Q53" s="236" t="b">
        <v>0</v>
      </c>
      <c r="R53" s="256" t="str" cm="1">
        <f t="array" ref="R53">IF(SUMPRODUCT((Cert_Matrix!$A$34:$A$38=E53)*(Cert_Matrix!$AR$34:$AY$38="X")*(H53:O53=TRUE))&lt;SUMPRODUCT((Cert_Matrix!$A$34:$A$38=E53)*(Cert_Matrix!$AR$34:$AY$38="X")),"Thiếu chứng nhận","Đủ điều kiện")</f>
        <v>Đủ điều kiện</v>
      </c>
      <c r="S53" s="287"/>
      <c r="T53" s="290"/>
      <c r="U53" s="257" t="str">
        <f>VLOOKUP(B53,'HC Golf'!C:G,5,0)</f>
        <v>S1</v>
      </c>
    </row>
    <row r="54" spans="1:21">
      <c r="A54" s="256">
        <f>ROWS($B$5:B52)</f>
        <v>48</v>
      </c>
      <c r="B54" s="256" t="s">
        <v>1593</v>
      </c>
      <c r="C54" s="256" t="s">
        <v>1594</v>
      </c>
      <c r="D54" s="256" t="s">
        <v>1537</v>
      </c>
      <c r="E54" s="256" t="s">
        <v>1170</v>
      </c>
      <c r="F54" s="256" t="s">
        <v>393</v>
      </c>
      <c r="G54" s="290"/>
      <c r="H54" s="236" t="b">
        <v>0</v>
      </c>
      <c r="I54" s="236" t="b">
        <v>0</v>
      </c>
      <c r="J54" s="236" t="b">
        <v>0</v>
      </c>
      <c r="K54" s="236" t="b">
        <v>0</v>
      </c>
      <c r="L54" s="236" t="b">
        <v>0</v>
      </c>
      <c r="M54" s="236" t="b">
        <v>0</v>
      </c>
      <c r="N54" s="236" t="b">
        <v>0</v>
      </c>
      <c r="O54" s="236" t="b">
        <v>0</v>
      </c>
      <c r="P54" s="236" t="b">
        <v>0</v>
      </c>
      <c r="Q54" s="236" t="b">
        <v>0</v>
      </c>
      <c r="R54" s="256" t="str" cm="1">
        <f t="array" ref="R54">IF(SUMPRODUCT((Cert_Matrix!$A$34:$A$38=E54)*(Cert_Matrix!$AR$34:$AY$38="X")*(H54:O54=TRUE))&lt;SUMPRODUCT((Cert_Matrix!$A$34:$A$38=E54)*(Cert_Matrix!$AR$34:$AY$38="X")),"Thiếu chứng nhận","Đủ điều kiện")</f>
        <v>Đủ điều kiện</v>
      </c>
      <c r="S54" s="287"/>
      <c r="T54" s="290"/>
      <c r="U54" s="257" t="str">
        <f>VLOOKUP(B54,'HC Golf'!C:G,5,0)</f>
        <v>S1</v>
      </c>
    </row>
    <row r="55" spans="1:21">
      <c r="A55" s="256">
        <f>ROWS($B$5:B53)</f>
        <v>49</v>
      </c>
      <c r="B55" s="256" t="s">
        <v>1595</v>
      </c>
      <c r="C55" s="256" t="s">
        <v>1596</v>
      </c>
      <c r="D55" s="256" t="s">
        <v>1537</v>
      </c>
      <c r="E55" s="256" t="s">
        <v>1171</v>
      </c>
      <c r="F55" s="256" t="s">
        <v>393</v>
      </c>
      <c r="G55" s="290">
        <v>46125</v>
      </c>
      <c r="H55" s="236" t="b">
        <v>0</v>
      </c>
      <c r="I55" s="236" t="b">
        <v>0</v>
      </c>
      <c r="J55" s="236" t="b">
        <v>0</v>
      </c>
      <c r="K55" s="236" t="b">
        <v>1</v>
      </c>
      <c r="L55" s="236" t="b">
        <v>1</v>
      </c>
      <c r="M55" s="236" t="b">
        <v>0</v>
      </c>
      <c r="N55" s="236" t="b">
        <v>0</v>
      </c>
      <c r="O55" s="236" t="b">
        <v>0</v>
      </c>
      <c r="P55" s="236" t="b">
        <v>1</v>
      </c>
      <c r="Q55" s="236" t="b">
        <v>0</v>
      </c>
      <c r="R55" s="256" t="str" cm="1">
        <f t="array" ref="R55">IF(SUMPRODUCT((Cert_Matrix!$A$34:$A$38=E55)*(Cert_Matrix!$AR$34:$AY$38="X")*(H55:O55=TRUE))&lt;SUMPRODUCT((Cert_Matrix!$A$34:$A$38=E55)*(Cert_Matrix!$AR$34:$AY$38="X")),"Thiếu chứng nhận","Đủ điều kiện")</f>
        <v>Đủ điều kiện</v>
      </c>
      <c r="S55" s="287"/>
      <c r="T55" s="290"/>
      <c r="U55" s="257" t="str">
        <f>VLOOKUP(B55,'HC Golf'!C:G,5,0)</f>
        <v>S1</v>
      </c>
    </row>
    <row r="56" spans="1:21">
      <c r="A56" s="256">
        <f>ROWS($B$5:B54)</f>
        <v>50</v>
      </c>
      <c r="B56" s="256" t="s">
        <v>1597</v>
      </c>
      <c r="C56" s="256" t="s">
        <v>776</v>
      </c>
      <c r="D56" s="256" t="s">
        <v>1531</v>
      </c>
      <c r="E56" s="256" t="s">
        <v>1172</v>
      </c>
      <c r="F56" s="256" t="s">
        <v>393</v>
      </c>
      <c r="G56" s="290">
        <v>46101</v>
      </c>
      <c r="H56" s="236" t="b">
        <v>1</v>
      </c>
      <c r="I56" s="236" t="b">
        <v>1</v>
      </c>
      <c r="J56" s="236" t="b">
        <v>0</v>
      </c>
      <c r="K56" s="236" t="b">
        <v>1</v>
      </c>
      <c r="L56" s="236" t="b">
        <v>0</v>
      </c>
      <c r="M56" s="236" t="b">
        <v>1</v>
      </c>
      <c r="N56" s="236" t="b">
        <v>0</v>
      </c>
      <c r="O56" s="236" t="b">
        <v>0</v>
      </c>
      <c r="P56" s="236" t="b">
        <v>1</v>
      </c>
      <c r="Q56" s="236" t="b">
        <v>0</v>
      </c>
      <c r="R56" s="256" t="str" cm="1">
        <f t="array" ref="R56">IF(SUMPRODUCT((Cert_Matrix!$A$34:$A$38=E56)*(Cert_Matrix!$AR$34:$AY$38="X")*(H56:O56=TRUE))&lt;SUMPRODUCT((Cert_Matrix!$A$34:$A$38=E56)*(Cert_Matrix!$AR$34:$AY$38="X")),"Thiếu chứng nhận","Đủ điều kiện")</f>
        <v>Đủ điều kiện</v>
      </c>
      <c r="S56" s="287"/>
      <c r="T56" s="290"/>
      <c r="U56" s="257" t="str">
        <f>VLOOKUP(B56,'HC Golf'!C:G,5,0)</f>
        <v>S1</v>
      </c>
    </row>
    <row r="57" spans="1:21">
      <c r="A57" s="256">
        <f>ROWS($B$5:B55)</f>
        <v>51</v>
      </c>
      <c r="B57" s="256" t="s">
        <v>1598</v>
      </c>
      <c r="C57" s="256" t="s">
        <v>1599</v>
      </c>
      <c r="D57" s="256" t="s">
        <v>1537</v>
      </c>
      <c r="E57" s="256" t="s">
        <v>1172</v>
      </c>
      <c r="F57" s="256" t="s">
        <v>393</v>
      </c>
      <c r="G57" s="290">
        <v>46101</v>
      </c>
      <c r="H57" s="236" t="b">
        <v>1</v>
      </c>
      <c r="I57" s="236" t="b">
        <v>1</v>
      </c>
      <c r="J57" s="236" t="b">
        <v>0</v>
      </c>
      <c r="K57" s="236" t="b">
        <v>1</v>
      </c>
      <c r="L57" s="236" t="b">
        <v>0</v>
      </c>
      <c r="M57" s="236" t="b">
        <v>0</v>
      </c>
      <c r="N57" s="236" t="b">
        <v>0</v>
      </c>
      <c r="O57" s="236" t="b">
        <v>0</v>
      </c>
      <c r="P57" s="236" t="b">
        <v>1</v>
      </c>
      <c r="Q57" s="236" t="b">
        <v>0</v>
      </c>
      <c r="R57" s="256" t="str" cm="1">
        <f t="array" ref="R57">IF(SUMPRODUCT((Cert_Matrix!$A$34:$A$38=E57)*(Cert_Matrix!$AR$34:$AY$38="X")*(H57:O57=TRUE))&lt;SUMPRODUCT((Cert_Matrix!$A$34:$A$38=E57)*(Cert_Matrix!$AR$34:$AY$38="X")),"Thiếu chứng nhận","Đủ điều kiện")</f>
        <v>Đủ điều kiện</v>
      </c>
      <c r="S57" s="287"/>
      <c r="T57" s="290"/>
      <c r="U57" s="257" t="str">
        <f>VLOOKUP(B57,'HC Golf'!C:G,5,0)</f>
        <v>S1</v>
      </c>
    </row>
    <row r="58" spans="1:21">
      <c r="A58" s="256">
        <f>ROWS($B$5:B56)</f>
        <v>52</v>
      </c>
      <c r="B58" s="256" t="s">
        <v>1600</v>
      </c>
      <c r="C58" s="256" t="s">
        <v>1009</v>
      </c>
      <c r="D58" s="256" t="s">
        <v>1225</v>
      </c>
      <c r="E58" s="256" t="s">
        <v>1155</v>
      </c>
      <c r="F58" s="256" t="s">
        <v>393</v>
      </c>
      <c r="G58" s="290">
        <v>46061</v>
      </c>
      <c r="H58" s="236" t="b">
        <v>0</v>
      </c>
      <c r="I58" s="236" t="b">
        <v>0</v>
      </c>
      <c r="J58" s="236" t="b">
        <v>0</v>
      </c>
      <c r="K58" s="236" t="b">
        <v>0</v>
      </c>
      <c r="L58" s="236" t="b">
        <v>0</v>
      </c>
      <c r="M58" s="236" t="b">
        <v>1</v>
      </c>
      <c r="N58" s="236" t="b">
        <v>0</v>
      </c>
      <c r="O58" s="236" t="b">
        <v>0</v>
      </c>
      <c r="P58" s="236" t="b">
        <v>0</v>
      </c>
      <c r="Q58" s="236" t="b">
        <v>0</v>
      </c>
      <c r="R58" s="256" t="str" cm="1">
        <f t="array" ref="R58">IF(SUMPRODUCT((Cert_Matrix!$A$34:$A$38=E58)*(Cert_Matrix!$AR$34:$AY$38="X")*(H58:O58=TRUE))&lt;SUMPRODUCT((Cert_Matrix!$A$34:$A$38=E58)*(Cert_Matrix!$AR$34:$AY$38="X")),"Thiếu chứng nhận","Đủ điều kiện")</f>
        <v>Đủ điều kiện</v>
      </c>
      <c r="S58" s="287"/>
      <c r="T58" s="290"/>
      <c r="U58" s="257" t="str">
        <f>VLOOKUP(B58,'HC Golf'!C:G,5,0)</f>
        <v>S1</v>
      </c>
    </row>
    <row r="59" spans="1:21">
      <c r="A59" s="256">
        <f>ROWS($B$5:B57)</f>
        <v>53</v>
      </c>
      <c r="B59" s="256" t="s">
        <v>1601</v>
      </c>
      <c r="C59" s="256" t="s">
        <v>1602</v>
      </c>
      <c r="D59" s="256" t="s">
        <v>1537</v>
      </c>
      <c r="E59" s="256" t="s">
        <v>1170</v>
      </c>
      <c r="F59" s="256" t="s">
        <v>393</v>
      </c>
      <c r="G59" s="290"/>
      <c r="H59" s="236" t="b">
        <v>0</v>
      </c>
      <c r="I59" s="236" t="b">
        <v>0</v>
      </c>
      <c r="J59" s="236" t="b">
        <v>0</v>
      </c>
      <c r="K59" s="236" t="b">
        <v>0</v>
      </c>
      <c r="L59" s="236" t="b">
        <v>0</v>
      </c>
      <c r="M59" s="236" t="b">
        <v>0</v>
      </c>
      <c r="N59" s="236" t="b">
        <v>0</v>
      </c>
      <c r="O59" s="236" t="b">
        <v>0</v>
      </c>
      <c r="P59" s="236" t="b">
        <v>0</v>
      </c>
      <c r="Q59" s="236" t="b">
        <v>0</v>
      </c>
      <c r="R59" s="256" t="str" cm="1">
        <f t="array" ref="R59">IF(SUMPRODUCT((Cert_Matrix!$A$34:$A$38=E59)*(Cert_Matrix!$AR$34:$AY$38="X")*(H59:O59=TRUE))&lt;SUMPRODUCT((Cert_Matrix!$A$34:$A$38=E59)*(Cert_Matrix!$AR$34:$AY$38="X")),"Thiếu chứng nhận","Đủ điều kiện")</f>
        <v>Đủ điều kiện</v>
      </c>
      <c r="S59" s="287"/>
      <c r="T59" s="290"/>
      <c r="U59" s="257" t="str">
        <f>VLOOKUP(B59,'HC Golf'!C:G,5,0)</f>
        <v>S1</v>
      </c>
    </row>
    <row r="60" spans="1:21">
      <c r="A60" s="256">
        <f>ROWS($B$5:B59)</f>
        <v>55</v>
      </c>
      <c r="B60" s="256" t="s">
        <v>1603</v>
      </c>
      <c r="C60" s="256" t="s">
        <v>1604</v>
      </c>
      <c r="D60" s="256" t="s">
        <v>1537</v>
      </c>
      <c r="E60" s="256" t="s">
        <v>1172</v>
      </c>
      <c r="F60" s="256" t="s">
        <v>393</v>
      </c>
      <c r="G60" s="290">
        <v>46101</v>
      </c>
      <c r="H60" s="236" t="b">
        <v>1</v>
      </c>
      <c r="I60" s="236" t="b">
        <v>1</v>
      </c>
      <c r="J60" s="236" t="b">
        <v>0</v>
      </c>
      <c r="K60" s="236" t="b">
        <v>1</v>
      </c>
      <c r="L60" s="236" t="b">
        <v>0</v>
      </c>
      <c r="M60" s="236" t="b">
        <v>0</v>
      </c>
      <c r="N60" s="236" t="b">
        <v>0</v>
      </c>
      <c r="O60" s="236" t="b">
        <v>0</v>
      </c>
      <c r="P60" s="236" t="b">
        <v>1</v>
      </c>
      <c r="Q60" s="236" t="b">
        <v>0</v>
      </c>
      <c r="R60" s="256" t="str" cm="1">
        <f t="array" ref="R60">IF(SUMPRODUCT((Cert_Matrix!$A$34:$A$38=E60)*(Cert_Matrix!$AR$34:$AY$38="X")*(H60:O60=TRUE))&lt;SUMPRODUCT((Cert_Matrix!$A$34:$A$38=E60)*(Cert_Matrix!$AR$34:$AY$38="X")),"Thiếu chứng nhận","Đủ điều kiện")</f>
        <v>Đủ điều kiện</v>
      </c>
      <c r="S60" s="287"/>
      <c r="T60" s="290"/>
      <c r="U60" s="257" t="str">
        <f>VLOOKUP(B60,'HC Golf'!C:G,5,0)</f>
        <v>S1</v>
      </c>
    </row>
    <row r="61" spans="1:21">
      <c r="A61" s="256">
        <f>ROWS($B$5:B59)</f>
        <v>55</v>
      </c>
      <c r="B61" s="256" t="s">
        <v>1605</v>
      </c>
      <c r="C61" s="256" t="s">
        <v>1606</v>
      </c>
      <c r="D61" s="256" t="s">
        <v>1545</v>
      </c>
      <c r="E61" s="256" t="s">
        <v>1170</v>
      </c>
      <c r="F61" s="256" t="s">
        <v>393</v>
      </c>
      <c r="G61" s="290">
        <v>46134</v>
      </c>
      <c r="H61" s="236" t="b">
        <v>0</v>
      </c>
      <c r="I61" s="236" t="b">
        <v>0</v>
      </c>
      <c r="J61" s="236" t="b">
        <v>1</v>
      </c>
      <c r="K61" s="236" t="b">
        <v>0</v>
      </c>
      <c r="L61" s="236" t="b">
        <v>0</v>
      </c>
      <c r="M61" s="236" t="b">
        <v>0</v>
      </c>
      <c r="N61" s="236" t="b">
        <v>0</v>
      </c>
      <c r="O61" s="236" t="b">
        <v>1</v>
      </c>
      <c r="P61" s="236" t="b">
        <v>0</v>
      </c>
      <c r="Q61" s="236" t="b">
        <v>0</v>
      </c>
      <c r="R61" s="256" t="str" cm="1">
        <f t="array" ref="R61">IF(SUMPRODUCT((Cert_Matrix!$A$34:$A$38=E61)*(Cert_Matrix!$AR$34:$AY$38="X")*(H61:O61=TRUE))&lt;SUMPRODUCT((Cert_Matrix!$A$34:$A$38=E61)*(Cert_Matrix!$AR$34:$AY$38="X")),"Thiếu chứng nhận","Đủ điều kiện")</f>
        <v>Đủ điều kiện</v>
      </c>
      <c r="S61" s="287"/>
      <c r="T61" s="290"/>
      <c r="U61" s="257" t="str">
        <f>VLOOKUP(B61,'HC Golf'!C:G,5,0)</f>
        <v>S1</v>
      </c>
    </row>
    <row r="62" spans="1:21">
      <c r="A62" s="256">
        <f>ROWS($B$5:B60)</f>
        <v>56</v>
      </c>
      <c r="B62" s="256" t="s">
        <v>1607</v>
      </c>
      <c r="C62" s="256" t="s">
        <v>851</v>
      </c>
      <c r="D62" s="256" t="s">
        <v>1537</v>
      </c>
      <c r="E62" s="256" t="s">
        <v>1171</v>
      </c>
      <c r="F62" s="256" t="s">
        <v>393</v>
      </c>
      <c r="G62" s="290">
        <v>46061</v>
      </c>
      <c r="H62" s="236" t="b">
        <v>0</v>
      </c>
      <c r="I62" s="236" t="b">
        <v>0</v>
      </c>
      <c r="J62" s="236" t="b">
        <v>0</v>
      </c>
      <c r="K62" s="236" t="b">
        <v>1</v>
      </c>
      <c r="L62" s="236" t="b">
        <v>1</v>
      </c>
      <c r="M62" s="236" t="b">
        <v>0</v>
      </c>
      <c r="N62" s="236" t="b">
        <v>0</v>
      </c>
      <c r="O62" s="236" t="b">
        <v>0</v>
      </c>
      <c r="P62" s="236" t="b">
        <v>1</v>
      </c>
      <c r="Q62" s="236" t="b">
        <v>0</v>
      </c>
      <c r="R62" s="256" t="str" cm="1">
        <f t="array" ref="R62">IF(SUMPRODUCT((Cert_Matrix!$A$34:$A$38=E62)*(Cert_Matrix!$AR$34:$AY$38="X")*(H62:O62=TRUE))&lt;SUMPRODUCT((Cert_Matrix!$A$34:$A$38=E62)*(Cert_Matrix!$AR$34:$AY$38="X")),"Thiếu chứng nhận","Đủ điều kiện")</f>
        <v>Đủ điều kiện</v>
      </c>
      <c r="S62" s="287"/>
      <c r="T62" s="290"/>
      <c r="U62" s="257" t="str">
        <f>VLOOKUP(B62,'HC Golf'!C:G,5,0)</f>
        <v>S1</v>
      </c>
    </row>
    <row r="63" spans="1:21">
      <c r="A63" s="256">
        <f>ROWS($B$5:B61)</f>
        <v>57</v>
      </c>
      <c r="B63" s="256" t="s">
        <v>1608</v>
      </c>
      <c r="C63" s="256" t="s">
        <v>1609</v>
      </c>
      <c r="D63" s="256" t="s">
        <v>1225</v>
      </c>
      <c r="E63" s="256" t="s">
        <v>1170</v>
      </c>
      <c r="F63" s="256" t="s">
        <v>393</v>
      </c>
      <c r="G63" s="290">
        <v>46106</v>
      </c>
      <c r="H63" s="236" t="b">
        <v>0</v>
      </c>
      <c r="I63" s="236" t="b">
        <v>0</v>
      </c>
      <c r="J63" s="236" t="b">
        <v>0</v>
      </c>
      <c r="K63" s="236" t="b">
        <v>0</v>
      </c>
      <c r="L63" s="236" t="b">
        <v>0</v>
      </c>
      <c r="M63" s="236" t="b">
        <v>0</v>
      </c>
      <c r="N63" s="236" t="b">
        <v>0</v>
      </c>
      <c r="O63" s="236" t="b">
        <v>1</v>
      </c>
      <c r="P63" s="236" t="b">
        <v>0</v>
      </c>
      <c r="Q63" s="236" t="b">
        <v>0</v>
      </c>
      <c r="R63" s="256" t="str" cm="1">
        <f t="array" ref="R63">IF(SUMPRODUCT((Cert_Matrix!$A$34:$A$38=E63)*(Cert_Matrix!$AR$34:$AY$38="X")*(H63:O63=TRUE))&lt;SUMPRODUCT((Cert_Matrix!$A$34:$A$38=E63)*(Cert_Matrix!$AR$34:$AY$38="X")),"Thiếu chứng nhận","Đủ điều kiện")</f>
        <v>Đủ điều kiện</v>
      </c>
      <c r="S63" s="287"/>
      <c r="T63" s="290"/>
      <c r="U63" s="257" t="str">
        <f>VLOOKUP(B63,'HC Golf'!C:G,5,0)</f>
        <v>S1</v>
      </c>
    </row>
    <row r="64" spans="1:21">
      <c r="A64" s="256">
        <f>ROWS($B$5:B62)</f>
        <v>58</v>
      </c>
      <c r="B64" s="256" t="s">
        <v>1610</v>
      </c>
      <c r="C64" s="256" t="s">
        <v>1611</v>
      </c>
      <c r="D64" s="256" t="s">
        <v>1225</v>
      </c>
      <c r="E64" s="256" t="s">
        <v>1170</v>
      </c>
      <c r="F64" s="256" t="s">
        <v>393</v>
      </c>
      <c r="G64" s="290"/>
      <c r="H64" s="236" t="b">
        <v>0</v>
      </c>
      <c r="I64" s="236" t="b">
        <v>0</v>
      </c>
      <c r="J64" s="236" t="b">
        <v>0</v>
      </c>
      <c r="K64" s="236" t="b">
        <v>0</v>
      </c>
      <c r="L64" s="236" t="b">
        <v>0</v>
      </c>
      <c r="M64" s="236" t="b">
        <v>0</v>
      </c>
      <c r="N64" s="236" t="b">
        <v>0</v>
      </c>
      <c r="O64" s="236" t="b">
        <v>0</v>
      </c>
      <c r="P64" s="236" t="b">
        <v>0</v>
      </c>
      <c r="Q64" s="236" t="b">
        <v>0</v>
      </c>
      <c r="R64" s="256" t="str" cm="1">
        <f t="array" ref="R64">IF(SUMPRODUCT((Cert_Matrix!$A$34:$A$38=E64)*(Cert_Matrix!$AR$34:$AY$38="X")*(H64:O64=TRUE))&lt;SUMPRODUCT((Cert_Matrix!$A$34:$A$38=E64)*(Cert_Matrix!$AR$34:$AY$38="X")),"Thiếu chứng nhận","Đủ điều kiện")</f>
        <v>Đủ điều kiện</v>
      </c>
      <c r="S64" s="287"/>
      <c r="T64" s="290"/>
      <c r="U64" s="257" t="str">
        <f>VLOOKUP(B64,'HC Golf'!C:G,5,0)</f>
        <v>S2</v>
      </c>
    </row>
    <row r="65" spans="1:21">
      <c r="A65" s="256">
        <f>ROWS($B$5:B63)</f>
        <v>59</v>
      </c>
      <c r="B65" s="256" t="s">
        <v>1612</v>
      </c>
      <c r="C65" s="256" t="s">
        <v>1613</v>
      </c>
      <c r="D65" s="256" t="s">
        <v>1225</v>
      </c>
      <c r="E65" s="256" t="s">
        <v>1170</v>
      </c>
      <c r="F65" s="256" t="s">
        <v>393</v>
      </c>
      <c r="G65" s="290"/>
      <c r="H65" s="236" t="b">
        <v>0</v>
      </c>
      <c r="I65" s="236" t="b">
        <v>0</v>
      </c>
      <c r="J65" s="236" t="b">
        <v>0</v>
      </c>
      <c r="K65" s="236" t="b">
        <v>0</v>
      </c>
      <c r="L65" s="236" t="b">
        <v>0</v>
      </c>
      <c r="M65" s="236" t="b">
        <v>0</v>
      </c>
      <c r="N65" s="236" t="b">
        <v>0</v>
      </c>
      <c r="O65" s="236" t="b">
        <v>0</v>
      </c>
      <c r="P65" s="236" t="b">
        <v>0</v>
      </c>
      <c r="Q65" s="236" t="b">
        <v>0</v>
      </c>
      <c r="R65" s="256" t="str" cm="1">
        <f t="array" ref="R65">IF(SUMPRODUCT((Cert_Matrix!$A$34:$A$38=E65)*(Cert_Matrix!$AR$34:$AY$38="X")*(H65:O65=TRUE))&lt;SUMPRODUCT((Cert_Matrix!$A$34:$A$38=E65)*(Cert_Matrix!$AR$34:$AY$38="X")),"Thiếu chứng nhận","Đủ điều kiện")</f>
        <v>Đủ điều kiện</v>
      </c>
      <c r="S65" s="287"/>
      <c r="T65" s="290"/>
      <c r="U65" s="257" t="str">
        <f>VLOOKUP(B65,'HC Golf'!C:G,5,0)</f>
        <v>S2</v>
      </c>
    </row>
    <row r="66" spans="1:21">
      <c r="A66" s="256">
        <f>ROWS($B$5:B64)</f>
        <v>60</v>
      </c>
      <c r="B66" s="256" t="s">
        <v>1614</v>
      </c>
      <c r="C66" s="256" t="s">
        <v>1615</v>
      </c>
      <c r="D66" s="256" t="s">
        <v>1225</v>
      </c>
      <c r="E66" s="256" t="s">
        <v>1170</v>
      </c>
      <c r="F66" s="256" t="s">
        <v>393</v>
      </c>
      <c r="G66" s="290"/>
      <c r="H66" s="236" t="b">
        <v>0</v>
      </c>
      <c r="I66" s="236" t="b">
        <v>0</v>
      </c>
      <c r="J66" s="236" t="b">
        <v>0</v>
      </c>
      <c r="K66" s="236" t="b">
        <v>0</v>
      </c>
      <c r="L66" s="236" t="b">
        <v>0</v>
      </c>
      <c r="M66" s="236" t="b">
        <v>0</v>
      </c>
      <c r="N66" s="236" t="b">
        <v>0</v>
      </c>
      <c r="O66" s="236" t="b">
        <v>0</v>
      </c>
      <c r="P66" s="236" t="b">
        <v>0</v>
      </c>
      <c r="Q66" s="236" t="b">
        <v>0</v>
      </c>
      <c r="R66" s="256" t="str" cm="1">
        <f t="array" ref="R66">IF(SUMPRODUCT((Cert_Matrix!$A$34:$A$38=E66)*(Cert_Matrix!$AR$34:$AY$38="X")*(H66:O66=TRUE))&lt;SUMPRODUCT((Cert_Matrix!$A$34:$A$38=E66)*(Cert_Matrix!$AR$34:$AY$38="X")),"Thiếu chứng nhận","Đủ điều kiện")</f>
        <v>Đủ điều kiện</v>
      </c>
      <c r="S66" s="287"/>
      <c r="T66" s="290"/>
      <c r="U66" s="257" t="str">
        <f>VLOOKUP(B66,'HC Golf'!C:G,5,0)</f>
        <v>S2</v>
      </c>
    </row>
    <row r="67" spans="1:21">
      <c r="A67" s="256">
        <f>ROWS($B$5:B65)</f>
        <v>61</v>
      </c>
      <c r="B67" s="256" t="s">
        <v>1616</v>
      </c>
      <c r="C67" s="256" t="s">
        <v>1617</v>
      </c>
      <c r="D67" s="256" t="s">
        <v>1225</v>
      </c>
      <c r="E67" s="256" t="s">
        <v>1170</v>
      </c>
      <c r="F67" s="256" t="s">
        <v>393</v>
      </c>
      <c r="G67" s="290"/>
      <c r="H67" s="236" t="b">
        <v>0</v>
      </c>
      <c r="I67" s="236" t="b">
        <v>0</v>
      </c>
      <c r="J67" s="236" t="b">
        <v>0</v>
      </c>
      <c r="K67" s="236" t="b">
        <v>0</v>
      </c>
      <c r="L67" s="236" t="b">
        <v>0</v>
      </c>
      <c r="M67" s="236" t="b">
        <v>0</v>
      </c>
      <c r="N67" s="236" t="b">
        <v>0</v>
      </c>
      <c r="O67" s="236" t="b">
        <v>0</v>
      </c>
      <c r="P67" s="236" t="b">
        <v>0</v>
      </c>
      <c r="Q67" s="236" t="b">
        <v>0</v>
      </c>
      <c r="R67" s="256" t="str" cm="1">
        <f t="array" ref="R67">IF(SUMPRODUCT((Cert_Matrix!$A$34:$A$38=E67)*(Cert_Matrix!$AR$34:$AY$38="X")*(H67:O67=TRUE))&lt;SUMPRODUCT((Cert_Matrix!$A$34:$A$38=E67)*(Cert_Matrix!$AR$34:$AY$38="X")),"Thiếu chứng nhận","Đủ điều kiện")</f>
        <v>Đủ điều kiện</v>
      </c>
      <c r="S67" s="287"/>
      <c r="T67" s="290"/>
      <c r="U67" s="257" t="str">
        <f>VLOOKUP(B67,'HC Golf'!C:G,5,0)</f>
        <v>S1</v>
      </c>
    </row>
    <row r="68" spans="1:21">
      <c r="A68" s="256">
        <f>ROWS($B$5:B66)</f>
        <v>62</v>
      </c>
      <c r="B68" s="256" t="s">
        <v>1618</v>
      </c>
      <c r="C68" s="256" t="s">
        <v>1619</v>
      </c>
      <c r="D68" s="256" t="s">
        <v>1225</v>
      </c>
      <c r="E68" s="256" t="s">
        <v>1170</v>
      </c>
      <c r="F68" s="256" t="s">
        <v>393</v>
      </c>
      <c r="G68" s="290"/>
      <c r="H68" s="236" t="b">
        <v>0</v>
      </c>
      <c r="I68" s="236" t="b">
        <v>0</v>
      </c>
      <c r="J68" s="236" t="b">
        <v>0</v>
      </c>
      <c r="K68" s="236" t="b">
        <v>0</v>
      </c>
      <c r="L68" s="236" t="b">
        <v>0</v>
      </c>
      <c r="M68" s="236" t="b">
        <v>0</v>
      </c>
      <c r="N68" s="236" t="b">
        <v>0</v>
      </c>
      <c r="O68" s="236" t="b">
        <v>0</v>
      </c>
      <c r="P68" s="236" t="b">
        <v>0</v>
      </c>
      <c r="Q68" s="236" t="b">
        <v>0</v>
      </c>
      <c r="R68" s="256" t="str" cm="1">
        <f t="array" ref="R68">IF(SUMPRODUCT((Cert_Matrix!$A$34:$A$38=E68)*(Cert_Matrix!$AR$34:$AY$38="X")*(H68:O68=TRUE))&lt;SUMPRODUCT((Cert_Matrix!$A$34:$A$38=E68)*(Cert_Matrix!$AR$34:$AY$38="X")),"Thiếu chứng nhận","Đủ điều kiện")</f>
        <v>Đủ điều kiện</v>
      </c>
      <c r="S68" s="287"/>
      <c r="T68" s="290"/>
      <c r="U68" s="257" t="str">
        <f>VLOOKUP(B68,'HC Golf'!C:G,5,0)</f>
        <v>S2</v>
      </c>
    </row>
    <row r="69" spans="1:21">
      <c r="A69" s="256">
        <f>ROWS($B$5:B67)</f>
        <v>63</v>
      </c>
      <c r="B69" s="256" t="s">
        <v>1620</v>
      </c>
      <c r="C69" s="256" t="s">
        <v>1621</v>
      </c>
      <c r="D69" s="256" t="s">
        <v>1225</v>
      </c>
      <c r="E69" s="256" t="s">
        <v>1170</v>
      </c>
      <c r="F69" s="256" t="s">
        <v>393</v>
      </c>
      <c r="G69" s="290">
        <v>46172</v>
      </c>
      <c r="H69" s="236" t="b">
        <v>0</v>
      </c>
      <c r="I69" s="236" t="b">
        <v>0</v>
      </c>
      <c r="J69" s="236" t="b">
        <v>0</v>
      </c>
      <c r="K69" s="236" t="b">
        <v>0</v>
      </c>
      <c r="L69" s="236" t="b">
        <v>0</v>
      </c>
      <c r="M69" s="236" t="b">
        <v>1</v>
      </c>
      <c r="N69" s="236" t="b">
        <v>0</v>
      </c>
      <c r="O69" s="236" t="b">
        <v>0</v>
      </c>
      <c r="P69" s="236" t="b">
        <v>1</v>
      </c>
      <c r="Q69" s="236" t="b">
        <v>0</v>
      </c>
      <c r="R69" s="256" t="str" cm="1">
        <f t="array" ref="R69">IF(SUMPRODUCT((Cert_Matrix!$A$34:$A$38=E69)*(Cert_Matrix!$AR$34:$AY$38="X")*(H69:O69=TRUE))&lt;SUMPRODUCT((Cert_Matrix!$A$34:$A$38=E69)*(Cert_Matrix!$AR$34:$AY$38="X")),"Thiếu chứng nhận","Đủ điều kiện")</f>
        <v>Đủ điều kiện</v>
      </c>
      <c r="S69" s="287"/>
      <c r="T69" s="290"/>
      <c r="U69" s="257" t="str">
        <f>VLOOKUP(B69,'HC Golf'!C:G,5,0)</f>
        <v>S3</v>
      </c>
    </row>
    <row r="70" spans="1:21">
      <c r="A70" s="256">
        <f>ROWS($B$5:B68)</f>
        <v>64</v>
      </c>
      <c r="B70" s="256" t="s">
        <v>1622</v>
      </c>
      <c r="C70" s="256" t="s">
        <v>1623</v>
      </c>
      <c r="D70" s="256" t="s">
        <v>1225</v>
      </c>
      <c r="E70" s="256" t="s">
        <v>1170</v>
      </c>
      <c r="F70" s="256" t="s">
        <v>393</v>
      </c>
      <c r="G70" s="290"/>
      <c r="H70" s="236" t="b">
        <v>0</v>
      </c>
      <c r="I70" s="236" t="b">
        <v>0</v>
      </c>
      <c r="J70" s="236" t="b">
        <v>0</v>
      </c>
      <c r="K70" s="236" t="b">
        <v>0</v>
      </c>
      <c r="L70" s="236" t="b">
        <v>0</v>
      </c>
      <c r="M70" s="236" t="b">
        <v>0</v>
      </c>
      <c r="N70" s="236" t="b">
        <v>0</v>
      </c>
      <c r="O70" s="236" t="b">
        <v>0</v>
      </c>
      <c r="P70" s="236" t="b">
        <v>0</v>
      </c>
      <c r="Q70" s="236" t="b">
        <v>0</v>
      </c>
      <c r="R70" s="256" t="str" cm="1">
        <f t="array" ref="R70">IF(SUMPRODUCT((Cert_Matrix!$A$34:$A$38=E70)*(Cert_Matrix!$AR$34:$AY$38="X")*(H70:O70=TRUE))&lt;SUMPRODUCT((Cert_Matrix!$A$34:$A$38=E70)*(Cert_Matrix!$AR$34:$AY$38="X")),"Thiếu chứng nhận","Đủ điều kiện")</f>
        <v>Đủ điều kiện</v>
      </c>
      <c r="S70" s="287"/>
      <c r="T70" s="290"/>
      <c r="U70" s="257" t="str">
        <f>VLOOKUP(B70,'HC Golf'!C:G,5,0)</f>
        <v>S1</v>
      </c>
    </row>
    <row r="71" spans="1:21">
      <c r="A71" s="256">
        <f>ROWS($B$5:B69)</f>
        <v>65</v>
      </c>
      <c r="B71" s="256" t="s">
        <v>1624</v>
      </c>
      <c r="C71" s="256" t="s">
        <v>1625</v>
      </c>
      <c r="D71" s="256" t="s">
        <v>1225</v>
      </c>
      <c r="E71" s="256" t="s">
        <v>1170</v>
      </c>
      <c r="F71" s="256" t="s">
        <v>393</v>
      </c>
      <c r="G71" s="290"/>
      <c r="H71" s="236" t="b">
        <v>0</v>
      </c>
      <c r="I71" s="236" t="b">
        <v>0</v>
      </c>
      <c r="J71" s="236" t="b">
        <v>0</v>
      </c>
      <c r="K71" s="236" t="b">
        <v>0</v>
      </c>
      <c r="L71" s="236" t="b">
        <v>0</v>
      </c>
      <c r="M71" s="236" t="b">
        <v>0</v>
      </c>
      <c r="N71" s="236" t="b">
        <v>0</v>
      </c>
      <c r="O71" s="236" t="b">
        <v>0</v>
      </c>
      <c r="P71" s="236" t="b">
        <v>0</v>
      </c>
      <c r="Q71" s="236" t="b">
        <v>0</v>
      </c>
      <c r="R71" s="256" t="str" cm="1">
        <f t="array" ref="R71">IF(SUMPRODUCT((Cert_Matrix!$A$34:$A$38=E71)*(Cert_Matrix!$AR$34:$AY$38="X")*(H71:O71=TRUE))&lt;SUMPRODUCT((Cert_Matrix!$A$34:$A$38=E71)*(Cert_Matrix!$AR$34:$AY$38="X")),"Thiếu chứng nhận","Đủ điều kiện")</f>
        <v>Đủ điều kiện</v>
      </c>
      <c r="S71" s="287"/>
      <c r="T71" s="290"/>
      <c r="U71" s="257" t="str">
        <f>VLOOKUP(B71,'HC Golf'!C:G,5,0)</f>
        <v>S3</v>
      </c>
    </row>
    <row r="72" spans="1:21">
      <c r="A72" s="256">
        <f>ROWS($B$5:B70)</f>
        <v>66</v>
      </c>
      <c r="B72" s="256" t="s">
        <v>1626</v>
      </c>
      <c r="C72" s="256" t="s">
        <v>1627</v>
      </c>
      <c r="D72" s="256" t="s">
        <v>1225</v>
      </c>
      <c r="E72" s="256" t="s">
        <v>1170</v>
      </c>
      <c r="F72" s="256" t="s">
        <v>393</v>
      </c>
      <c r="G72" s="290"/>
      <c r="H72" s="236" t="b">
        <v>0</v>
      </c>
      <c r="I72" s="236" t="b">
        <v>0</v>
      </c>
      <c r="J72" s="236" t="b">
        <v>0</v>
      </c>
      <c r="K72" s="236" t="b">
        <v>0</v>
      </c>
      <c r="L72" s="236" t="b">
        <v>0</v>
      </c>
      <c r="M72" s="236" t="b">
        <v>0</v>
      </c>
      <c r="N72" s="236" t="b">
        <v>0</v>
      </c>
      <c r="O72" s="236" t="b">
        <v>0</v>
      </c>
      <c r="P72" s="236" t="b">
        <v>0</v>
      </c>
      <c r="Q72" s="236" t="b">
        <v>0</v>
      </c>
      <c r="R72" s="256" t="str" cm="1">
        <f t="array" ref="R72">IF(SUMPRODUCT((Cert_Matrix!$A$34:$A$38=E72)*(Cert_Matrix!$AR$34:$AY$38="X")*(H72:O72=TRUE))&lt;SUMPRODUCT((Cert_Matrix!$A$34:$A$38=E72)*(Cert_Matrix!$AR$34:$AY$38="X")),"Thiếu chứng nhận","Đủ điều kiện")</f>
        <v>Đủ điều kiện</v>
      </c>
      <c r="S72" s="287"/>
      <c r="T72" s="290"/>
      <c r="U72" s="257" t="str">
        <f>VLOOKUP(B72,'HC Golf'!C:G,5,0)</f>
        <v>S3</v>
      </c>
    </row>
    <row r="73" spans="1:21">
      <c r="A73" s="256">
        <f>ROWS($B$5:B71)</f>
        <v>67</v>
      </c>
      <c r="B73" s="256" t="s">
        <v>1628</v>
      </c>
      <c r="C73" s="256" t="s">
        <v>1629</v>
      </c>
      <c r="D73" s="256" t="s">
        <v>1225</v>
      </c>
      <c r="E73" s="256" t="s">
        <v>1170</v>
      </c>
      <c r="F73" s="256" t="s">
        <v>393</v>
      </c>
      <c r="G73" s="290"/>
      <c r="H73" s="236" t="b">
        <v>0</v>
      </c>
      <c r="I73" s="236" t="b">
        <v>0</v>
      </c>
      <c r="J73" s="236" t="b">
        <v>0</v>
      </c>
      <c r="K73" s="236" t="b">
        <v>0</v>
      </c>
      <c r="L73" s="236" t="b">
        <v>0</v>
      </c>
      <c r="M73" s="236" t="b">
        <v>0</v>
      </c>
      <c r="N73" s="236" t="b">
        <v>0</v>
      </c>
      <c r="O73" s="236" t="b">
        <v>0</v>
      </c>
      <c r="P73" s="236" t="b">
        <v>0</v>
      </c>
      <c r="Q73" s="236" t="b">
        <v>0</v>
      </c>
      <c r="R73" s="256" t="str" cm="1">
        <f t="array" ref="R73">IF(SUMPRODUCT((Cert_Matrix!$A$34:$A$38=E73)*(Cert_Matrix!$AR$34:$AY$38="X")*(H73:O73=TRUE))&lt;SUMPRODUCT((Cert_Matrix!$A$34:$A$38=E73)*(Cert_Matrix!$AR$34:$AY$38="X")),"Thiếu chứng nhận","Đủ điều kiện")</f>
        <v>Đủ điều kiện</v>
      </c>
      <c r="S73" s="287"/>
      <c r="T73" s="290"/>
      <c r="U73" s="257" t="str">
        <f>VLOOKUP(B73,'HC Golf'!C:G,5,0)</f>
        <v>S1</v>
      </c>
    </row>
    <row r="74" spans="1:21">
      <c r="A74" s="256">
        <f>ROWS($B$5:B72)</f>
        <v>68</v>
      </c>
      <c r="B74" s="256" t="s">
        <v>1630</v>
      </c>
      <c r="C74" s="256" t="s">
        <v>1631</v>
      </c>
      <c r="D74" s="256" t="s">
        <v>1225</v>
      </c>
      <c r="E74" s="256" t="s">
        <v>1170</v>
      </c>
      <c r="F74" s="256" t="s">
        <v>393</v>
      </c>
      <c r="G74" s="290"/>
      <c r="H74" s="236" t="b">
        <v>0</v>
      </c>
      <c r="I74" s="236" t="b">
        <v>0</v>
      </c>
      <c r="J74" s="236" t="b">
        <v>0</v>
      </c>
      <c r="K74" s="236" t="b">
        <v>0</v>
      </c>
      <c r="L74" s="236" t="b">
        <v>0</v>
      </c>
      <c r="M74" s="236" t="b">
        <v>0</v>
      </c>
      <c r="N74" s="236" t="b">
        <v>0</v>
      </c>
      <c r="O74" s="236" t="b">
        <v>0</v>
      </c>
      <c r="P74" s="236" t="b">
        <v>0</v>
      </c>
      <c r="Q74" s="236" t="b">
        <v>0</v>
      </c>
      <c r="R74" s="256" t="str" cm="1">
        <f t="array" ref="R74">IF(SUMPRODUCT((Cert_Matrix!$A$34:$A$38=E74)*(Cert_Matrix!$AR$34:$AY$38="X")*(H74:O74=TRUE))&lt;SUMPRODUCT((Cert_Matrix!$A$34:$A$38=E74)*(Cert_Matrix!$AR$34:$AY$38="X")),"Thiếu chứng nhận","Đủ điều kiện")</f>
        <v>Đủ điều kiện</v>
      </c>
      <c r="S74" s="287"/>
      <c r="T74" s="290"/>
      <c r="U74" s="257" t="str">
        <f>VLOOKUP(B74,'HC Golf'!C:G,5,0)</f>
        <v>S1</v>
      </c>
    </row>
    <row r="75" spans="1:21">
      <c r="A75" s="256">
        <f>ROWS($B$5:B73)</f>
        <v>69</v>
      </c>
      <c r="B75" s="256" t="s">
        <v>1632</v>
      </c>
      <c r="C75" s="256" t="s">
        <v>1633</v>
      </c>
      <c r="D75" s="256" t="s">
        <v>1225</v>
      </c>
      <c r="E75" s="256" t="s">
        <v>1170</v>
      </c>
      <c r="F75" s="256" t="s">
        <v>393</v>
      </c>
      <c r="G75" s="290"/>
      <c r="H75" s="236" t="b">
        <v>0</v>
      </c>
      <c r="I75" s="236" t="b">
        <v>0</v>
      </c>
      <c r="J75" s="236" t="b">
        <v>0</v>
      </c>
      <c r="K75" s="236" t="b">
        <v>0</v>
      </c>
      <c r="L75" s="236" t="b">
        <v>0</v>
      </c>
      <c r="M75" s="236" t="b">
        <v>0</v>
      </c>
      <c r="N75" s="236" t="b">
        <v>0</v>
      </c>
      <c r="O75" s="236" t="b">
        <v>0</v>
      </c>
      <c r="P75" s="236" t="b">
        <v>0</v>
      </c>
      <c r="Q75" s="236" t="b">
        <v>0</v>
      </c>
      <c r="R75" s="256" t="str" cm="1">
        <f t="array" ref="R75">IF(SUMPRODUCT((Cert_Matrix!$A$34:$A$38=E75)*(Cert_Matrix!$AR$34:$AY$38="X")*(H75:O75=TRUE))&lt;SUMPRODUCT((Cert_Matrix!$A$34:$A$38=E75)*(Cert_Matrix!$AR$34:$AY$38="X")),"Thiếu chứng nhận","Đủ điều kiện")</f>
        <v>Đủ điều kiện</v>
      </c>
      <c r="S75" s="287"/>
      <c r="T75" s="290"/>
      <c r="U75" s="257" t="str">
        <f>VLOOKUP(B75,'HC Golf'!C:G,5,0)</f>
        <v>S2</v>
      </c>
    </row>
    <row r="76" spans="1:21">
      <c r="A76" s="256">
        <f>ROWS($B$5:B74)</f>
        <v>70</v>
      </c>
      <c r="B76" s="256" t="s">
        <v>1634</v>
      </c>
      <c r="C76" s="256" t="s">
        <v>1635</v>
      </c>
      <c r="D76" s="256" t="s">
        <v>1225</v>
      </c>
      <c r="E76" s="256" t="s">
        <v>1170</v>
      </c>
      <c r="F76" s="256" t="s">
        <v>393</v>
      </c>
      <c r="G76" s="290"/>
      <c r="H76" s="236" t="b">
        <v>0</v>
      </c>
      <c r="I76" s="236" t="b">
        <v>0</v>
      </c>
      <c r="J76" s="236" t="b">
        <v>0</v>
      </c>
      <c r="K76" s="236" t="b">
        <v>0</v>
      </c>
      <c r="L76" s="236" t="b">
        <v>0</v>
      </c>
      <c r="M76" s="236" t="b">
        <v>0</v>
      </c>
      <c r="N76" s="236" t="b">
        <v>0</v>
      </c>
      <c r="O76" s="236" t="b">
        <v>0</v>
      </c>
      <c r="P76" s="236" t="b">
        <v>0</v>
      </c>
      <c r="Q76" s="236" t="b">
        <v>0</v>
      </c>
      <c r="R76" s="256" t="str" cm="1">
        <f t="array" ref="R76">IF(SUMPRODUCT((Cert_Matrix!$A$34:$A$38=E76)*(Cert_Matrix!$AR$34:$AY$38="X")*(H76:O76=TRUE))&lt;SUMPRODUCT((Cert_Matrix!$A$34:$A$38=E76)*(Cert_Matrix!$AR$34:$AY$38="X")),"Thiếu chứng nhận","Đủ điều kiện")</f>
        <v>Đủ điều kiện</v>
      </c>
      <c r="S76" s="287"/>
      <c r="T76" s="290"/>
      <c r="U76" s="257" t="str">
        <f>VLOOKUP(B76,'HC Golf'!C:G,5,0)</f>
        <v>S1</v>
      </c>
    </row>
    <row r="77" spans="1:21">
      <c r="A77" s="256">
        <f>ROWS($B$5:B75)</f>
        <v>71</v>
      </c>
      <c r="B77" s="256" t="s">
        <v>1636</v>
      </c>
      <c r="C77" s="256" t="s">
        <v>1637</v>
      </c>
      <c r="D77" s="256" t="s">
        <v>1225</v>
      </c>
      <c r="E77" s="256" t="s">
        <v>1170</v>
      </c>
      <c r="F77" s="256" t="s">
        <v>393</v>
      </c>
      <c r="G77" s="290"/>
      <c r="H77" s="236" t="b">
        <v>0</v>
      </c>
      <c r="I77" s="236" t="b">
        <v>0</v>
      </c>
      <c r="J77" s="236" t="b">
        <v>0</v>
      </c>
      <c r="K77" s="236" t="b">
        <v>0</v>
      </c>
      <c r="L77" s="236" t="b">
        <v>0</v>
      </c>
      <c r="M77" s="236" t="b">
        <v>0</v>
      </c>
      <c r="N77" s="236" t="b">
        <v>0</v>
      </c>
      <c r="O77" s="236" t="b">
        <v>0</v>
      </c>
      <c r="P77" s="236" t="b">
        <v>0</v>
      </c>
      <c r="Q77" s="236" t="b">
        <v>0</v>
      </c>
      <c r="R77" s="256" t="str" cm="1">
        <f t="array" ref="R77">IF(SUMPRODUCT((Cert_Matrix!$A$34:$A$38=E77)*(Cert_Matrix!$AR$34:$AY$38="X")*(H77:O77=TRUE))&lt;SUMPRODUCT((Cert_Matrix!$A$34:$A$38=E77)*(Cert_Matrix!$AR$34:$AY$38="X")),"Thiếu chứng nhận","Đủ điều kiện")</f>
        <v>Đủ điều kiện</v>
      </c>
      <c r="S77" s="287"/>
      <c r="T77" s="290"/>
      <c r="U77" s="257" t="str">
        <f>VLOOKUP(B77,'HC Golf'!C:G,5,0)</f>
        <v>S2</v>
      </c>
    </row>
    <row r="78" spans="1:21">
      <c r="A78" s="256">
        <f>ROWS($B$5:B76)</f>
        <v>72</v>
      </c>
      <c r="B78" s="256" t="s">
        <v>1638</v>
      </c>
      <c r="C78" s="256" t="s">
        <v>1639</v>
      </c>
      <c r="D78" s="256" t="s">
        <v>1225</v>
      </c>
      <c r="E78" s="256" t="s">
        <v>1170</v>
      </c>
      <c r="F78" s="256" t="s">
        <v>393</v>
      </c>
      <c r="G78" s="290"/>
      <c r="H78" s="236" t="b">
        <v>0</v>
      </c>
      <c r="I78" s="236" t="b">
        <v>0</v>
      </c>
      <c r="J78" s="236" t="b">
        <v>0</v>
      </c>
      <c r="K78" s="236" t="b">
        <v>0</v>
      </c>
      <c r="L78" s="236" t="b">
        <v>0</v>
      </c>
      <c r="M78" s="236" t="b">
        <v>0</v>
      </c>
      <c r="N78" s="236" t="b">
        <v>0</v>
      </c>
      <c r="O78" s="236" t="b">
        <v>0</v>
      </c>
      <c r="P78" s="236" t="b">
        <v>0</v>
      </c>
      <c r="Q78" s="236" t="b">
        <v>0</v>
      </c>
      <c r="R78" s="256" t="str" cm="1">
        <f t="array" ref="R78">IF(SUMPRODUCT((Cert_Matrix!$A$34:$A$38=E78)*(Cert_Matrix!$AR$34:$AY$38="X")*(H78:O78=TRUE))&lt;SUMPRODUCT((Cert_Matrix!$A$34:$A$38=E78)*(Cert_Matrix!$AR$34:$AY$38="X")),"Thiếu chứng nhận","Đủ điều kiện")</f>
        <v>Đủ điều kiện</v>
      </c>
      <c r="S78" s="287"/>
      <c r="T78" s="290"/>
      <c r="U78" s="257" t="str">
        <f>VLOOKUP(B78,'HC Golf'!C:G,5,0)</f>
        <v>S3</v>
      </c>
    </row>
    <row r="79" spans="1:21">
      <c r="A79" s="256">
        <f>ROWS($B$5:B77)</f>
        <v>73</v>
      </c>
      <c r="B79" s="256" t="s">
        <v>1640</v>
      </c>
      <c r="C79" s="256" t="s">
        <v>1641</v>
      </c>
      <c r="D79" s="256" t="s">
        <v>1225</v>
      </c>
      <c r="E79" s="256" t="s">
        <v>1170</v>
      </c>
      <c r="F79" s="256" t="s">
        <v>393</v>
      </c>
      <c r="G79" s="290"/>
      <c r="H79" s="236" t="b">
        <v>0</v>
      </c>
      <c r="I79" s="236" t="b">
        <v>0</v>
      </c>
      <c r="J79" s="236" t="b">
        <v>0</v>
      </c>
      <c r="K79" s="236" t="b">
        <v>0</v>
      </c>
      <c r="L79" s="236" t="b">
        <v>0</v>
      </c>
      <c r="M79" s="236" t="b">
        <v>0</v>
      </c>
      <c r="N79" s="236" t="b">
        <v>0</v>
      </c>
      <c r="O79" s="236" t="b">
        <v>0</v>
      </c>
      <c r="P79" s="236" t="b">
        <v>0</v>
      </c>
      <c r="Q79" s="236" t="b">
        <v>0</v>
      </c>
      <c r="R79" s="256" t="str" cm="1">
        <f t="array" ref="R79">IF(SUMPRODUCT((Cert_Matrix!$A$34:$A$38=E79)*(Cert_Matrix!$AR$34:$AY$38="X")*(H79:O79=TRUE))&lt;SUMPRODUCT((Cert_Matrix!$A$34:$A$38=E79)*(Cert_Matrix!$AR$34:$AY$38="X")),"Thiếu chứng nhận","Đủ điều kiện")</f>
        <v>Đủ điều kiện</v>
      </c>
      <c r="S79" s="287"/>
      <c r="T79" s="290"/>
      <c r="U79" s="257" t="str">
        <f>VLOOKUP(B79,'HC Golf'!C:G,5,0)</f>
        <v>S1</v>
      </c>
    </row>
    <row r="80" spans="1:21">
      <c r="A80" s="256">
        <f>ROWS($B$5:B78)</f>
        <v>74</v>
      </c>
      <c r="B80" s="256" t="s">
        <v>1642</v>
      </c>
      <c r="C80" s="256" t="s">
        <v>1643</v>
      </c>
      <c r="D80" s="256" t="s">
        <v>1225</v>
      </c>
      <c r="E80" s="256" t="s">
        <v>1171</v>
      </c>
      <c r="F80" s="256" t="s">
        <v>393</v>
      </c>
      <c r="G80" s="290">
        <v>46141</v>
      </c>
      <c r="H80" s="236" t="b">
        <v>0</v>
      </c>
      <c r="I80" s="236" t="b">
        <v>0</v>
      </c>
      <c r="J80" s="236" t="b">
        <v>0</v>
      </c>
      <c r="K80" s="236" t="b">
        <v>0</v>
      </c>
      <c r="L80" s="236" t="b">
        <v>1</v>
      </c>
      <c r="M80" s="236" t="b">
        <v>0</v>
      </c>
      <c r="N80" s="236" t="b">
        <v>0</v>
      </c>
      <c r="O80" s="236" t="b">
        <v>0</v>
      </c>
      <c r="P80" s="236" t="b">
        <v>1</v>
      </c>
      <c r="Q80" s="236" t="b">
        <v>0</v>
      </c>
      <c r="R80" s="256" t="str" cm="1">
        <f t="array" ref="R80">IF(SUMPRODUCT((Cert_Matrix!$A$34:$A$38=E80)*(Cert_Matrix!$AR$34:$AY$38="X")*(H80:O80=TRUE))&lt;SUMPRODUCT((Cert_Matrix!$A$34:$A$38=E80)*(Cert_Matrix!$AR$34:$AY$38="X")),"Thiếu chứng nhận","Đủ điều kiện")</f>
        <v>Đủ điều kiện</v>
      </c>
      <c r="S80" s="287"/>
      <c r="T80" s="290"/>
      <c r="U80" s="257" t="str">
        <f>VLOOKUP(B80,'HC Golf'!C:G,5,0)</f>
        <v>S2</v>
      </c>
    </row>
  </sheetData>
  <autoFilter ref="A6:U80" xr:uid="{ED2E78CB-15C6-4EA0-B627-324726079151}"/>
  <mergeCells count="9">
    <mergeCell ref="G5:G6"/>
    <mergeCell ref="H5:Q5"/>
    <mergeCell ref="A2:G3"/>
    <mergeCell ref="A5:A6"/>
    <mergeCell ref="B5:B6"/>
    <mergeCell ref="C5:C6"/>
    <mergeCell ref="D5:D6"/>
    <mergeCell ref="F5:F6"/>
    <mergeCell ref="E5:E6"/>
  </mergeCells>
  <conditionalFormatting sqref="B1:C1 B4:C1048576">
    <cfRule type="duplicateValues" dxfId="45" priority="4"/>
  </conditionalFormatting>
  <conditionalFormatting sqref="B1:C1048576">
    <cfRule type="duplicateValues" dxfId="44" priority="2"/>
  </conditionalFormatting>
  <conditionalFormatting sqref="H7:Q80">
    <cfRule type="containsText" dxfId="43" priority="3" operator="containsText" text="false">
      <formula>NOT(ISERROR(SEARCH("false",H7)))</formula>
    </cfRule>
  </conditionalFormatting>
  <conditionalFormatting sqref="R1:R1048576">
    <cfRule type="containsText" dxfId="42" priority="1" operator="containsText" text="Thiếu chứng nhận">
      <formula>NOT(ISERROR(SEARCH("Thiếu chứng nhận",R1)))</formula>
    </cfRule>
  </conditionalFormatting>
  <dataValidations count="1">
    <dataValidation type="list" allowBlank="1" showInputMessage="1" showErrorMessage="1" sqref="S7:S80" xr:uid="{9FD8464A-E760-4FA4-B327-A203C42298B2}">
      <formula1>"CHƯA ĐÀO TẠO,ĐANG ĐÀO TẠO,CHỜ ĐÁNH GIÁ,CHỜ CẤP THẺ CNVH,ĐÁNH GIÁ LẠI"</formula1>
    </dataValidation>
  </dataValidations>
  <pageMargins left="0.16" right="0.16" top="0.16" bottom="0.16" header="0.16" footer="0.16"/>
  <pageSetup paperSize="9" scale="5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9EAD-10E9-4376-8252-048D5D30ECE1}">
  <sheetPr>
    <tabColor theme="0" tint="-0.14999847407452621"/>
  </sheetPr>
  <dimension ref="A1:V83"/>
  <sheetViews>
    <sheetView showGridLines="0" zoomScale="90" zoomScaleNormal="90" workbookViewId="0">
      <pane xSplit="7" ySplit="7" topLeftCell="H8" activePane="bottomRight" state="frozen"/>
      <selection pane="bottomRight" activeCell="U87" sqref="U87"/>
      <selection pane="bottomLeft" activeCell="A8" sqref="A8"/>
      <selection pane="topRight" activeCell="H1" sqref="H1"/>
    </sheetView>
  </sheetViews>
  <sheetFormatPr defaultRowHeight="15"/>
  <cols>
    <col min="1" max="1" width="4.85546875" style="257" customWidth="1"/>
    <col min="2" max="2" width="6.42578125" style="257" customWidth="1"/>
    <col min="3" max="3" width="22" style="257" bestFit="1" customWidth="1"/>
    <col min="4" max="4" width="29.28515625" style="257" bestFit="1" customWidth="1"/>
    <col min="5" max="5" width="21.140625" style="257" bestFit="1" customWidth="1"/>
    <col min="6" max="6" width="15.5703125" style="257" hidden="1" customWidth="1"/>
    <col min="7" max="7" width="13.28515625" style="288" customWidth="1"/>
    <col min="8" max="8" width="6" style="237" bestFit="1" customWidth="1"/>
    <col min="9" max="9" width="6.28515625" style="237" bestFit="1" customWidth="1"/>
    <col min="10" max="10" width="5.42578125" style="237" bestFit="1" customWidth="1"/>
    <col min="11" max="11" width="4.85546875" style="237" bestFit="1" customWidth="1"/>
    <col min="12" max="12" width="8.7109375" style="237" bestFit="1" customWidth="1"/>
    <col min="13" max="13" width="10.28515625" style="237" bestFit="1" customWidth="1"/>
    <col min="14" max="14" width="6.85546875" style="237" bestFit="1" customWidth="1"/>
    <col min="15" max="15" width="8.140625" style="237" customWidth="1"/>
    <col min="16" max="16" width="11.85546875" style="237" customWidth="1"/>
    <col min="17" max="17" width="12.42578125" style="237" bestFit="1" customWidth="1"/>
    <col min="18" max="18" width="12.28515625" style="237" bestFit="1" customWidth="1"/>
    <col min="19" max="19" width="16.42578125" style="257" customWidth="1"/>
    <col min="20" max="20" width="15" style="257" bestFit="1" customWidth="1"/>
    <col min="21" max="21" width="14.42578125" style="288" bestFit="1" customWidth="1"/>
    <col min="22" max="16384" width="9.140625" style="257"/>
  </cols>
  <sheetData>
    <row r="1" spans="1:22" ht="15" customHeight="1">
      <c r="H1" s="257"/>
      <c r="I1" s="257"/>
      <c r="J1" s="257"/>
      <c r="K1" s="257"/>
      <c r="L1" s="257"/>
      <c r="M1" s="257"/>
      <c r="N1" s="257"/>
      <c r="O1" s="291" t="s">
        <v>1</v>
      </c>
      <c r="P1" s="292"/>
      <c r="Q1" s="292"/>
      <c r="R1" s="293"/>
    </row>
    <row r="2" spans="1:22" ht="15" customHeight="1">
      <c r="A2" s="367" t="s">
        <v>0</v>
      </c>
      <c r="B2" s="367"/>
      <c r="C2" s="367"/>
      <c r="D2" s="367"/>
      <c r="E2" s="367"/>
      <c r="F2" s="367"/>
      <c r="G2" s="367"/>
      <c r="H2" s="257"/>
      <c r="I2" s="257"/>
      <c r="J2" s="257"/>
      <c r="K2" s="257"/>
      <c r="L2" s="257"/>
      <c r="M2" s="257"/>
      <c r="N2" s="257"/>
      <c r="O2" s="291" t="s">
        <v>2</v>
      </c>
      <c r="P2" s="292"/>
      <c r="Q2" s="292"/>
      <c r="R2" s="293"/>
    </row>
    <row r="3" spans="1:22" ht="15" customHeight="1">
      <c r="A3" s="367"/>
      <c r="B3" s="367"/>
      <c r="C3" s="367"/>
      <c r="D3" s="367"/>
      <c r="E3" s="367"/>
      <c r="F3" s="367"/>
      <c r="G3" s="367"/>
      <c r="H3" s="257"/>
      <c r="I3" s="257"/>
      <c r="J3" s="257"/>
      <c r="K3" s="257"/>
      <c r="L3" s="257"/>
      <c r="M3" s="257"/>
      <c r="N3" s="257"/>
      <c r="O3" s="291" t="s">
        <v>3</v>
      </c>
      <c r="P3" s="292"/>
      <c r="Q3" s="292"/>
      <c r="R3" s="293"/>
    </row>
    <row r="4" spans="1:22" s="295" customFormat="1" ht="15" customHeight="1">
      <c r="G4" s="296"/>
      <c r="O4" s="291" t="s">
        <v>4</v>
      </c>
      <c r="P4" s="292"/>
      <c r="Q4" s="292"/>
      <c r="R4" s="301"/>
      <c r="U4" s="296"/>
    </row>
    <row r="5" spans="1:22" s="285" customFormat="1" ht="15" customHeight="1">
      <c r="A5" s="368" t="s">
        <v>5</v>
      </c>
      <c r="B5" s="368" t="s">
        <v>6</v>
      </c>
      <c r="C5" s="368" t="s">
        <v>1190</v>
      </c>
      <c r="D5" s="368" t="s">
        <v>1191</v>
      </c>
      <c r="E5" s="368" t="s">
        <v>1528</v>
      </c>
      <c r="F5" s="368" t="s">
        <v>8</v>
      </c>
      <c r="G5" s="370" t="s">
        <v>1193</v>
      </c>
      <c r="H5" s="364" t="s">
        <v>10</v>
      </c>
      <c r="I5" s="365"/>
      <c r="J5" s="365"/>
      <c r="K5" s="365"/>
      <c r="L5" s="365"/>
      <c r="M5" s="365"/>
      <c r="N5" s="365"/>
      <c r="O5" s="365"/>
      <c r="P5" s="365"/>
      <c r="Q5" s="365"/>
      <c r="R5" s="366"/>
      <c r="U5" s="305"/>
    </row>
    <row r="6" spans="1:22" s="284" customFormat="1" ht="30" customHeight="1">
      <c r="A6" s="369"/>
      <c r="B6" s="369"/>
      <c r="C6" s="369"/>
      <c r="D6" s="369"/>
      <c r="E6" s="369"/>
      <c r="F6" s="369"/>
      <c r="G6" s="371"/>
      <c r="H6" s="289" t="s">
        <v>1092</v>
      </c>
      <c r="I6" s="289" t="s">
        <v>1093</v>
      </c>
      <c r="J6" s="289" t="s">
        <v>1094</v>
      </c>
      <c r="K6" s="289" t="s">
        <v>1090</v>
      </c>
      <c r="L6" s="289" t="s">
        <v>1095</v>
      </c>
      <c r="M6" s="289" t="s">
        <v>1096</v>
      </c>
      <c r="N6" s="289" t="s">
        <v>1083</v>
      </c>
      <c r="O6" s="289" t="s">
        <v>1097</v>
      </c>
      <c r="P6" s="289" t="s">
        <v>1085</v>
      </c>
      <c r="Q6" s="289" t="s">
        <v>1644</v>
      </c>
      <c r="R6" s="289" t="s">
        <v>1200</v>
      </c>
      <c r="S6" s="286" t="s">
        <v>1201</v>
      </c>
      <c r="T6" s="286" t="s">
        <v>1202</v>
      </c>
      <c r="U6" s="315" t="s">
        <v>1203</v>
      </c>
    </row>
    <row r="7" spans="1:22">
      <c r="A7" s="256">
        <f>ROWS($B$5:B5)</f>
        <v>1</v>
      </c>
      <c r="B7" s="256" t="s">
        <v>1645</v>
      </c>
      <c r="C7" s="256" t="s">
        <v>805</v>
      </c>
      <c r="D7" s="256" t="s">
        <v>1292</v>
      </c>
      <c r="E7" s="256" t="s">
        <v>1173</v>
      </c>
      <c r="F7" s="256" t="s">
        <v>299</v>
      </c>
      <c r="G7" s="290"/>
      <c r="H7" s="236" t="b">
        <v>1</v>
      </c>
      <c r="I7" s="236" t="b">
        <v>1</v>
      </c>
      <c r="J7" s="236" t="b">
        <v>1</v>
      </c>
      <c r="K7" s="236" t="b">
        <v>1</v>
      </c>
      <c r="L7" s="236" t="b">
        <v>1</v>
      </c>
      <c r="M7" s="236" t="b">
        <v>0</v>
      </c>
      <c r="N7" s="236" t="b">
        <v>0</v>
      </c>
      <c r="O7" s="236" t="b">
        <v>0</v>
      </c>
      <c r="P7" s="236" t="b">
        <v>0</v>
      </c>
      <c r="Q7" s="236" t="b">
        <v>1</v>
      </c>
      <c r="R7" s="236" t="b">
        <v>0</v>
      </c>
      <c r="S7" s="256" t="str" cm="1">
        <f t="array" ref="S7">IF(SUMPRODUCT((Cert_Matrix!$A$39:$A$43=E7)*(Cert_Matrix!$AZ$39:$BH$43="X")*(H7:P7=TRUE))&lt;SUMPRODUCT((Cert_Matrix!$A$39:$A$43=E7)*(Cert_Matrix!$AZ$39:$BH$43="X")),"Thiếu chứng nhận","Đủ điều kiện")</f>
        <v>Đủ điều kiện</v>
      </c>
      <c r="T7" s="287"/>
      <c r="U7" s="290"/>
      <c r="V7" s="257" t="str">
        <f>VLOOKUP(B7,'HC Golf'!C:G,5,0)</f>
        <v>S2</v>
      </c>
    </row>
    <row r="8" spans="1:22">
      <c r="A8" s="256">
        <f>ROWS($B$5:B6)</f>
        <v>2</v>
      </c>
      <c r="B8" s="256" t="s">
        <v>312</v>
      </c>
      <c r="C8" s="256" t="s">
        <v>313</v>
      </c>
      <c r="D8" s="256" t="s">
        <v>1646</v>
      </c>
      <c r="E8" s="256" t="s">
        <v>1647</v>
      </c>
      <c r="F8" s="256" t="s">
        <v>299</v>
      </c>
      <c r="G8" s="290"/>
      <c r="H8" s="236" t="b">
        <v>0</v>
      </c>
      <c r="I8" s="236" t="b">
        <v>0</v>
      </c>
      <c r="J8" s="236" t="b">
        <v>0</v>
      </c>
      <c r="K8" s="236" t="b">
        <v>0</v>
      </c>
      <c r="L8" s="236" t="b">
        <v>0</v>
      </c>
      <c r="M8" s="236" t="b">
        <v>0</v>
      </c>
      <c r="N8" s="236" t="b">
        <v>0</v>
      </c>
      <c r="O8" s="236" t="b">
        <v>0</v>
      </c>
      <c r="P8" s="236" t="b">
        <v>0</v>
      </c>
      <c r="Q8" s="236" t="b">
        <v>0</v>
      </c>
      <c r="R8" s="236" t="b">
        <v>0</v>
      </c>
      <c r="S8" s="256" t="str" cm="1">
        <f t="array" ref="S8">IF(SUMPRODUCT((Cert_Matrix!$A$39:$A$43=E8)*(Cert_Matrix!$AZ$39:$BH$43="X")*(H8:P8=TRUE))&lt;SUMPRODUCT((Cert_Matrix!$A$39:$A$43=E8)*(Cert_Matrix!$AZ$39:$BH$43="X")),"Thiếu chứng nhận","Đủ điều kiện")</f>
        <v>Đủ điều kiện</v>
      </c>
      <c r="T8" s="287"/>
      <c r="U8" s="290"/>
      <c r="V8" s="257" t="str">
        <f>VLOOKUP(B8,'HC Golf'!C:G,5,0)</f>
        <v>S1</v>
      </c>
    </row>
    <row r="9" spans="1:22">
      <c r="A9" s="256">
        <f>ROWS($B$5:B7)</f>
        <v>3</v>
      </c>
      <c r="B9" s="256" t="s">
        <v>1648</v>
      </c>
      <c r="C9" s="256" t="s">
        <v>1649</v>
      </c>
      <c r="D9" s="256" t="s">
        <v>1650</v>
      </c>
      <c r="E9" s="256" t="s">
        <v>1173</v>
      </c>
      <c r="F9" s="256" t="s">
        <v>299</v>
      </c>
      <c r="G9" s="290"/>
      <c r="H9" s="236" t="b">
        <v>0</v>
      </c>
      <c r="I9" s="236" t="b">
        <v>1</v>
      </c>
      <c r="J9" s="236" t="b">
        <v>1</v>
      </c>
      <c r="K9" s="236" t="b">
        <v>1</v>
      </c>
      <c r="L9" s="236" t="b">
        <v>1</v>
      </c>
      <c r="M9" s="236" t="b">
        <v>0</v>
      </c>
      <c r="N9" s="236" t="b">
        <v>0</v>
      </c>
      <c r="O9" s="236" t="b">
        <v>0</v>
      </c>
      <c r="P9" s="236" t="b">
        <v>0</v>
      </c>
      <c r="Q9" s="236" t="b">
        <v>0</v>
      </c>
      <c r="R9" s="236" t="b">
        <v>0</v>
      </c>
      <c r="S9" s="256" t="str" cm="1">
        <f t="array" ref="S9">IF(SUMPRODUCT((Cert_Matrix!$A$39:$A$43=E9)*(Cert_Matrix!$AZ$39:$BH$43="X")*(H9:P9=TRUE))&lt;SUMPRODUCT((Cert_Matrix!$A$39:$A$43=E9)*(Cert_Matrix!$AZ$39:$BH$43="X")),"Thiếu chứng nhận","Đủ điều kiện")</f>
        <v>Đủ điều kiện</v>
      </c>
      <c r="T9" s="287"/>
      <c r="U9" s="290"/>
      <c r="V9" s="257" t="str">
        <f>VLOOKUP(B9,'HC Golf'!C:G,5,0)</f>
        <v>S2</v>
      </c>
    </row>
    <row r="10" spans="1:22">
      <c r="A10" s="256">
        <f>ROWS($B$5:B8)</f>
        <v>4</v>
      </c>
      <c r="B10" s="256" t="s">
        <v>1651</v>
      </c>
      <c r="C10" s="256" t="s">
        <v>1652</v>
      </c>
      <c r="D10" s="256" t="s">
        <v>1646</v>
      </c>
      <c r="E10" s="256" t="s">
        <v>1647</v>
      </c>
      <c r="F10" s="256" t="s">
        <v>299</v>
      </c>
      <c r="G10" s="290"/>
      <c r="H10" s="236" t="b">
        <v>0</v>
      </c>
      <c r="I10" s="236" t="b">
        <v>0</v>
      </c>
      <c r="J10" s="236" t="b">
        <v>0</v>
      </c>
      <c r="K10" s="236" t="b">
        <v>1</v>
      </c>
      <c r="L10" s="236" t="b">
        <v>1</v>
      </c>
      <c r="M10" s="236" t="b">
        <v>0</v>
      </c>
      <c r="N10" s="236" t="b">
        <v>0</v>
      </c>
      <c r="O10" s="236" t="b">
        <v>0</v>
      </c>
      <c r="P10" s="236" t="b">
        <v>0</v>
      </c>
      <c r="Q10" s="236" t="b">
        <v>1</v>
      </c>
      <c r="R10" s="236" t="b">
        <v>0</v>
      </c>
      <c r="S10" s="256" t="str" cm="1">
        <f t="array" ref="S10">IF(SUMPRODUCT((Cert_Matrix!$A$39:$A$43=E10)*(Cert_Matrix!$AZ$39:$BH$43="X")*(H10:P10=TRUE))&lt;SUMPRODUCT((Cert_Matrix!$A$39:$A$43=E10)*(Cert_Matrix!$AZ$39:$BH$43="X")),"Thiếu chứng nhận","Đủ điều kiện")</f>
        <v>Đủ điều kiện</v>
      </c>
      <c r="T10" s="287"/>
      <c r="U10" s="290"/>
      <c r="V10" s="257" t="str">
        <f>VLOOKUP(B10,'HC Golf'!C:G,5,0)</f>
        <v>S2</v>
      </c>
    </row>
    <row r="11" spans="1:22">
      <c r="A11" s="256">
        <f>ROWS($B$5:B9)</f>
        <v>5</v>
      </c>
      <c r="B11" s="256" t="s">
        <v>1653</v>
      </c>
      <c r="C11" s="256" t="s">
        <v>1654</v>
      </c>
      <c r="D11" s="256" t="s">
        <v>1655</v>
      </c>
      <c r="E11" s="256" t="s">
        <v>1173</v>
      </c>
      <c r="F11" s="256" t="s">
        <v>299</v>
      </c>
      <c r="G11" s="290"/>
      <c r="H11" s="236" t="b">
        <v>1</v>
      </c>
      <c r="I11" s="236" t="b">
        <v>1</v>
      </c>
      <c r="J11" s="236" t="b">
        <v>1</v>
      </c>
      <c r="K11" s="236" t="b">
        <v>0</v>
      </c>
      <c r="L11" s="236" t="b">
        <v>1</v>
      </c>
      <c r="M11" s="236" t="b">
        <v>0</v>
      </c>
      <c r="N11" s="236" t="b">
        <v>0</v>
      </c>
      <c r="O11" s="236" t="b">
        <v>0</v>
      </c>
      <c r="P11" s="236" t="b">
        <v>0</v>
      </c>
      <c r="Q11" s="236" t="b">
        <v>0</v>
      </c>
      <c r="R11" s="236" t="b">
        <v>0</v>
      </c>
      <c r="S11" s="256" t="str" cm="1">
        <f t="array" ref="S11">IF(SUMPRODUCT((Cert_Matrix!$A$39:$A$43=E11)*(Cert_Matrix!$AZ$39:$BH$43="X")*(H11:P11=TRUE))&lt;SUMPRODUCT((Cert_Matrix!$A$39:$A$43=E11)*(Cert_Matrix!$AZ$39:$BH$43="X")),"Thiếu chứng nhận","Đủ điều kiện")</f>
        <v>Đủ điều kiện</v>
      </c>
      <c r="T11" s="287"/>
      <c r="U11" s="290"/>
      <c r="V11" s="257" t="str">
        <f>VLOOKUP(B11,'HC Golf'!C:G,5,0)</f>
        <v>S2</v>
      </c>
    </row>
    <row r="12" spans="1:22">
      <c r="A12" s="256">
        <f>ROWS($B$5:B10)</f>
        <v>6</v>
      </c>
      <c r="B12" s="256" t="s">
        <v>320</v>
      </c>
      <c r="C12" s="256" t="s">
        <v>321</v>
      </c>
      <c r="D12" s="256" t="s">
        <v>1655</v>
      </c>
      <c r="E12" s="256" t="s">
        <v>1173</v>
      </c>
      <c r="F12" s="256" t="s">
        <v>299</v>
      </c>
      <c r="G12" s="290"/>
      <c r="H12" s="236" t="b">
        <v>1</v>
      </c>
      <c r="I12" s="236" t="b">
        <v>1</v>
      </c>
      <c r="J12" s="236" t="b">
        <v>1</v>
      </c>
      <c r="K12" s="236" t="b">
        <v>0</v>
      </c>
      <c r="L12" s="236" t="b">
        <v>1</v>
      </c>
      <c r="M12" s="236" t="b">
        <v>0</v>
      </c>
      <c r="N12" s="236" t="b">
        <v>0</v>
      </c>
      <c r="O12" s="236" t="b">
        <v>0</v>
      </c>
      <c r="P12" s="236" t="b">
        <v>0</v>
      </c>
      <c r="Q12" s="236" t="b">
        <v>0</v>
      </c>
      <c r="R12" s="236" t="b">
        <v>1</v>
      </c>
      <c r="S12" s="256" t="str" cm="1">
        <f t="array" ref="S12">IF(SUMPRODUCT((Cert_Matrix!$A$39:$A$43=E12)*(Cert_Matrix!$AZ$39:$BH$43="X")*(H12:P12=TRUE))&lt;SUMPRODUCT((Cert_Matrix!$A$39:$A$43=E12)*(Cert_Matrix!$AZ$39:$BH$43="X")),"Thiếu chứng nhận","Đủ điều kiện")</f>
        <v>Đủ điều kiện</v>
      </c>
      <c r="T12" s="287"/>
      <c r="U12" s="290"/>
      <c r="V12" s="257" t="str">
        <f>VLOOKUP(B12,'HC Golf'!C:G,5,0)</f>
        <v>S2</v>
      </c>
    </row>
    <row r="13" spans="1:22">
      <c r="A13" s="256">
        <f>ROWS($B$5:B11)</f>
        <v>7</v>
      </c>
      <c r="B13" s="256" t="s">
        <v>326</v>
      </c>
      <c r="C13" s="256" t="s">
        <v>327</v>
      </c>
      <c r="D13" s="256" t="s">
        <v>1655</v>
      </c>
      <c r="E13" s="256" t="s">
        <v>1173</v>
      </c>
      <c r="F13" s="256" t="s">
        <v>299</v>
      </c>
      <c r="G13" s="290"/>
      <c r="H13" s="236" t="b">
        <v>0</v>
      </c>
      <c r="I13" s="236" t="b">
        <v>1</v>
      </c>
      <c r="J13" s="236" t="b">
        <v>1</v>
      </c>
      <c r="K13" s="236" t="b">
        <v>0</v>
      </c>
      <c r="L13" s="236" t="b">
        <v>1</v>
      </c>
      <c r="M13" s="236" t="b">
        <v>0</v>
      </c>
      <c r="N13" s="236" t="b">
        <v>0</v>
      </c>
      <c r="O13" s="236" t="b">
        <v>0</v>
      </c>
      <c r="P13" s="236" t="b">
        <v>0</v>
      </c>
      <c r="Q13" s="236" t="b">
        <v>0</v>
      </c>
      <c r="R13" s="236" t="b">
        <v>0</v>
      </c>
      <c r="S13" s="256" t="str" cm="1">
        <f t="array" ref="S13">IF(SUMPRODUCT((Cert_Matrix!$A$39:$A$43=E13)*(Cert_Matrix!$AZ$39:$BH$43="X")*(H13:P13=TRUE))&lt;SUMPRODUCT((Cert_Matrix!$A$39:$A$43=E13)*(Cert_Matrix!$AZ$39:$BH$43="X")),"Thiếu chứng nhận","Đủ điều kiện")</f>
        <v>Đủ điều kiện</v>
      </c>
      <c r="T13" s="287"/>
      <c r="U13" s="290"/>
      <c r="V13" s="257" t="str">
        <f>VLOOKUP(B13,'HC Golf'!C:G,5,0)</f>
        <v>S2</v>
      </c>
    </row>
    <row r="14" spans="1:22">
      <c r="A14" s="256">
        <f>ROWS($B$5:B12)</f>
        <v>8</v>
      </c>
      <c r="B14" s="256" t="s">
        <v>297</v>
      </c>
      <c r="C14" s="256" t="s">
        <v>298</v>
      </c>
      <c r="D14" s="256" t="s">
        <v>1656</v>
      </c>
      <c r="E14" s="256" t="s">
        <v>1657</v>
      </c>
      <c r="F14" s="256" t="s">
        <v>299</v>
      </c>
      <c r="G14" s="290"/>
      <c r="H14" s="236" t="b">
        <v>1</v>
      </c>
      <c r="I14" s="236" t="b">
        <v>0</v>
      </c>
      <c r="J14" s="236" t="b">
        <v>0</v>
      </c>
      <c r="K14" s="236" t="b">
        <v>0</v>
      </c>
      <c r="L14" s="236" t="b">
        <v>1</v>
      </c>
      <c r="M14" s="236" t="b">
        <v>0</v>
      </c>
      <c r="N14" s="236" t="b">
        <v>0</v>
      </c>
      <c r="O14" s="236" t="b">
        <v>0</v>
      </c>
      <c r="P14" s="236" t="b">
        <v>0</v>
      </c>
      <c r="Q14" s="236" t="b">
        <v>0</v>
      </c>
      <c r="R14" s="236" t="b">
        <v>1</v>
      </c>
      <c r="S14" s="256" t="str" cm="1">
        <f t="array" ref="S14">IF(SUMPRODUCT((Cert_Matrix!$A$39:$A$43=E14)*(Cert_Matrix!$AZ$39:$BH$43="X")*(H14:P14=TRUE))&lt;SUMPRODUCT((Cert_Matrix!$A$39:$A$43=E14)*(Cert_Matrix!$AZ$39:$BH$43="X")),"Thiếu chứng nhận","Đủ điều kiện")</f>
        <v>Đủ điều kiện</v>
      </c>
      <c r="T14" s="287"/>
      <c r="U14" s="290"/>
      <c r="V14" s="257" t="str">
        <f>VLOOKUP(B14,'HC Golf'!C:G,5,0)</f>
        <v>S2</v>
      </c>
    </row>
    <row r="15" spans="1:22">
      <c r="A15" s="256">
        <f>ROWS($B$5:B13)</f>
        <v>9</v>
      </c>
      <c r="B15" s="256" t="s">
        <v>304</v>
      </c>
      <c r="C15" s="256" t="s">
        <v>305</v>
      </c>
      <c r="D15" s="256" t="s">
        <v>1655</v>
      </c>
      <c r="E15" s="256" t="s">
        <v>1173</v>
      </c>
      <c r="F15" s="256" t="s">
        <v>299</v>
      </c>
      <c r="G15" s="290"/>
      <c r="H15" s="236" t="b">
        <v>0</v>
      </c>
      <c r="I15" s="236" t="b">
        <v>1</v>
      </c>
      <c r="J15" s="236" t="b">
        <v>1</v>
      </c>
      <c r="K15" s="236" t="b">
        <v>0</v>
      </c>
      <c r="L15" s="236" t="b">
        <v>1</v>
      </c>
      <c r="M15" s="236" t="b">
        <v>0</v>
      </c>
      <c r="N15" s="236" t="b">
        <v>0</v>
      </c>
      <c r="O15" s="236" t="b">
        <v>0</v>
      </c>
      <c r="P15" s="236" t="b">
        <v>0</v>
      </c>
      <c r="Q15" s="236" t="b">
        <v>0</v>
      </c>
      <c r="R15" s="236" t="b">
        <v>0</v>
      </c>
      <c r="S15" s="256" t="str" cm="1">
        <f t="array" ref="S15">IF(SUMPRODUCT((Cert_Matrix!$A$39:$A$43=E15)*(Cert_Matrix!$AZ$39:$BH$43="X")*(H15:P15=TRUE))&lt;SUMPRODUCT((Cert_Matrix!$A$39:$A$43=E15)*(Cert_Matrix!$AZ$39:$BH$43="X")),"Thiếu chứng nhận","Đủ điều kiện")</f>
        <v>Đủ điều kiện</v>
      </c>
      <c r="T15" s="287"/>
      <c r="U15" s="290"/>
      <c r="V15" s="257" t="str">
        <f>VLOOKUP(B15,'HC Golf'!C:G,5,0)</f>
        <v>S2</v>
      </c>
    </row>
    <row r="16" spans="1:22">
      <c r="A16" s="256">
        <f>ROWS($B$5:B14)</f>
        <v>10</v>
      </c>
      <c r="B16" s="256" t="s">
        <v>322</v>
      </c>
      <c r="C16" s="256" t="s">
        <v>1658</v>
      </c>
      <c r="D16" s="256" t="s">
        <v>1655</v>
      </c>
      <c r="E16" s="256" t="s">
        <v>1173</v>
      </c>
      <c r="F16" s="256" t="s">
        <v>299</v>
      </c>
      <c r="G16" s="290"/>
      <c r="H16" s="236" t="b">
        <v>0</v>
      </c>
      <c r="I16" s="236" t="b">
        <v>1</v>
      </c>
      <c r="J16" s="236" t="b">
        <v>1</v>
      </c>
      <c r="K16" s="236" t="b">
        <v>0</v>
      </c>
      <c r="L16" s="236" t="b">
        <v>1</v>
      </c>
      <c r="M16" s="236" t="b">
        <v>0</v>
      </c>
      <c r="N16" s="236" t="b">
        <v>0</v>
      </c>
      <c r="O16" s="236" t="b">
        <v>0</v>
      </c>
      <c r="P16" s="236" t="b">
        <v>0</v>
      </c>
      <c r="Q16" s="236" t="b">
        <v>0</v>
      </c>
      <c r="R16" s="236" t="b">
        <v>0</v>
      </c>
      <c r="S16" s="256" t="str" cm="1">
        <f t="array" ref="S16">IF(SUMPRODUCT((Cert_Matrix!$A$39:$A$43=E16)*(Cert_Matrix!$AZ$39:$BH$43="X")*(H16:P16=TRUE))&lt;SUMPRODUCT((Cert_Matrix!$A$39:$A$43=E16)*(Cert_Matrix!$AZ$39:$BH$43="X")),"Thiếu chứng nhận","Đủ điều kiện")</f>
        <v>Đủ điều kiện</v>
      </c>
      <c r="T16" s="287"/>
      <c r="U16" s="290"/>
      <c r="V16" s="257" t="str">
        <f>VLOOKUP(B16,'HC Golf'!C:G,5,0)</f>
        <v>S2</v>
      </c>
    </row>
    <row r="17" spans="1:22">
      <c r="A17" s="256">
        <f>ROWS($B$5:B15)</f>
        <v>11</v>
      </c>
      <c r="B17" s="256" t="s">
        <v>1659</v>
      </c>
      <c r="C17" s="256" t="s">
        <v>1660</v>
      </c>
      <c r="D17" s="256" t="s">
        <v>1661</v>
      </c>
      <c r="E17" s="256" t="s">
        <v>1657</v>
      </c>
      <c r="F17" s="256" t="s">
        <v>299</v>
      </c>
      <c r="G17" s="290"/>
      <c r="H17" s="236" t="b">
        <v>1</v>
      </c>
      <c r="I17" s="236" t="b">
        <v>0</v>
      </c>
      <c r="J17" s="236" t="b">
        <v>0</v>
      </c>
      <c r="K17" s="236" t="b">
        <v>0</v>
      </c>
      <c r="L17" s="236" t="b">
        <v>1</v>
      </c>
      <c r="M17" s="236" t="b">
        <v>0</v>
      </c>
      <c r="N17" s="236" t="b">
        <v>0</v>
      </c>
      <c r="O17" s="236" t="b">
        <v>0</v>
      </c>
      <c r="P17" s="236" t="b">
        <v>0</v>
      </c>
      <c r="Q17" s="236" t="b">
        <v>0</v>
      </c>
      <c r="R17" s="236" t="b">
        <v>0</v>
      </c>
      <c r="S17" s="256" t="str" cm="1">
        <f t="array" ref="S17">IF(SUMPRODUCT((Cert_Matrix!$A$39:$A$43=E17)*(Cert_Matrix!$AZ$39:$BH$43="X")*(H17:P17=TRUE))&lt;SUMPRODUCT((Cert_Matrix!$A$39:$A$43=E17)*(Cert_Matrix!$AZ$39:$BH$43="X")),"Thiếu chứng nhận","Đủ điều kiện")</f>
        <v>Đủ điều kiện</v>
      </c>
      <c r="T17" s="287"/>
      <c r="U17" s="290"/>
      <c r="V17" s="257" t="str">
        <f>VLOOKUP(B17,'HC Golf'!C:G,5,0)</f>
        <v>S3</v>
      </c>
    </row>
    <row r="18" spans="1:22">
      <c r="A18" s="256">
        <f>ROWS($B$5:B16)</f>
        <v>12</v>
      </c>
      <c r="B18" s="256" t="s">
        <v>410</v>
      </c>
      <c r="C18" s="256" t="s">
        <v>411</v>
      </c>
      <c r="D18" s="256" t="s">
        <v>1650</v>
      </c>
      <c r="E18" s="256" t="s">
        <v>1173</v>
      </c>
      <c r="F18" s="256" t="s">
        <v>299</v>
      </c>
      <c r="G18" s="290"/>
      <c r="H18" s="236" t="b">
        <v>0</v>
      </c>
      <c r="I18" s="236" t="b">
        <v>1</v>
      </c>
      <c r="J18" s="236" t="b">
        <v>1</v>
      </c>
      <c r="K18" s="236" t="b">
        <v>0</v>
      </c>
      <c r="L18" s="236" t="b">
        <v>1</v>
      </c>
      <c r="M18" s="236" t="b">
        <v>0</v>
      </c>
      <c r="N18" s="236" t="b">
        <v>0</v>
      </c>
      <c r="O18" s="236" t="b">
        <v>0</v>
      </c>
      <c r="P18" s="236" t="b">
        <v>0</v>
      </c>
      <c r="Q18" s="236" t="b">
        <v>0</v>
      </c>
      <c r="R18" s="236" t="b">
        <v>1</v>
      </c>
      <c r="S18" s="256" t="str" cm="1">
        <f t="array" ref="S18">IF(SUMPRODUCT((Cert_Matrix!$A$39:$A$43=E18)*(Cert_Matrix!$AZ$39:$BH$43="X")*(H18:P18=TRUE))&lt;SUMPRODUCT((Cert_Matrix!$A$39:$A$43=E18)*(Cert_Matrix!$AZ$39:$BH$43="X")),"Thiếu chứng nhận","Đủ điều kiện")</f>
        <v>Đủ điều kiện</v>
      </c>
      <c r="T18" s="287"/>
      <c r="U18" s="290"/>
      <c r="V18" s="257" t="str">
        <f>VLOOKUP(B18,'HC Golf'!C:G,5,0)</f>
        <v>S2</v>
      </c>
    </row>
    <row r="19" spans="1:22">
      <c r="A19" s="256">
        <f>ROWS($B$5:B17)</f>
        <v>13</v>
      </c>
      <c r="B19" s="256" t="s">
        <v>1662</v>
      </c>
      <c r="C19" s="256" t="s">
        <v>850</v>
      </c>
      <c r="D19" s="256" t="s">
        <v>1661</v>
      </c>
      <c r="E19" s="256" t="s">
        <v>1657</v>
      </c>
      <c r="F19" s="256" t="s">
        <v>299</v>
      </c>
      <c r="G19" s="290"/>
      <c r="H19" s="236" t="b">
        <v>1</v>
      </c>
      <c r="I19" s="236" t="b">
        <v>0</v>
      </c>
      <c r="J19" s="236" t="b">
        <v>0</v>
      </c>
      <c r="K19" s="236" t="b">
        <v>0</v>
      </c>
      <c r="L19" s="236" t="b">
        <v>1</v>
      </c>
      <c r="M19" s="236" t="b">
        <v>0</v>
      </c>
      <c r="N19" s="236" t="b">
        <v>0</v>
      </c>
      <c r="O19" s="236" t="b">
        <v>0</v>
      </c>
      <c r="P19" s="236" t="b">
        <v>0</v>
      </c>
      <c r="Q19" s="236" t="b">
        <v>0</v>
      </c>
      <c r="R19" s="236" t="b">
        <v>1</v>
      </c>
      <c r="S19" s="256" t="str" cm="1">
        <f t="array" ref="S19">IF(SUMPRODUCT((Cert_Matrix!$A$39:$A$43=E19)*(Cert_Matrix!$AZ$39:$BH$43="X")*(H19:P19=TRUE))&lt;SUMPRODUCT((Cert_Matrix!$A$39:$A$43=E19)*(Cert_Matrix!$AZ$39:$BH$43="X")),"Thiếu chứng nhận","Đủ điều kiện")</f>
        <v>Đủ điều kiện</v>
      </c>
      <c r="T19" s="287"/>
      <c r="U19" s="290"/>
      <c r="V19" s="257" t="str">
        <f>VLOOKUP(B19,'HC Golf'!C:G,5,0)</f>
        <v>S2</v>
      </c>
    </row>
    <row r="20" spans="1:22">
      <c r="A20" s="256">
        <f>ROWS($B$5:B18)</f>
        <v>14</v>
      </c>
      <c r="B20" s="256" t="s">
        <v>1663</v>
      </c>
      <c r="C20" s="256" t="s">
        <v>1664</v>
      </c>
      <c r="D20" s="256" t="s">
        <v>1655</v>
      </c>
      <c r="E20" s="256" t="s">
        <v>1173</v>
      </c>
      <c r="F20" s="256" t="s">
        <v>299</v>
      </c>
      <c r="G20" s="290"/>
      <c r="H20" s="236" t="b">
        <v>0</v>
      </c>
      <c r="I20" s="236" t="b">
        <v>1</v>
      </c>
      <c r="J20" s="236" t="b">
        <v>1</v>
      </c>
      <c r="K20" s="236" t="b">
        <v>0</v>
      </c>
      <c r="L20" s="236" t="b">
        <v>1</v>
      </c>
      <c r="M20" s="236" t="b">
        <v>0</v>
      </c>
      <c r="N20" s="236" t="b">
        <v>0</v>
      </c>
      <c r="O20" s="236" t="b">
        <v>0</v>
      </c>
      <c r="P20" s="236" t="b">
        <v>0</v>
      </c>
      <c r="Q20" s="236" t="b">
        <v>0</v>
      </c>
      <c r="R20" s="236" t="b">
        <v>0</v>
      </c>
      <c r="S20" s="256" t="str" cm="1">
        <f t="array" ref="S20">IF(SUMPRODUCT((Cert_Matrix!$A$39:$A$43=E20)*(Cert_Matrix!$AZ$39:$BH$43="X")*(H20:P20=TRUE))&lt;SUMPRODUCT((Cert_Matrix!$A$39:$A$43=E20)*(Cert_Matrix!$AZ$39:$BH$43="X")),"Thiếu chứng nhận","Đủ điều kiện")</f>
        <v>Đủ điều kiện</v>
      </c>
      <c r="T20" s="287"/>
      <c r="U20" s="290"/>
      <c r="V20" s="257" t="str">
        <f>VLOOKUP(B20,'HC Golf'!C:G,5,0)</f>
        <v>S1</v>
      </c>
    </row>
    <row r="21" spans="1:22">
      <c r="A21" s="256">
        <f>ROWS($B$5:B19)</f>
        <v>15</v>
      </c>
      <c r="B21" s="256" t="s">
        <v>1665</v>
      </c>
      <c r="C21" s="256" t="s">
        <v>1666</v>
      </c>
      <c r="D21" s="256" t="s">
        <v>1167</v>
      </c>
      <c r="E21" s="256" t="s">
        <v>1167</v>
      </c>
      <c r="F21" s="256" t="s">
        <v>299</v>
      </c>
      <c r="G21" s="290"/>
      <c r="H21" s="236" t="b">
        <v>0</v>
      </c>
      <c r="I21" s="236" t="b">
        <v>0</v>
      </c>
      <c r="J21" s="236" t="b">
        <v>0</v>
      </c>
      <c r="K21" s="236" t="b">
        <v>0</v>
      </c>
      <c r="L21" s="236" t="b">
        <v>1</v>
      </c>
      <c r="M21" s="236" t="b">
        <v>0</v>
      </c>
      <c r="N21" s="236" t="b">
        <v>0</v>
      </c>
      <c r="O21" s="236" t="b">
        <v>0</v>
      </c>
      <c r="P21" s="236" t="b">
        <v>0</v>
      </c>
      <c r="Q21" s="236" t="b">
        <v>0</v>
      </c>
      <c r="R21" s="236" t="b">
        <v>0</v>
      </c>
      <c r="S21" s="256" t="str" cm="1">
        <f t="array" ref="S21">IF(SUMPRODUCT((Cert_Matrix!$A$39:$A$43=E21)*(Cert_Matrix!$AZ$39:$BH$43="X")*(H21:P21=TRUE))&lt;SUMPRODUCT((Cert_Matrix!$A$39:$A$43=E21)*(Cert_Matrix!$AZ$39:$BH$43="X")),"Thiếu chứng nhận","Đủ điều kiện")</f>
        <v>Đủ điều kiện</v>
      </c>
      <c r="T21" s="287"/>
      <c r="U21" s="290"/>
      <c r="V21" s="257" t="str">
        <f>VLOOKUP(B21,'HC Golf'!C:G,5,0)</f>
        <v>S2</v>
      </c>
    </row>
    <row r="22" spans="1:22">
      <c r="A22" s="256">
        <f>ROWS($B$5:B20)</f>
        <v>16</v>
      </c>
      <c r="B22" s="256" t="s">
        <v>1667</v>
      </c>
      <c r="C22" s="256" t="s">
        <v>1668</v>
      </c>
      <c r="D22" s="256" t="s">
        <v>1661</v>
      </c>
      <c r="E22" s="256" t="s">
        <v>1657</v>
      </c>
      <c r="F22" s="256" t="s">
        <v>299</v>
      </c>
      <c r="G22" s="290">
        <v>45976</v>
      </c>
      <c r="H22" s="236" t="b">
        <v>1</v>
      </c>
      <c r="I22" s="236" t="b">
        <v>0</v>
      </c>
      <c r="J22" s="236" t="b">
        <v>0</v>
      </c>
      <c r="K22" s="236" t="b">
        <v>0</v>
      </c>
      <c r="L22" s="236" t="b">
        <v>1</v>
      </c>
      <c r="M22" s="236" t="b">
        <v>0</v>
      </c>
      <c r="N22" s="236" t="b">
        <v>0</v>
      </c>
      <c r="O22" s="236" t="b">
        <v>0</v>
      </c>
      <c r="P22" s="236" t="b">
        <v>0</v>
      </c>
      <c r="Q22" s="236" t="b">
        <v>0</v>
      </c>
      <c r="R22" s="236" t="b">
        <v>0</v>
      </c>
      <c r="S22" s="256" t="str" cm="1">
        <f t="array" ref="S22">IF(SUMPRODUCT((Cert_Matrix!$A$39:$A$43=E22)*(Cert_Matrix!$AZ$39:$BH$43="X")*(H22:P22=TRUE))&lt;SUMPRODUCT((Cert_Matrix!$A$39:$A$43=E22)*(Cert_Matrix!$AZ$39:$BH$43="X")),"Thiếu chứng nhận","Đủ điều kiện")</f>
        <v>Đủ điều kiện</v>
      </c>
      <c r="T22" s="287"/>
      <c r="U22" s="290"/>
      <c r="V22" s="257" t="str">
        <f>VLOOKUP(B22,'HC Golf'!C:G,5,0)</f>
        <v>S2</v>
      </c>
    </row>
    <row r="23" spans="1:22">
      <c r="A23" s="256">
        <f>ROWS($B$5:B21)</f>
        <v>17</v>
      </c>
      <c r="B23" s="256" t="s">
        <v>1669</v>
      </c>
      <c r="C23" s="256" t="s">
        <v>1670</v>
      </c>
      <c r="D23" s="256" t="s">
        <v>1225</v>
      </c>
      <c r="E23" s="256" t="s">
        <v>1647</v>
      </c>
      <c r="F23" s="256" t="s">
        <v>299</v>
      </c>
      <c r="G23" s="290"/>
      <c r="H23" s="236" t="b">
        <v>0</v>
      </c>
      <c r="I23" s="236" t="b">
        <v>0</v>
      </c>
      <c r="J23" s="236" t="b">
        <v>1</v>
      </c>
      <c r="K23" s="236" t="b">
        <v>0</v>
      </c>
      <c r="L23" s="236" t="b">
        <v>1</v>
      </c>
      <c r="M23" s="236" t="b">
        <v>0</v>
      </c>
      <c r="N23" s="236" t="b">
        <v>0</v>
      </c>
      <c r="O23" s="236" t="b">
        <v>0</v>
      </c>
      <c r="P23" s="236" t="b">
        <v>0</v>
      </c>
      <c r="Q23" s="236" t="b">
        <v>0</v>
      </c>
      <c r="R23" s="236" t="b">
        <v>0</v>
      </c>
      <c r="S23" s="256" t="str" cm="1">
        <f t="array" ref="S23">IF(SUMPRODUCT((Cert_Matrix!$A$39:$A$43=E23)*(Cert_Matrix!$AZ$39:$BH$43="X")*(H23:P23=TRUE))&lt;SUMPRODUCT((Cert_Matrix!$A$39:$A$43=E23)*(Cert_Matrix!$AZ$39:$BH$43="X")),"Thiếu chứng nhận","Đủ điều kiện")</f>
        <v>Đủ điều kiện</v>
      </c>
      <c r="T23" s="287"/>
      <c r="U23" s="290"/>
      <c r="V23" s="257" t="str">
        <f>VLOOKUP(B23,'HC Golf'!C:G,5,0)</f>
        <v>S2</v>
      </c>
    </row>
    <row r="24" spans="1:22">
      <c r="A24" s="256">
        <f>ROWS($B$5:B22)</f>
        <v>18</v>
      </c>
      <c r="B24" s="256" t="s">
        <v>1671</v>
      </c>
      <c r="C24" s="256" t="s">
        <v>1672</v>
      </c>
      <c r="D24" s="256" t="s">
        <v>1225</v>
      </c>
      <c r="E24" s="256" t="s">
        <v>1173</v>
      </c>
      <c r="F24" s="256" t="s">
        <v>299</v>
      </c>
      <c r="G24" s="290">
        <v>46120</v>
      </c>
      <c r="H24" s="236" t="b">
        <v>0</v>
      </c>
      <c r="I24" s="236" t="b">
        <v>1</v>
      </c>
      <c r="J24" s="236" t="b">
        <v>1</v>
      </c>
      <c r="K24" s="236" t="b">
        <v>0</v>
      </c>
      <c r="L24" s="236" t="b">
        <v>1</v>
      </c>
      <c r="M24" s="236" t="b">
        <v>0</v>
      </c>
      <c r="N24" s="236" t="b">
        <v>0</v>
      </c>
      <c r="O24" s="236" t="b">
        <v>0</v>
      </c>
      <c r="P24" s="236" t="b">
        <v>0</v>
      </c>
      <c r="Q24" s="236" t="b">
        <v>0</v>
      </c>
      <c r="R24" s="236" t="b">
        <v>0</v>
      </c>
      <c r="S24" s="256" t="str" cm="1">
        <f t="array" ref="S24">IF(SUMPRODUCT((Cert_Matrix!$A$39:$A$43=E24)*(Cert_Matrix!$AZ$39:$BH$43="X")*(H24:P24=TRUE))&lt;SUMPRODUCT((Cert_Matrix!$A$39:$A$43=E24)*(Cert_Matrix!$AZ$39:$BH$43="X")),"Thiếu chứng nhận","Đủ điều kiện")</f>
        <v>Đủ điều kiện</v>
      </c>
      <c r="T24" s="287"/>
      <c r="U24" s="290"/>
      <c r="V24" s="257" t="str">
        <f>VLOOKUP(B24,'HC Golf'!C:G,5,0)</f>
        <v>S2</v>
      </c>
    </row>
    <row r="25" spans="1:22">
      <c r="A25" s="256">
        <f>ROWS($B$5:B23)</f>
        <v>19</v>
      </c>
      <c r="B25" s="256" t="s">
        <v>1673</v>
      </c>
      <c r="C25" s="256" t="s">
        <v>1674</v>
      </c>
      <c r="D25" s="256" t="s">
        <v>1225</v>
      </c>
      <c r="E25" s="256" t="s">
        <v>1173</v>
      </c>
      <c r="F25" s="256" t="s">
        <v>299</v>
      </c>
      <c r="G25" s="290">
        <v>46120</v>
      </c>
      <c r="H25" s="236" t="b">
        <v>0</v>
      </c>
      <c r="I25" s="236" t="b">
        <v>1</v>
      </c>
      <c r="J25" s="236" t="b">
        <v>1</v>
      </c>
      <c r="K25" s="236" t="b">
        <v>0</v>
      </c>
      <c r="L25" s="236" t="b">
        <v>1</v>
      </c>
      <c r="M25" s="236" t="b">
        <v>0</v>
      </c>
      <c r="N25" s="236" t="b">
        <v>0</v>
      </c>
      <c r="O25" s="236" t="b">
        <v>0</v>
      </c>
      <c r="P25" s="236" t="b">
        <v>0</v>
      </c>
      <c r="Q25" s="236" t="b">
        <v>0</v>
      </c>
      <c r="R25" s="236" t="b">
        <v>0</v>
      </c>
      <c r="S25" s="256" t="str" cm="1">
        <f t="array" ref="S25">IF(SUMPRODUCT((Cert_Matrix!$A$39:$A$43=E25)*(Cert_Matrix!$AZ$39:$BH$43="X")*(H25:P25=TRUE))&lt;SUMPRODUCT((Cert_Matrix!$A$39:$A$43=E25)*(Cert_Matrix!$AZ$39:$BH$43="X")),"Thiếu chứng nhận","Đủ điều kiện")</f>
        <v>Đủ điều kiện</v>
      </c>
      <c r="T25" s="287"/>
      <c r="U25" s="290"/>
      <c r="V25" s="257" t="str">
        <f>VLOOKUP(B25,'HC Golf'!C:G,5,0)</f>
        <v>S2</v>
      </c>
    </row>
    <row r="26" spans="1:22">
      <c r="A26" s="256">
        <f>ROWS($B$5:B24)</f>
        <v>20</v>
      </c>
      <c r="B26" s="256" t="s">
        <v>1675</v>
      </c>
      <c r="C26" s="256" t="s">
        <v>1676</v>
      </c>
      <c r="D26" s="256" t="s">
        <v>1655</v>
      </c>
      <c r="E26" s="256" t="s">
        <v>1173</v>
      </c>
      <c r="F26" s="256" t="s">
        <v>299</v>
      </c>
      <c r="G26" s="290">
        <v>46120</v>
      </c>
      <c r="H26" s="236" t="b">
        <v>0</v>
      </c>
      <c r="I26" s="236" t="b">
        <v>1</v>
      </c>
      <c r="J26" s="236" t="b">
        <v>1</v>
      </c>
      <c r="K26" s="236" t="b">
        <v>0</v>
      </c>
      <c r="L26" s="236" t="b">
        <v>1</v>
      </c>
      <c r="M26" s="236" t="b">
        <v>0</v>
      </c>
      <c r="N26" s="236" t="b">
        <v>0</v>
      </c>
      <c r="O26" s="236" t="b">
        <v>0</v>
      </c>
      <c r="P26" s="236" t="b">
        <v>0</v>
      </c>
      <c r="Q26" s="236" t="b">
        <v>0</v>
      </c>
      <c r="R26" s="236" t="b">
        <v>1</v>
      </c>
      <c r="S26" s="256" t="str" cm="1">
        <f t="array" ref="S26">IF(SUMPRODUCT((Cert_Matrix!$A$39:$A$43=E26)*(Cert_Matrix!$AZ$39:$BH$43="X")*(H26:P26=TRUE))&lt;SUMPRODUCT((Cert_Matrix!$A$39:$A$43=E26)*(Cert_Matrix!$AZ$39:$BH$43="X")),"Thiếu chứng nhận","Đủ điều kiện")</f>
        <v>Đủ điều kiện</v>
      </c>
      <c r="T26" s="287"/>
      <c r="U26" s="290"/>
      <c r="V26" s="257" t="str">
        <f>VLOOKUP(B26,'HC Golf'!C:G,5,0)</f>
        <v>S2</v>
      </c>
    </row>
    <row r="27" spans="1:22">
      <c r="A27" s="256">
        <f>ROWS($B$5:B25)</f>
        <v>21</v>
      </c>
      <c r="B27" s="256" t="s">
        <v>1677</v>
      </c>
      <c r="C27" s="256" t="s">
        <v>1678</v>
      </c>
      <c r="D27" s="256" t="s">
        <v>1225</v>
      </c>
      <c r="E27" s="256" t="s">
        <v>1173</v>
      </c>
      <c r="F27" s="256" t="s">
        <v>299</v>
      </c>
      <c r="G27" s="290">
        <v>46172</v>
      </c>
      <c r="H27" s="236" t="b">
        <v>0</v>
      </c>
      <c r="I27" s="236" t="b">
        <v>1</v>
      </c>
      <c r="J27" s="236" t="b">
        <v>1</v>
      </c>
      <c r="K27" s="236" t="b">
        <v>0</v>
      </c>
      <c r="L27" s="236" t="b">
        <v>1</v>
      </c>
      <c r="M27" s="236" t="b">
        <v>0</v>
      </c>
      <c r="N27" s="236" t="b">
        <v>0</v>
      </c>
      <c r="O27" s="236" t="b">
        <v>0</v>
      </c>
      <c r="P27" s="236" t="b">
        <v>0</v>
      </c>
      <c r="Q27" s="236" t="b">
        <v>0</v>
      </c>
      <c r="R27" s="236" t="b">
        <v>0</v>
      </c>
      <c r="S27" s="256" t="str" cm="1">
        <f t="array" ref="S27">IF(SUMPRODUCT((Cert_Matrix!$A$39:$A$43=E27)*(Cert_Matrix!$AZ$39:$BH$43="X")*(H27:P27=TRUE))&lt;SUMPRODUCT((Cert_Matrix!$A$39:$A$43=E27)*(Cert_Matrix!$AZ$39:$BH$43="X")),"Thiếu chứng nhận","Đủ điều kiện")</f>
        <v>Đủ điều kiện</v>
      </c>
      <c r="T27" s="287"/>
      <c r="U27" s="290"/>
      <c r="V27" s="257" t="str">
        <f>VLOOKUP(B27,'HC Golf'!C:G,5,0)</f>
        <v>S2</v>
      </c>
    </row>
    <row r="28" spans="1:22">
      <c r="A28" s="256">
        <f>ROWS($B$5:B26)</f>
        <v>22</v>
      </c>
      <c r="B28" s="256" t="s">
        <v>651</v>
      </c>
      <c r="C28" s="256" t="s">
        <v>652</v>
      </c>
      <c r="D28" s="256" t="s">
        <v>1292</v>
      </c>
      <c r="E28" s="256" t="s">
        <v>1173</v>
      </c>
      <c r="F28" s="256" t="s">
        <v>299</v>
      </c>
      <c r="G28" s="290"/>
      <c r="H28" s="236" t="b">
        <v>1</v>
      </c>
      <c r="I28" s="236" t="b">
        <v>1</v>
      </c>
      <c r="J28" s="236" t="b">
        <v>1</v>
      </c>
      <c r="K28" s="236" t="b">
        <v>1</v>
      </c>
      <c r="L28" s="236" t="b">
        <v>1</v>
      </c>
      <c r="M28" s="236" t="b">
        <v>0</v>
      </c>
      <c r="N28" s="236" t="b">
        <v>0</v>
      </c>
      <c r="O28" s="236" t="b">
        <v>0</v>
      </c>
      <c r="P28" s="236" t="b">
        <v>0</v>
      </c>
      <c r="Q28" s="236" t="b">
        <v>0</v>
      </c>
      <c r="R28" s="236" t="b">
        <v>0</v>
      </c>
      <c r="S28" s="256" t="str" cm="1">
        <f t="array" ref="S28">IF(SUMPRODUCT((Cert_Matrix!$A$39:$A$43=E28)*(Cert_Matrix!$AZ$39:$BH$43="X")*(H28:P28=TRUE))&lt;SUMPRODUCT((Cert_Matrix!$A$39:$A$43=E28)*(Cert_Matrix!$AZ$39:$BH$43="X")),"Thiếu chứng nhận","Đủ điều kiện")</f>
        <v>Đủ điều kiện</v>
      </c>
      <c r="T28" s="287"/>
      <c r="U28" s="290"/>
      <c r="V28" s="257" t="str">
        <f>VLOOKUP(B28,'HC Golf'!C:G,5,0)</f>
        <v>S3</v>
      </c>
    </row>
    <row r="29" spans="1:22">
      <c r="A29" s="256">
        <f>ROWS($B$5:B27)</f>
        <v>23</v>
      </c>
      <c r="B29" s="256" t="s">
        <v>657</v>
      </c>
      <c r="C29" s="256" t="s">
        <v>658</v>
      </c>
      <c r="D29" s="256" t="s">
        <v>1655</v>
      </c>
      <c r="E29" s="256" t="s">
        <v>1173</v>
      </c>
      <c r="F29" s="256" t="s">
        <v>299</v>
      </c>
      <c r="G29" s="290"/>
      <c r="H29" s="236" t="b">
        <v>0</v>
      </c>
      <c r="I29" s="236" t="b">
        <v>1</v>
      </c>
      <c r="J29" s="236" t="b">
        <v>1</v>
      </c>
      <c r="K29" s="236" t="b">
        <v>0</v>
      </c>
      <c r="L29" s="236" t="b">
        <v>1</v>
      </c>
      <c r="M29" s="236" t="b">
        <v>0</v>
      </c>
      <c r="N29" s="236" t="b">
        <v>0</v>
      </c>
      <c r="O29" s="236" t="b">
        <v>0</v>
      </c>
      <c r="P29" s="236" t="b">
        <v>0</v>
      </c>
      <c r="Q29" s="236" t="b">
        <v>0</v>
      </c>
      <c r="R29" s="236" t="b">
        <v>0</v>
      </c>
      <c r="S29" s="256" t="str" cm="1">
        <f t="array" ref="S29">IF(SUMPRODUCT((Cert_Matrix!$A$39:$A$43=E29)*(Cert_Matrix!$AZ$39:$BH$43="X")*(H29:P29=TRUE))&lt;SUMPRODUCT((Cert_Matrix!$A$39:$A$43=E29)*(Cert_Matrix!$AZ$39:$BH$43="X")),"Thiếu chứng nhận","Đủ điều kiện")</f>
        <v>Đủ điều kiện</v>
      </c>
      <c r="T29" s="287"/>
      <c r="U29" s="290"/>
      <c r="V29" s="257" t="str">
        <f>VLOOKUP(B29,'HC Golf'!C:G,5,0)</f>
        <v>S3</v>
      </c>
    </row>
    <row r="30" spans="1:22">
      <c r="A30" s="256">
        <f>ROWS($B$5:B28)</f>
        <v>24</v>
      </c>
      <c r="B30" s="256" t="s">
        <v>310</v>
      </c>
      <c r="C30" s="256" t="s">
        <v>311</v>
      </c>
      <c r="D30" s="256" t="s">
        <v>1650</v>
      </c>
      <c r="E30" s="256" t="s">
        <v>1173</v>
      </c>
      <c r="F30" s="256" t="s">
        <v>299</v>
      </c>
      <c r="G30" s="290"/>
      <c r="H30" s="236" t="b">
        <v>0</v>
      </c>
      <c r="I30" s="236" t="b">
        <v>1</v>
      </c>
      <c r="J30" s="236" t="b">
        <v>1</v>
      </c>
      <c r="K30" s="236" t="b">
        <v>0</v>
      </c>
      <c r="L30" s="236" t="b">
        <v>1</v>
      </c>
      <c r="M30" s="236" t="b">
        <v>0</v>
      </c>
      <c r="N30" s="236" t="b">
        <v>0</v>
      </c>
      <c r="O30" s="236" t="b">
        <v>0</v>
      </c>
      <c r="P30" s="236" t="b">
        <v>0</v>
      </c>
      <c r="Q30" s="236" t="b">
        <v>0</v>
      </c>
      <c r="R30" s="236" t="b">
        <v>0</v>
      </c>
      <c r="S30" s="256" t="str" cm="1">
        <f t="array" ref="S30">IF(SUMPRODUCT((Cert_Matrix!$A$39:$A$43=E30)*(Cert_Matrix!$AZ$39:$BH$43="X")*(H30:P30=TRUE))&lt;SUMPRODUCT((Cert_Matrix!$A$39:$A$43=E30)*(Cert_Matrix!$AZ$39:$BH$43="X")),"Thiếu chứng nhận","Đủ điều kiện")</f>
        <v>Đủ điều kiện</v>
      </c>
      <c r="T30" s="287"/>
      <c r="U30" s="290"/>
      <c r="V30" s="257" t="str">
        <f>VLOOKUP(B30,'HC Golf'!C:G,5,0)</f>
        <v>S3</v>
      </c>
    </row>
    <row r="31" spans="1:22">
      <c r="A31" s="256">
        <f>ROWS($B$5:B29)</f>
        <v>25</v>
      </c>
      <c r="B31" s="256" t="s">
        <v>1679</v>
      </c>
      <c r="C31" s="256" t="s">
        <v>1680</v>
      </c>
      <c r="D31" s="256" t="s">
        <v>1656</v>
      </c>
      <c r="E31" s="256" t="s">
        <v>1657</v>
      </c>
      <c r="F31" s="256" t="s">
        <v>299</v>
      </c>
      <c r="G31" s="290">
        <v>46096</v>
      </c>
      <c r="H31" s="236" t="b">
        <v>1</v>
      </c>
      <c r="I31" s="236" t="b">
        <v>0</v>
      </c>
      <c r="J31" s="236" t="b">
        <v>0</v>
      </c>
      <c r="K31" s="236" t="b">
        <v>0</v>
      </c>
      <c r="L31" s="236" t="b">
        <v>1</v>
      </c>
      <c r="M31" s="236" t="b">
        <v>0</v>
      </c>
      <c r="N31" s="236" t="b">
        <v>0</v>
      </c>
      <c r="O31" s="236" t="b">
        <v>0</v>
      </c>
      <c r="P31" s="236" t="b">
        <v>0</v>
      </c>
      <c r="Q31" s="236" t="b">
        <v>0</v>
      </c>
      <c r="R31" s="236" t="b">
        <v>0</v>
      </c>
      <c r="S31" s="256" t="str" cm="1">
        <f t="array" ref="S31">IF(SUMPRODUCT((Cert_Matrix!$A$39:$A$43=E31)*(Cert_Matrix!$AZ$39:$BH$43="X")*(H31:P31=TRUE))&lt;SUMPRODUCT((Cert_Matrix!$A$39:$A$43=E31)*(Cert_Matrix!$AZ$39:$BH$43="X")),"Thiếu chứng nhận","Đủ điều kiện")</f>
        <v>Đủ điều kiện</v>
      </c>
      <c r="T31" s="287"/>
      <c r="U31" s="290"/>
      <c r="V31" s="257" t="str">
        <f>VLOOKUP(B31,'HC Golf'!C:G,5,0)</f>
        <v>S3</v>
      </c>
    </row>
    <row r="32" spans="1:22">
      <c r="A32" s="256">
        <f>ROWS($B$5:B30)</f>
        <v>26</v>
      </c>
      <c r="B32" s="256" t="s">
        <v>815</v>
      </c>
      <c r="C32" s="256" t="s">
        <v>816</v>
      </c>
      <c r="D32" s="256" t="s">
        <v>1297</v>
      </c>
      <c r="E32" s="256" t="s">
        <v>1657</v>
      </c>
      <c r="F32" s="256" t="s">
        <v>299</v>
      </c>
      <c r="G32" s="290"/>
      <c r="H32" s="236" t="b">
        <v>1</v>
      </c>
      <c r="I32" s="236" t="b">
        <v>0</v>
      </c>
      <c r="J32" s="236" t="b">
        <v>1</v>
      </c>
      <c r="K32" s="236" t="b">
        <v>1</v>
      </c>
      <c r="L32" s="236" t="b">
        <v>0</v>
      </c>
      <c r="M32" s="236" t="b">
        <v>0</v>
      </c>
      <c r="N32" s="236" t="b">
        <v>0</v>
      </c>
      <c r="O32" s="236" t="b">
        <v>0</v>
      </c>
      <c r="P32" s="236" t="b">
        <v>0</v>
      </c>
      <c r="Q32" s="236" t="b">
        <v>1</v>
      </c>
      <c r="R32" s="236" t="b">
        <v>0</v>
      </c>
      <c r="S32" s="256" t="str" cm="1">
        <f t="array" ref="S32">IF(SUMPRODUCT((Cert_Matrix!$A$39:$A$43=E32)*(Cert_Matrix!$AZ$39:$BH$43="X")*(H32:P32=TRUE))&lt;SUMPRODUCT((Cert_Matrix!$A$39:$A$43=E32)*(Cert_Matrix!$AZ$39:$BH$43="X")),"Thiếu chứng nhận","Đủ điều kiện")</f>
        <v>Đủ điều kiện</v>
      </c>
      <c r="T32" s="287"/>
      <c r="U32" s="290"/>
      <c r="V32" s="257" t="str">
        <f>VLOOKUP(B32,'HC Golf'!C:G,5,0)</f>
        <v>S3</v>
      </c>
    </row>
    <row r="33" spans="1:22">
      <c r="A33" s="256">
        <f>ROWS($B$5:B31)</f>
        <v>27</v>
      </c>
      <c r="B33" s="256" t="s">
        <v>1681</v>
      </c>
      <c r="C33" s="256" t="s">
        <v>1682</v>
      </c>
      <c r="D33" s="256" t="s">
        <v>1646</v>
      </c>
      <c r="E33" s="256" t="s">
        <v>1647</v>
      </c>
      <c r="F33" s="256" t="s">
        <v>299</v>
      </c>
      <c r="G33" s="290"/>
      <c r="H33" s="236" t="b">
        <v>0</v>
      </c>
      <c r="I33" s="236" t="b">
        <v>0</v>
      </c>
      <c r="J33" s="236" t="b">
        <v>0</v>
      </c>
      <c r="K33" s="236" t="b">
        <v>0</v>
      </c>
      <c r="L33" s="236" t="b">
        <v>0</v>
      </c>
      <c r="M33" s="236" t="b">
        <v>0</v>
      </c>
      <c r="N33" s="236" t="b">
        <v>0</v>
      </c>
      <c r="O33" s="236" t="b">
        <v>0</v>
      </c>
      <c r="P33" s="236" t="b">
        <v>0</v>
      </c>
      <c r="Q33" s="236" t="b">
        <v>0</v>
      </c>
      <c r="R33" s="236" t="b">
        <v>0</v>
      </c>
      <c r="S33" s="256" t="str" cm="1">
        <f t="array" ref="S33">IF(SUMPRODUCT((Cert_Matrix!$A$39:$A$43=E33)*(Cert_Matrix!$AZ$39:$BH$43="X")*(H33:P33=TRUE))&lt;SUMPRODUCT((Cert_Matrix!$A$39:$A$43=E33)*(Cert_Matrix!$AZ$39:$BH$43="X")),"Thiếu chứng nhận","Đủ điều kiện")</f>
        <v>Đủ điều kiện</v>
      </c>
      <c r="T33" s="287"/>
      <c r="U33" s="290"/>
      <c r="V33" s="257" t="str">
        <f>VLOOKUP(B33,'HC Golf'!C:G,5,0)</f>
        <v>S3</v>
      </c>
    </row>
    <row r="34" spans="1:22">
      <c r="A34" s="256">
        <f>ROWS($B$5:B32)</f>
        <v>28</v>
      </c>
      <c r="B34" s="256" t="s">
        <v>324</v>
      </c>
      <c r="C34" s="256" t="s">
        <v>325</v>
      </c>
      <c r="D34" s="256" t="s">
        <v>1683</v>
      </c>
      <c r="E34" s="256" t="s">
        <v>1173</v>
      </c>
      <c r="F34" s="256" t="s">
        <v>299</v>
      </c>
      <c r="G34" s="290"/>
      <c r="H34" s="236" t="b">
        <v>0</v>
      </c>
      <c r="I34" s="236" t="b">
        <v>1</v>
      </c>
      <c r="J34" s="236" t="b">
        <v>1</v>
      </c>
      <c r="K34" s="236" t="b">
        <v>0</v>
      </c>
      <c r="L34" s="236" t="b">
        <v>1</v>
      </c>
      <c r="M34" s="236" t="b">
        <v>0</v>
      </c>
      <c r="N34" s="236" t="b">
        <v>0</v>
      </c>
      <c r="O34" s="236" t="b">
        <v>0</v>
      </c>
      <c r="P34" s="236" t="b">
        <v>0</v>
      </c>
      <c r="Q34" s="236" t="b">
        <v>0</v>
      </c>
      <c r="R34" s="236" t="b">
        <v>0</v>
      </c>
      <c r="S34" s="256" t="str" cm="1">
        <f t="array" ref="S34">IF(SUMPRODUCT((Cert_Matrix!$A$39:$A$43=E34)*(Cert_Matrix!$AZ$39:$BH$43="X")*(H34:P34=TRUE))&lt;SUMPRODUCT((Cert_Matrix!$A$39:$A$43=E34)*(Cert_Matrix!$AZ$39:$BH$43="X")),"Thiếu chứng nhận","Đủ điều kiện")</f>
        <v>Đủ điều kiện</v>
      </c>
      <c r="T34" s="287"/>
      <c r="U34" s="290"/>
      <c r="V34" s="257" t="str">
        <f>VLOOKUP(B34,'HC Golf'!C:G,5,0)</f>
        <v>S3</v>
      </c>
    </row>
    <row r="35" spans="1:22">
      <c r="A35" s="256">
        <f>ROWS($B$5:B33)</f>
        <v>29</v>
      </c>
      <c r="B35" s="256" t="s">
        <v>330</v>
      </c>
      <c r="C35" s="256" t="s">
        <v>331</v>
      </c>
      <c r="D35" s="256" t="s">
        <v>1661</v>
      </c>
      <c r="E35" s="256" t="s">
        <v>1657</v>
      </c>
      <c r="F35" s="256" t="s">
        <v>299</v>
      </c>
      <c r="G35" s="290"/>
      <c r="H35" s="236" t="b">
        <v>1</v>
      </c>
      <c r="I35" s="236" t="b">
        <v>0</v>
      </c>
      <c r="J35" s="236" t="b">
        <v>0</v>
      </c>
      <c r="K35" s="236" t="b">
        <v>1</v>
      </c>
      <c r="L35" s="236" t="b">
        <v>1</v>
      </c>
      <c r="M35" s="236" t="b">
        <v>0</v>
      </c>
      <c r="N35" s="236" t="b">
        <v>0</v>
      </c>
      <c r="O35" s="236" t="b">
        <v>0</v>
      </c>
      <c r="P35" s="236" t="b">
        <v>0</v>
      </c>
      <c r="Q35" s="236" t="b">
        <v>0</v>
      </c>
      <c r="R35" s="236" t="b">
        <v>0</v>
      </c>
      <c r="S35" s="256" t="str" cm="1">
        <f t="array" ref="S35">IF(SUMPRODUCT((Cert_Matrix!$A$39:$A$43=E35)*(Cert_Matrix!$AZ$39:$BH$43="X")*(H35:P35=TRUE))&lt;SUMPRODUCT((Cert_Matrix!$A$39:$A$43=E35)*(Cert_Matrix!$AZ$39:$BH$43="X")),"Thiếu chứng nhận","Đủ điều kiện")</f>
        <v>Đủ điều kiện</v>
      </c>
      <c r="T35" s="287"/>
      <c r="U35" s="290"/>
      <c r="V35" s="257" t="str">
        <f>VLOOKUP(B35,'HC Golf'!C:G,5,0)</f>
        <v>S1</v>
      </c>
    </row>
    <row r="36" spans="1:22">
      <c r="A36" s="256">
        <f>ROWS($B$5:B34)</f>
        <v>30</v>
      </c>
      <c r="B36" s="256" t="s">
        <v>332</v>
      </c>
      <c r="C36" s="256" t="s">
        <v>333</v>
      </c>
      <c r="D36" s="256" t="s">
        <v>1655</v>
      </c>
      <c r="E36" s="256" t="s">
        <v>1173</v>
      </c>
      <c r="F36" s="256" t="s">
        <v>299</v>
      </c>
      <c r="G36" s="290"/>
      <c r="H36" s="236" t="b">
        <v>1</v>
      </c>
      <c r="I36" s="236" t="b">
        <v>1</v>
      </c>
      <c r="J36" s="236" t="b">
        <v>1</v>
      </c>
      <c r="K36" s="236" t="b">
        <v>1</v>
      </c>
      <c r="L36" s="236" t="b">
        <v>1</v>
      </c>
      <c r="M36" s="236" t="b">
        <v>0</v>
      </c>
      <c r="N36" s="236" t="b">
        <v>0</v>
      </c>
      <c r="O36" s="236" t="b">
        <v>0</v>
      </c>
      <c r="P36" s="236" t="b">
        <v>0</v>
      </c>
      <c r="Q36" s="236" t="b">
        <v>1</v>
      </c>
      <c r="R36" s="236" t="b">
        <v>0</v>
      </c>
      <c r="S36" s="256" t="str" cm="1">
        <f t="array" ref="S36">IF(SUMPRODUCT((Cert_Matrix!$A$39:$A$43=E36)*(Cert_Matrix!$AZ$39:$BH$43="X")*(H36:P36=TRUE))&lt;SUMPRODUCT((Cert_Matrix!$A$39:$A$43=E36)*(Cert_Matrix!$AZ$39:$BH$43="X")),"Thiếu chứng nhận","Đủ điều kiện")</f>
        <v>Đủ điều kiện</v>
      </c>
      <c r="T36" s="287"/>
      <c r="U36" s="290"/>
      <c r="V36" s="257" t="str">
        <f>VLOOKUP(B36,'HC Golf'!C:G,5,0)</f>
        <v>S3</v>
      </c>
    </row>
    <row r="37" spans="1:22">
      <c r="A37" s="256">
        <f>ROWS($B$5:B35)</f>
        <v>31</v>
      </c>
      <c r="B37" s="256" t="s">
        <v>318</v>
      </c>
      <c r="C37" s="256" t="s">
        <v>319</v>
      </c>
      <c r="D37" s="256" t="s">
        <v>1655</v>
      </c>
      <c r="E37" s="256" t="s">
        <v>1173</v>
      </c>
      <c r="F37" s="256" t="s">
        <v>299</v>
      </c>
      <c r="G37" s="290">
        <v>46096</v>
      </c>
      <c r="H37" s="236" t="b">
        <v>0</v>
      </c>
      <c r="I37" s="236" t="b">
        <v>1</v>
      </c>
      <c r="J37" s="236" t="b">
        <v>1</v>
      </c>
      <c r="K37" s="236" t="b">
        <v>0</v>
      </c>
      <c r="L37" s="236" t="b">
        <v>1</v>
      </c>
      <c r="M37" s="236" t="b">
        <v>0</v>
      </c>
      <c r="N37" s="236" t="b">
        <v>0</v>
      </c>
      <c r="O37" s="236" t="b">
        <v>0</v>
      </c>
      <c r="P37" s="236" t="b">
        <v>0</v>
      </c>
      <c r="Q37" s="236" t="b">
        <v>0</v>
      </c>
      <c r="R37" s="236" t="b">
        <v>0</v>
      </c>
      <c r="S37" s="256" t="str" cm="1">
        <f t="array" ref="S37">IF(SUMPRODUCT((Cert_Matrix!$A$39:$A$43=E37)*(Cert_Matrix!$AZ$39:$BH$43="X")*(H37:P37=TRUE))&lt;SUMPRODUCT((Cert_Matrix!$A$39:$A$43=E37)*(Cert_Matrix!$AZ$39:$BH$43="X")),"Thiếu chứng nhận","Đủ điều kiện")</f>
        <v>Đủ điều kiện</v>
      </c>
      <c r="T37" s="287"/>
      <c r="U37" s="290"/>
      <c r="V37" s="257" t="str">
        <f>VLOOKUP(B37,'HC Golf'!C:G,5,0)</f>
        <v>S3</v>
      </c>
    </row>
    <row r="38" spans="1:22">
      <c r="A38" s="256">
        <f>ROWS($B$5:B36)</f>
        <v>32</v>
      </c>
      <c r="B38" s="256" t="s">
        <v>821</v>
      </c>
      <c r="C38" s="256" t="s">
        <v>822</v>
      </c>
      <c r="D38" s="256" t="s">
        <v>1650</v>
      </c>
      <c r="E38" s="256" t="s">
        <v>1173</v>
      </c>
      <c r="F38" s="256" t="s">
        <v>299</v>
      </c>
      <c r="G38" s="290"/>
      <c r="H38" s="236" t="b">
        <v>0</v>
      </c>
      <c r="I38" s="236" t="b">
        <v>1</v>
      </c>
      <c r="J38" s="236" t="b">
        <v>1</v>
      </c>
      <c r="K38" s="236" t="b">
        <v>0</v>
      </c>
      <c r="L38" s="236" t="b">
        <v>1</v>
      </c>
      <c r="M38" s="236" t="b">
        <v>0</v>
      </c>
      <c r="N38" s="236" t="b">
        <v>0</v>
      </c>
      <c r="O38" s="236" t="b">
        <v>0</v>
      </c>
      <c r="P38" s="236" t="b">
        <v>0</v>
      </c>
      <c r="Q38" s="236" t="b">
        <v>0</v>
      </c>
      <c r="R38" s="236" t="b">
        <v>0</v>
      </c>
      <c r="S38" s="256" t="str" cm="1">
        <f t="array" ref="S38">IF(SUMPRODUCT((Cert_Matrix!$A$39:$A$43=E38)*(Cert_Matrix!$AZ$39:$BH$43="X")*(H38:P38=TRUE))&lt;SUMPRODUCT((Cert_Matrix!$A$39:$A$43=E38)*(Cert_Matrix!$AZ$39:$BH$43="X")),"Thiếu chứng nhận","Đủ điều kiện")</f>
        <v>Đủ điều kiện</v>
      </c>
      <c r="T38" s="287"/>
      <c r="U38" s="290"/>
      <c r="V38" s="257" t="str">
        <f>VLOOKUP(B38,'HC Golf'!C:G,5,0)</f>
        <v>S3</v>
      </c>
    </row>
    <row r="39" spans="1:22">
      <c r="A39" s="256">
        <f>ROWS($B$5:B37)</f>
        <v>33</v>
      </c>
      <c r="B39" s="256" t="s">
        <v>583</v>
      </c>
      <c r="C39" s="256" t="s">
        <v>584</v>
      </c>
      <c r="D39" s="256" t="s">
        <v>1661</v>
      </c>
      <c r="E39" s="256" t="s">
        <v>1657</v>
      </c>
      <c r="F39" s="256" t="s">
        <v>299</v>
      </c>
      <c r="G39" s="290"/>
      <c r="H39" s="236" t="b">
        <v>1</v>
      </c>
      <c r="I39" s="236" t="b">
        <v>0</v>
      </c>
      <c r="J39" s="236" t="b">
        <v>0</v>
      </c>
      <c r="K39" s="236" t="b">
        <v>0</v>
      </c>
      <c r="L39" s="236" t="b">
        <v>1</v>
      </c>
      <c r="M39" s="236" t="b">
        <v>0</v>
      </c>
      <c r="N39" s="236" t="b">
        <v>0</v>
      </c>
      <c r="O39" s="236" t="b">
        <v>0</v>
      </c>
      <c r="P39" s="236" t="b">
        <v>0</v>
      </c>
      <c r="Q39" s="236" t="b">
        <v>0</v>
      </c>
      <c r="R39" s="236" t="b">
        <v>0</v>
      </c>
      <c r="S39" s="256" t="str" cm="1">
        <f t="array" ref="S39">IF(SUMPRODUCT((Cert_Matrix!$A$39:$A$43=E39)*(Cert_Matrix!$AZ$39:$BH$43="X")*(H39:P39=TRUE))&lt;SUMPRODUCT((Cert_Matrix!$A$39:$A$43=E39)*(Cert_Matrix!$AZ$39:$BH$43="X")),"Thiếu chứng nhận","Đủ điều kiện")</f>
        <v>Đủ điều kiện</v>
      </c>
      <c r="T39" s="287"/>
      <c r="U39" s="290"/>
      <c r="V39" s="257" t="str">
        <f>VLOOKUP(B39,'HC Golf'!C:G,5,0)</f>
        <v>S3</v>
      </c>
    </row>
    <row r="40" spans="1:22">
      <c r="A40" s="256">
        <f>ROWS($B$5:B38)</f>
        <v>34</v>
      </c>
      <c r="B40" s="256" t="s">
        <v>1684</v>
      </c>
      <c r="C40" s="256" t="s">
        <v>1685</v>
      </c>
      <c r="D40" s="256" t="s">
        <v>1646</v>
      </c>
      <c r="E40" s="256" t="s">
        <v>1647</v>
      </c>
      <c r="F40" s="256" t="s">
        <v>299</v>
      </c>
      <c r="G40" s="290"/>
      <c r="H40" s="236" t="b">
        <v>0</v>
      </c>
      <c r="I40" s="236" t="b">
        <v>0</v>
      </c>
      <c r="J40" s="236" t="b">
        <v>0</v>
      </c>
      <c r="K40" s="236" t="b">
        <v>0</v>
      </c>
      <c r="L40" s="236" t="b">
        <v>0</v>
      </c>
      <c r="M40" s="236" t="b">
        <v>0</v>
      </c>
      <c r="N40" s="236" t="b">
        <v>0</v>
      </c>
      <c r="O40" s="236" t="b">
        <v>0</v>
      </c>
      <c r="P40" s="236" t="b">
        <v>0</v>
      </c>
      <c r="Q40" s="236" t="b">
        <v>0</v>
      </c>
      <c r="R40" s="236" t="b">
        <v>0</v>
      </c>
      <c r="S40" s="256" t="str" cm="1">
        <f t="array" ref="S40">IF(SUMPRODUCT((Cert_Matrix!$A$39:$A$43=E40)*(Cert_Matrix!$AZ$39:$BH$43="X")*(H40:P40=TRUE))&lt;SUMPRODUCT((Cert_Matrix!$A$39:$A$43=E40)*(Cert_Matrix!$AZ$39:$BH$43="X")),"Thiếu chứng nhận","Đủ điều kiện")</f>
        <v>Đủ điều kiện</v>
      </c>
      <c r="T40" s="287"/>
      <c r="U40" s="290"/>
      <c r="V40" s="257" t="str">
        <f>VLOOKUP(B40,'HC Golf'!C:G,5,0)</f>
        <v>S3</v>
      </c>
    </row>
    <row r="41" spans="1:22">
      <c r="A41" s="256">
        <f>ROWS($B$5:B39)</f>
        <v>35</v>
      </c>
      <c r="B41" s="256" t="s">
        <v>1686</v>
      </c>
      <c r="C41" s="256" t="s">
        <v>891</v>
      </c>
      <c r="D41" s="256" t="s">
        <v>1655</v>
      </c>
      <c r="E41" s="256" t="s">
        <v>1173</v>
      </c>
      <c r="F41" s="256" t="s">
        <v>299</v>
      </c>
      <c r="G41" s="290"/>
      <c r="H41" s="236" t="b">
        <v>0</v>
      </c>
      <c r="I41" s="236" t="b">
        <v>1</v>
      </c>
      <c r="J41" s="236" t="b">
        <v>1</v>
      </c>
      <c r="K41" s="236" t="b">
        <v>0</v>
      </c>
      <c r="L41" s="236" t="b">
        <v>1</v>
      </c>
      <c r="M41" s="236" t="b">
        <v>0</v>
      </c>
      <c r="N41" s="236" t="b">
        <v>0</v>
      </c>
      <c r="O41" s="236" t="b">
        <v>0</v>
      </c>
      <c r="P41" s="236" t="b">
        <v>0</v>
      </c>
      <c r="Q41" s="236" t="b">
        <v>0</v>
      </c>
      <c r="R41" s="236" t="b">
        <v>0</v>
      </c>
      <c r="S41" s="256" t="str" cm="1">
        <f t="array" ref="S41">IF(SUMPRODUCT((Cert_Matrix!$A$39:$A$43=E41)*(Cert_Matrix!$AZ$39:$BH$43="X")*(H41:P41=TRUE))&lt;SUMPRODUCT((Cert_Matrix!$A$39:$A$43=E41)*(Cert_Matrix!$AZ$39:$BH$43="X")),"Thiếu chứng nhận","Đủ điều kiện")</f>
        <v>Đủ điều kiện</v>
      </c>
      <c r="T41" s="287"/>
      <c r="U41" s="290"/>
      <c r="V41" s="257" t="str">
        <f>VLOOKUP(B41,'HC Golf'!C:G,5,0)</f>
        <v>S3</v>
      </c>
    </row>
    <row r="42" spans="1:22">
      <c r="A42" s="256">
        <f>ROWS($B$5:B40)</f>
        <v>36</v>
      </c>
      <c r="B42" s="256" t="s">
        <v>1687</v>
      </c>
      <c r="C42" s="256" t="s">
        <v>1688</v>
      </c>
      <c r="D42" s="256" t="s">
        <v>1650</v>
      </c>
      <c r="E42" s="256" t="s">
        <v>1173</v>
      </c>
      <c r="F42" s="256" t="s">
        <v>299</v>
      </c>
      <c r="G42" s="290"/>
      <c r="H42" s="236" t="b">
        <v>0</v>
      </c>
      <c r="I42" s="236" t="b">
        <v>1</v>
      </c>
      <c r="J42" s="236" t="b">
        <v>1</v>
      </c>
      <c r="K42" s="236" t="b">
        <v>0</v>
      </c>
      <c r="L42" s="236" t="b">
        <v>1</v>
      </c>
      <c r="M42" s="236" t="b">
        <v>0</v>
      </c>
      <c r="N42" s="236" t="b">
        <v>0</v>
      </c>
      <c r="O42" s="236" t="b">
        <v>0</v>
      </c>
      <c r="P42" s="236" t="b">
        <v>0</v>
      </c>
      <c r="Q42" s="236" t="b">
        <v>0</v>
      </c>
      <c r="R42" s="236" t="b">
        <v>0</v>
      </c>
      <c r="S42" s="256" t="str" cm="1">
        <f t="array" ref="S42">IF(SUMPRODUCT((Cert_Matrix!$A$39:$A$43=E42)*(Cert_Matrix!$AZ$39:$BH$43="X")*(H42:P42=TRUE))&lt;SUMPRODUCT((Cert_Matrix!$A$39:$A$43=E42)*(Cert_Matrix!$AZ$39:$BH$43="X")),"Thiếu chứng nhận","Đủ điều kiện")</f>
        <v>Đủ điều kiện</v>
      </c>
      <c r="T42" s="287"/>
      <c r="U42" s="290"/>
      <c r="V42" s="257" t="str">
        <f>VLOOKUP(B42,'HC Golf'!C:G,5,0)</f>
        <v>S1</v>
      </c>
    </row>
    <row r="43" spans="1:22">
      <c r="A43" s="256">
        <f>ROWS($B$5:B41)</f>
        <v>37</v>
      </c>
      <c r="B43" s="256" t="s">
        <v>1689</v>
      </c>
      <c r="C43" s="256" t="s">
        <v>1690</v>
      </c>
      <c r="D43" s="256" t="s">
        <v>1655</v>
      </c>
      <c r="E43" s="256" t="s">
        <v>1173</v>
      </c>
      <c r="F43" s="256" t="s">
        <v>299</v>
      </c>
      <c r="G43" s="290"/>
      <c r="H43" s="236" t="b">
        <v>1</v>
      </c>
      <c r="I43" s="236" t="b">
        <v>1</v>
      </c>
      <c r="J43" s="236" t="b">
        <v>1</v>
      </c>
      <c r="K43" s="236" t="b">
        <v>0</v>
      </c>
      <c r="L43" s="236" t="b">
        <v>1</v>
      </c>
      <c r="M43" s="236" t="b">
        <v>0</v>
      </c>
      <c r="N43" s="236" t="b">
        <v>0</v>
      </c>
      <c r="O43" s="236" t="b">
        <v>0</v>
      </c>
      <c r="P43" s="236" t="b">
        <v>0</v>
      </c>
      <c r="Q43" s="236" t="b">
        <v>0</v>
      </c>
      <c r="R43" s="236" t="b">
        <v>0</v>
      </c>
      <c r="S43" s="256" t="str" cm="1">
        <f t="array" ref="S43">IF(SUMPRODUCT((Cert_Matrix!$A$39:$A$43=E43)*(Cert_Matrix!$AZ$39:$BH$43="X")*(H43:P43=TRUE))&lt;SUMPRODUCT((Cert_Matrix!$A$39:$A$43=E43)*(Cert_Matrix!$AZ$39:$BH$43="X")),"Thiếu chứng nhận","Đủ điều kiện")</f>
        <v>Đủ điều kiện</v>
      </c>
      <c r="T43" s="287"/>
      <c r="U43" s="290"/>
      <c r="V43" s="257" t="str">
        <f>VLOOKUP(B43,'HC Golf'!C:G,5,0)</f>
        <v>S3</v>
      </c>
    </row>
    <row r="44" spans="1:22">
      <c r="A44" s="256">
        <f>ROWS($B$5:B42)</f>
        <v>38</v>
      </c>
      <c r="B44" s="256" t="s">
        <v>1691</v>
      </c>
      <c r="C44" s="256" t="s">
        <v>1692</v>
      </c>
      <c r="D44" s="256" t="s">
        <v>1650</v>
      </c>
      <c r="E44" s="256" t="s">
        <v>1173</v>
      </c>
      <c r="F44" s="256" t="s">
        <v>299</v>
      </c>
      <c r="G44" s="290"/>
      <c r="H44" s="236" t="b">
        <v>1</v>
      </c>
      <c r="I44" s="236" t="b">
        <v>1</v>
      </c>
      <c r="J44" s="236" t="b">
        <v>1</v>
      </c>
      <c r="K44" s="236" t="b">
        <v>1</v>
      </c>
      <c r="L44" s="236" t="b">
        <v>1</v>
      </c>
      <c r="M44" s="236" t="b">
        <v>0</v>
      </c>
      <c r="N44" s="236" t="b">
        <v>1</v>
      </c>
      <c r="O44" s="236" t="b">
        <v>1</v>
      </c>
      <c r="P44" s="236" t="b">
        <v>0</v>
      </c>
      <c r="Q44" s="236" t="b">
        <v>0</v>
      </c>
      <c r="R44" s="236" t="b">
        <v>0</v>
      </c>
      <c r="S44" s="256" t="str" cm="1">
        <f t="array" ref="S44">IF(SUMPRODUCT((Cert_Matrix!$A$39:$A$43=E44)*(Cert_Matrix!$AZ$39:$BH$43="X")*(H44:P44=TRUE))&lt;SUMPRODUCT((Cert_Matrix!$A$39:$A$43=E44)*(Cert_Matrix!$AZ$39:$BH$43="X")),"Thiếu chứng nhận","Đủ điều kiện")</f>
        <v>Đủ điều kiện</v>
      </c>
      <c r="T44" s="287"/>
      <c r="U44" s="290"/>
      <c r="V44" s="257" t="str">
        <f>VLOOKUP(B44,'HC Golf'!C:G,5,0)</f>
        <v>S2</v>
      </c>
    </row>
    <row r="45" spans="1:22">
      <c r="A45" s="256">
        <f>ROWS($B$5:B43)</f>
        <v>39</v>
      </c>
      <c r="B45" s="256" t="s">
        <v>1693</v>
      </c>
      <c r="C45" s="256" t="s">
        <v>1694</v>
      </c>
      <c r="D45" s="256" t="s">
        <v>1655</v>
      </c>
      <c r="E45" s="256" t="s">
        <v>1173</v>
      </c>
      <c r="F45" s="256" t="s">
        <v>299</v>
      </c>
      <c r="G45" s="290"/>
      <c r="H45" s="236" t="b">
        <v>0</v>
      </c>
      <c r="I45" s="236" t="b">
        <v>1</v>
      </c>
      <c r="J45" s="236" t="b">
        <v>1</v>
      </c>
      <c r="K45" s="236" t="b">
        <v>0</v>
      </c>
      <c r="L45" s="236" t="b">
        <v>1</v>
      </c>
      <c r="M45" s="236" t="b">
        <v>0</v>
      </c>
      <c r="N45" s="236" t="b">
        <v>0</v>
      </c>
      <c r="O45" s="236" t="b">
        <v>0</v>
      </c>
      <c r="P45" s="236" t="b">
        <v>0</v>
      </c>
      <c r="Q45" s="236" t="b">
        <v>0</v>
      </c>
      <c r="R45" s="236" t="b">
        <v>0</v>
      </c>
      <c r="S45" s="256" t="str" cm="1">
        <f t="array" ref="S45">IF(SUMPRODUCT((Cert_Matrix!$A$39:$A$43=E45)*(Cert_Matrix!$AZ$39:$BH$43="X")*(H45:P45=TRUE))&lt;SUMPRODUCT((Cert_Matrix!$A$39:$A$43=E45)*(Cert_Matrix!$AZ$39:$BH$43="X")),"Thiếu chứng nhận","Đủ điều kiện")</f>
        <v>Đủ điều kiện</v>
      </c>
      <c r="T45" s="287"/>
      <c r="U45" s="290"/>
      <c r="V45" s="257" t="str">
        <f>VLOOKUP(B45,'HC Golf'!C:G,5,0)</f>
        <v>S3</v>
      </c>
    </row>
    <row r="46" spans="1:22">
      <c r="A46" s="256">
        <f>ROWS($B$5:B44)</f>
        <v>40</v>
      </c>
      <c r="B46" s="256" t="s">
        <v>1695</v>
      </c>
      <c r="C46" s="256" t="s">
        <v>1696</v>
      </c>
      <c r="D46" s="256" t="s">
        <v>1225</v>
      </c>
      <c r="E46" s="256"/>
      <c r="F46" s="256" t="s">
        <v>299</v>
      </c>
      <c r="G46" s="290"/>
      <c r="H46" s="236" t="b">
        <v>0</v>
      </c>
      <c r="I46" s="236" t="b">
        <v>0</v>
      </c>
      <c r="J46" s="236" t="b">
        <v>1</v>
      </c>
      <c r="K46" s="236" t="b">
        <v>0</v>
      </c>
      <c r="L46" s="236" t="b">
        <v>0</v>
      </c>
      <c r="M46" s="236" t="b">
        <v>0</v>
      </c>
      <c r="N46" s="236" t="b">
        <v>0</v>
      </c>
      <c r="O46" s="236" t="b">
        <v>0</v>
      </c>
      <c r="P46" s="236" t="b">
        <v>0</v>
      </c>
      <c r="Q46" s="236" t="b">
        <v>0</v>
      </c>
      <c r="R46" s="236" t="b">
        <v>0</v>
      </c>
      <c r="S46" s="256" t="str" cm="1">
        <f t="array" ref="S46">IF(SUMPRODUCT((Cert_Matrix!$A$39:$A$43=E46)*(Cert_Matrix!$AZ$39:$BH$43="X")*(H46:P46=TRUE))&lt;SUMPRODUCT((Cert_Matrix!$A$39:$A$43=E46)*(Cert_Matrix!$AZ$39:$BH$43="X")),"Thiếu chứng nhận","Đủ điều kiện")</f>
        <v>Đủ điều kiện</v>
      </c>
      <c r="T46" s="287"/>
      <c r="U46" s="290"/>
      <c r="V46" s="257" t="str">
        <f>VLOOKUP(B46,'HC Golf'!C:G,5,0)</f>
        <v>S1</v>
      </c>
    </row>
    <row r="47" spans="1:22">
      <c r="A47" s="256">
        <f>ROWS($B$5:B45)</f>
        <v>41</v>
      </c>
      <c r="B47" s="256" t="s">
        <v>1697</v>
      </c>
      <c r="C47" s="256" t="s">
        <v>1698</v>
      </c>
      <c r="D47" s="256" t="s">
        <v>1225</v>
      </c>
      <c r="E47" s="256"/>
      <c r="F47" s="256" t="s">
        <v>299</v>
      </c>
      <c r="G47" s="290">
        <v>46096</v>
      </c>
      <c r="H47" s="236" t="b">
        <v>0</v>
      </c>
      <c r="I47" s="236" t="b">
        <v>0</v>
      </c>
      <c r="J47" s="236" t="b">
        <v>1</v>
      </c>
      <c r="K47" s="236" t="b">
        <v>0</v>
      </c>
      <c r="L47" s="236" t="b">
        <v>0</v>
      </c>
      <c r="M47" s="236" t="b">
        <v>0</v>
      </c>
      <c r="N47" s="236" t="b">
        <v>0</v>
      </c>
      <c r="O47" s="236" t="b">
        <v>0</v>
      </c>
      <c r="P47" s="236" t="b">
        <v>0</v>
      </c>
      <c r="Q47" s="236" t="b">
        <v>0</v>
      </c>
      <c r="R47" s="236" t="b">
        <v>0</v>
      </c>
      <c r="S47" s="256" t="str" cm="1">
        <f t="array" ref="S47">IF(SUMPRODUCT((Cert_Matrix!$A$39:$A$43=E47)*(Cert_Matrix!$AZ$39:$BH$43="X")*(H47:P47=TRUE))&lt;SUMPRODUCT((Cert_Matrix!$A$39:$A$43=E47)*(Cert_Matrix!$AZ$39:$BH$43="X")),"Thiếu chứng nhận","Đủ điều kiện")</f>
        <v>Đủ điều kiện</v>
      </c>
      <c r="T47" s="287"/>
      <c r="U47" s="290"/>
      <c r="V47" s="257" t="str">
        <f>VLOOKUP(B47,'HC Golf'!C:G,5,0)</f>
        <v>S3</v>
      </c>
    </row>
    <row r="48" spans="1:22">
      <c r="A48" s="256">
        <f>ROWS($B$5:B46)</f>
        <v>42</v>
      </c>
      <c r="B48" s="256" t="s">
        <v>1699</v>
      </c>
      <c r="C48" s="256" t="s">
        <v>1700</v>
      </c>
      <c r="D48" s="256" t="s">
        <v>1225</v>
      </c>
      <c r="E48" s="256" t="s">
        <v>1657</v>
      </c>
      <c r="F48" s="256" t="s">
        <v>299</v>
      </c>
      <c r="G48" s="290">
        <v>46154</v>
      </c>
      <c r="H48" s="236" t="b">
        <v>1</v>
      </c>
      <c r="I48" s="236" t="b">
        <v>0</v>
      </c>
      <c r="J48" s="236" t="b">
        <v>0</v>
      </c>
      <c r="K48" s="236" t="b">
        <v>0</v>
      </c>
      <c r="L48" s="236" t="b">
        <v>1</v>
      </c>
      <c r="M48" s="236" t="b">
        <v>0</v>
      </c>
      <c r="N48" s="236" t="b">
        <v>0</v>
      </c>
      <c r="O48" s="236" t="b">
        <v>0</v>
      </c>
      <c r="P48" s="236" t="b">
        <v>0</v>
      </c>
      <c r="Q48" s="236" t="b">
        <v>0</v>
      </c>
      <c r="R48" s="236" t="b">
        <v>0</v>
      </c>
      <c r="S48" s="256" t="str" cm="1">
        <f t="array" ref="S48">IF(SUMPRODUCT((Cert_Matrix!$A$39:$A$43=E48)*(Cert_Matrix!$AZ$39:$BH$43="X")*(H48:P48=TRUE))&lt;SUMPRODUCT((Cert_Matrix!$A$39:$A$43=E48)*(Cert_Matrix!$AZ$39:$BH$43="X")),"Thiếu chứng nhận","Đủ điều kiện")</f>
        <v>Đủ điều kiện</v>
      </c>
      <c r="T48" s="287"/>
      <c r="U48" s="290"/>
      <c r="V48" s="257" t="str">
        <f>VLOOKUP(B48,'HC Golf'!C:G,5,0)</f>
        <v>S2</v>
      </c>
    </row>
    <row r="49" spans="1:22">
      <c r="A49" s="256">
        <f>ROWS($B$5:B47)</f>
        <v>43</v>
      </c>
      <c r="B49" s="256" t="s">
        <v>1701</v>
      </c>
      <c r="C49" s="256" t="s">
        <v>1702</v>
      </c>
      <c r="D49" s="256" t="s">
        <v>1225</v>
      </c>
      <c r="E49" s="256" t="s">
        <v>1173</v>
      </c>
      <c r="F49" s="256" t="s">
        <v>299</v>
      </c>
      <c r="G49" s="290">
        <v>46117</v>
      </c>
      <c r="H49" s="236" t="b">
        <v>0</v>
      </c>
      <c r="I49" s="236" t="b">
        <v>1</v>
      </c>
      <c r="J49" s="236" t="b">
        <v>1</v>
      </c>
      <c r="K49" s="236" t="b">
        <v>0</v>
      </c>
      <c r="L49" s="236" t="b">
        <v>1</v>
      </c>
      <c r="M49" s="236" t="b">
        <v>0</v>
      </c>
      <c r="N49" s="236" t="b">
        <v>0</v>
      </c>
      <c r="O49" s="236" t="b">
        <v>0</v>
      </c>
      <c r="P49" s="236" t="b">
        <v>0</v>
      </c>
      <c r="Q49" s="236" t="b">
        <v>0</v>
      </c>
      <c r="R49" s="236" t="b">
        <v>0</v>
      </c>
      <c r="S49" s="256" t="str" cm="1">
        <f t="array" ref="S49">IF(SUMPRODUCT((Cert_Matrix!$A$39:$A$43=E49)*(Cert_Matrix!$AZ$39:$BH$43="X")*(H49:P49=TRUE))&lt;SUMPRODUCT((Cert_Matrix!$A$39:$A$43=E49)*(Cert_Matrix!$AZ$39:$BH$43="X")),"Thiếu chứng nhận","Đủ điều kiện")</f>
        <v>Đủ điều kiện</v>
      </c>
      <c r="T49" s="287"/>
      <c r="U49" s="290"/>
      <c r="V49" s="257" t="str">
        <f>VLOOKUP(B49,'HC Golf'!C:G,5,0)</f>
        <v>S3</v>
      </c>
    </row>
    <row r="50" spans="1:22">
      <c r="A50" s="256">
        <f>ROWS($B$5:B48)</f>
        <v>44</v>
      </c>
      <c r="B50" s="256" t="s">
        <v>1703</v>
      </c>
      <c r="C50" s="256" t="s">
        <v>1704</v>
      </c>
      <c r="D50" s="256" t="s">
        <v>1225</v>
      </c>
      <c r="E50" s="256" t="s">
        <v>1173</v>
      </c>
      <c r="F50" s="256" t="s">
        <v>299</v>
      </c>
      <c r="G50" s="290">
        <v>46117</v>
      </c>
      <c r="H50" s="236" t="b">
        <v>0</v>
      </c>
      <c r="I50" s="236" t="b">
        <v>1</v>
      </c>
      <c r="J50" s="236" t="b">
        <v>1</v>
      </c>
      <c r="K50" s="236" t="b">
        <v>0</v>
      </c>
      <c r="L50" s="236" t="b">
        <v>1</v>
      </c>
      <c r="M50" s="236" t="b">
        <v>0</v>
      </c>
      <c r="N50" s="236" t="b">
        <v>0</v>
      </c>
      <c r="O50" s="236" t="b">
        <v>0</v>
      </c>
      <c r="P50" s="236" t="b">
        <v>0</v>
      </c>
      <c r="Q50" s="236" t="b">
        <v>0</v>
      </c>
      <c r="R50" s="236" t="b">
        <v>0</v>
      </c>
      <c r="S50" s="256" t="str" cm="1">
        <f t="array" ref="S50">IF(SUMPRODUCT((Cert_Matrix!$A$39:$A$43=E50)*(Cert_Matrix!$AZ$39:$BH$43="X")*(H50:P50=TRUE))&lt;SUMPRODUCT((Cert_Matrix!$A$39:$A$43=E50)*(Cert_Matrix!$AZ$39:$BH$43="X")),"Thiếu chứng nhận","Đủ điều kiện")</f>
        <v>Đủ điều kiện</v>
      </c>
      <c r="T50" s="287"/>
      <c r="U50" s="290"/>
      <c r="V50" s="257" t="str">
        <f>VLOOKUP(B50,'HC Golf'!C:G,5,0)</f>
        <v>S3</v>
      </c>
    </row>
    <row r="51" spans="1:22">
      <c r="A51" s="256">
        <f>ROWS($B$5:B49)</f>
        <v>45</v>
      </c>
      <c r="B51" s="256" t="s">
        <v>1705</v>
      </c>
      <c r="C51" s="256" t="s">
        <v>1706</v>
      </c>
      <c r="D51" s="256" t="s">
        <v>1225</v>
      </c>
      <c r="E51" s="256" t="s">
        <v>1657</v>
      </c>
      <c r="F51" s="256" t="s">
        <v>299</v>
      </c>
      <c r="G51" s="290">
        <v>46031</v>
      </c>
      <c r="H51" s="236" t="b">
        <v>1</v>
      </c>
      <c r="I51" s="236" t="b">
        <v>0</v>
      </c>
      <c r="J51" s="236" t="b">
        <v>0</v>
      </c>
      <c r="K51" s="236" t="b">
        <v>0</v>
      </c>
      <c r="L51" s="236" t="b">
        <v>1</v>
      </c>
      <c r="M51" s="236" t="b">
        <v>0</v>
      </c>
      <c r="N51" s="236" t="b">
        <v>0</v>
      </c>
      <c r="O51" s="236" t="b">
        <v>0</v>
      </c>
      <c r="P51" s="236" t="b">
        <v>0</v>
      </c>
      <c r="Q51" s="236" t="b">
        <v>0</v>
      </c>
      <c r="R51" s="236" t="b">
        <v>0</v>
      </c>
      <c r="S51" s="256" t="str" cm="1">
        <f t="array" ref="S51">IF(SUMPRODUCT((Cert_Matrix!$A$39:$A$43=E51)*(Cert_Matrix!$AZ$39:$BH$43="X")*(H51:P51=TRUE))&lt;SUMPRODUCT((Cert_Matrix!$A$39:$A$43=E51)*(Cert_Matrix!$AZ$39:$BH$43="X")),"Thiếu chứng nhận","Đủ điều kiện")</f>
        <v>Đủ điều kiện</v>
      </c>
      <c r="T51" s="287"/>
      <c r="U51" s="290"/>
      <c r="V51" s="257" t="str">
        <f>VLOOKUP(B51,'HC Golf'!C:G,5,0)</f>
        <v>S3</v>
      </c>
    </row>
    <row r="52" spans="1:22">
      <c r="A52" s="256">
        <f>ROWS($B$5:B50)</f>
        <v>46</v>
      </c>
      <c r="B52" s="256" t="s">
        <v>1707</v>
      </c>
      <c r="C52" s="256" t="s">
        <v>1708</v>
      </c>
      <c r="D52" s="256" t="s">
        <v>1225</v>
      </c>
      <c r="E52" s="256" t="s">
        <v>1657</v>
      </c>
      <c r="F52" s="256" t="s">
        <v>299</v>
      </c>
      <c r="G52" s="290">
        <v>46096</v>
      </c>
      <c r="H52" s="236" t="b">
        <v>1</v>
      </c>
      <c r="I52" s="236" t="b">
        <v>0</v>
      </c>
      <c r="J52" s="236" t="b">
        <v>0</v>
      </c>
      <c r="K52" s="236" t="b">
        <v>0</v>
      </c>
      <c r="L52" s="236" t="b">
        <v>1</v>
      </c>
      <c r="M52" s="236" t="b">
        <v>0</v>
      </c>
      <c r="N52" s="236" t="b">
        <v>0</v>
      </c>
      <c r="O52" s="236" t="b">
        <v>0</v>
      </c>
      <c r="P52" s="236" t="b">
        <v>0</v>
      </c>
      <c r="Q52" s="236" t="b">
        <v>0</v>
      </c>
      <c r="R52" s="236" t="b">
        <v>0</v>
      </c>
      <c r="S52" s="256" t="str" cm="1">
        <f t="array" ref="S52">IF(SUMPRODUCT((Cert_Matrix!$A$39:$A$43=E52)*(Cert_Matrix!$AZ$39:$BH$43="X")*(H52:P52=TRUE))&lt;SUMPRODUCT((Cert_Matrix!$A$39:$A$43=E52)*(Cert_Matrix!$AZ$39:$BH$43="X")),"Thiếu chứng nhận","Đủ điều kiện")</f>
        <v>Đủ điều kiện</v>
      </c>
      <c r="T52" s="287"/>
      <c r="U52" s="290"/>
      <c r="V52" s="257" t="str">
        <f>VLOOKUP(B52,'HC Golf'!C:G,5,0)</f>
        <v>S3</v>
      </c>
    </row>
    <row r="53" spans="1:22">
      <c r="A53" s="256">
        <f>ROWS($B$5:B51)</f>
        <v>47</v>
      </c>
      <c r="B53" s="256" t="s">
        <v>1709</v>
      </c>
      <c r="C53" s="256" t="s">
        <v>1710</v>
      </c>
      <c r="D53" s="256" t="s">
        <v>1646</v>
      </c>
      <c r="E53" s="256" t="s">
        <v>1647</v>
      </c>
      <c r="F53" s="256" t="s">
        <v>299</v>
      </c>
      <c r="G53" s="290"/>
      <c r="H53" s="236" t="b">
        <v>0</v>
      </c>
      <c r="I53" s="236" t="b">
        <v>0</v>
      </c>
      <c r="J53" s="236" t="b">
        <v>0</v>
      </c>
      <c r="K53" s="236" t="b">
        <v>0</v>
      </c>
      <c r="L53" s="236" t="b">
        <v>0</v>
      </c>
      <c r="M53" s="236" t="b">
        <v>0</v>
      </c>
      <c r="N53" s="236" t="b">
        <v>0</v>
      </c>
      <c r="O53" s="236" t="b">
        <v>0</v>
      </c>
      <c r="P53" s="236" t="b">
        <v>0</v>
      </c>
      <c r="Q53" s="236" t="b">
        <v>0</v>
      </c>
      <c r="R53" s="236" t="b">
        <v>0</v>
      </c>
      <c r="S53" s="256" t="str" cm="1">
        <f t="array" ref="S53">IF(SUMPRODUCT((Cert_Matrix!$A$39:$A$43=E53)*(Cert_Matrix!$AZ$39:$BH$43="X")*(H53:P53=TRUE))&lt;SUMPRODUCT((Cert_Matrix!$A$39:$A$43=E53)*(Cert_Matrix!$AZ$39:$BH$43="X")),"Thiếu chứng nhận","Đủ điều kiện")</f>
        <v>Đủ điều kiện</v>
      </c>
      <c r="T53" s="287"/>
      <c r="U53" s="290"/>
      <c r="V53" s="257" t="str">
        <f>VLOOKUP(B53,'HC Golf'!C:G,5,0)</f>
        <v>S3</v>
      </c>
    </row>
    <row r="54" spans="1:22">
      <c r="A54" s="256">
        <f>ROWS($B$5:B52)</f>
        <v>48</v>
      </c>
      <c r="B54" s="256" t="s">
        <v>302</v>
      </c>
      <c r="C54" s="256" t="s">
        <v>303</v>
      </c>
      <c r="D54" s="256" t="s">
        <v>1292</v>
      </c>
      <c r="E54" s="256"/>
      <c r="F54" s="256" t="s">
        <v>299</v>
      </c>
      <c r="G54" s="290"/>
      <c r="H54" s="236" t="b">
        <v>1</v>
      </c>
      <c r="I54" s="236" t="b">
        <v>1</v>
      </c>
      <c r="J54" s="236" t="b">
        <v>1</v>
      </c>
      <c r="K54" s="236" t="b">
        <v>1</v>
      </c>
      <c r="L54" s="236" t="b">
        <v>1</v>
      </c>
      <c r="M54" s="236" t="b">
        <v>0</v>
      </c>
      <c r="N54" s="236" t="b">
        <v>0</v>
      </c>
      <c r="O54" s="236" t="b">
        <v>0</v>
      </c>
      <c r="P54" s="236" t="b">
        <v>0</v>
      </c>
      <c r="Q54" s="236" t="b">
        <v>1</v>
      </c>
      <c r="R54" s="236" t="b">
        <v>1</v>
      </c>
      <c r="S54" s="256" t="str" cm="1">
        <f t="array" ref="S54">IF(SUMPRODUCT((Cert_Matrix!$A$39:$A$43=E54)*(Cert_Matrix!$AZ$39:$BH$43="X")*(H54:P54=TRUE))&lt;SUMPRODUCT((Cert_Matrix!$A$39:$A$43=E54)*(Cert_Matrix!$AZ$39:$BH$43="X")),"Thiếu chứng nhận","Đủ điều kiện")</f>
        <v>Đủ điều kiện</v>
      </c>
      <c r="T54" s="287"/>
      <c r="U54" s="290"/>
      <c r="V54" s="257" t="str">
        <f>VLOOKUP(B54,'HC Golf'!C:G,5,0)</f>
        <v>S1</v>
      </c>
    </row>
    <row r="55" spans="1:22">
      <c r="A55" s="256">
        <f>ROWS($B$5:B53)</f>
        <v>49</v>
      </c>
      <c r="B55" s="256" t="s">
        <v>314</v>
      </c>
      <c r="C55" s="256" t="s">
        <v>315</v>
      </c>
      <c r="D55" s="256" t="s">
        <v>1655</v>
      </c>
      <c r="E55" s="256" t="s">
        <v>1173</v>
      </c>
      <c r="F55" s="256" t="s">
        <v>299</v>
      </c>
      <c r="G55" s="290"/>
      <c r="H55" s="236" t="b">
        <v>0</v>
      </c>
      <c r="I55" s="236" t="b">
        <v>1</v>
      </c>
      <c r="J55" s="236" t="b">
        <v>1</v>
      </c>
      <c r="K55" s="236" t="b">
        <v>0</v>
      </c>
      <c r="L55" s="236" t="b">
        <v>1</v>
      </c>
      <c r="M55" s="236" t="b">
        <v>0</v>
      </c>
      <c r="N55" s="236" t="b">
        <v>0</v>
      </c>
      <c r="O55" s="236" t="b">
        <v>0</v>
      </c>
      <c r="P55" s="236" t="b">
        <v>0</v>
      </c>
      <c r="Q55" s="236" t="b">
        <v>0</v>
      </c>
      <c r="R55" s="236" t="b">
        <v>0</v>
      </c>
      <c r="S55" s="256" t="str" cm="1">
        <f t="array" ref="S55">IF(SUMPRODUCT((Cert_Matrix!$A$39:$A$43=E55)*(Cert_Matrix!$AZ$39:$BH$43="X")*(H55:P55=TRUE))&lt;SUMPRODUCT((Cert_Matrix!$A$39:$A$43=E55)*(Cert_Matrix!$AZ$39:$BH$43="X")),"Thiếu chứng nhận","Đủ điều kiện")</f>
        <v>Đủ điều kiện</v>
      </c>
      <c r="T55" s="287"/>
      <c r="U55" s="290"/>
      <c r="V55" s="257" t="str">
        <f>VLOOKUP(B55,'HC Golf'!C:G,5,0)</f>
        <v>S1</v>
      </c>
    </row>
    <row r="56" spans="1:22">
      <c r="A56" s="256">
        <f>ROWS($B$5:B54)</f>
        <v>50</v>
      </c>
      <c r="B56" s="256" t="s">
        <v>308</v>
      </c>
      <c r="C56" s="256" t="s">
        <v>309</v>
      </c>
      <c r="D56" s="256" t="s">
        <v>1683</v>
      </c>
      <c r="E56" s="256" t="s">
        <v>1173</v>
      </c>
      <c r="F56" s="256" t="s">
        <v>299</v>
      </c>
      <c r="G56" s="290"/>
      <c r="H56" s="236" t="b">
        <v>0</v>
      </c>
      <c r="I56" s="236" t="b">
        <v>1</v>
      </c>
      <c r="J56" s="236" t="b">
        <v>1</v>
      </c>
      <c r="K56" s="236" t="b">
        <v>0</v>
      </c>
      <c r="L56" s="236" t="b">
        <v>1</v>
      </c>
      <c r="M56" s="236" t="b">
        <v>0</v>
      </c>
      <c r="N56" s="236" t="b">
        <v>0</v>
      </c>
      <c r="O56" s="236" t="b">
        <v>0</v>
      </c>
      <c r="P56" s="236" t="b">
        <v>0</v>
      </c>
      <c r="Q56" s="236" t="b">
        <v>0</v>
      </c>
      <c r="R56" s="236" t="b">
        <v>0</v>
      </c>
      <c r="S56" s="256" t="str" cm="1">
        <f t="array" ref="S56">IF(SUMPRODUCT((Cert_Matrix!$A$39:$A$43=E56)*(Cert_Matrix!$AZ$39:$BH$43="X")*(H56:P56=TRUE))&lt;SUMPRODUCT((Cert_Matrix!$A$39:$A$43=E56)*(Cert_Matrix!$AZ$39:$BH$43="X")),"Thiếu chứng nhận","Đủ điều kiện")</f>
        <v>Đủ điều kiện</v>
      </c>
      <c r="T56" s="287"/>
      <c r="U56" s="290"/>
      <c r="V56" s="257" t="str">
        <f>VLOOKUP(B56,'HC Golf'!C:G,5,0)</f>
        <v>S1</v>
      </c>
    </row>
    <row r="57" spans="1:22">
      <c r="A57" s="256">
        <f>ROWS($B$5:B55)</f>
        <v>51</v>
      </c>
      <c r="B57" s="256" t="s">
        <v>643</v>
      </c>
      <c r="C57" s="256" t="s">
        <v>644</v>
      </c>
      <c r="D57" s="256" t="s">
        <v>1297</v>
      </c>
      <c r="E57" s="256" t="s">
        <v>1173</v>
      </c>
      <c r="F57" s="256" t="s">
        <v>299</v>
      </c>
      <c r="G57" s="290"/>
      <c r="H57" s="236" t="b">
        <v>1</v>
      </c>
      <c r="I57" s="236" t="b">
        <v>1</v>
      </c>
      <c r="J57" s="236" t="b">
        <v>1</v>
      </c>
      <c r="K57" s="236" t="b">
        <v>1</v>
      </c>
      <c r="L57" s="236" t="b">
        <v>1</v>
      </c>
      <c r="M57" s="236" t="b">
        <v>0</v>
      </c>
      <c r="N57" s="236" t="b">
        <v>0</v>
      </c>
      <c r="O57" s="236" t="b">
        <v>0</v>
      </c>
      <c r="P57" s="236" t="b">
        <v>0</v>
      </c>
      <c r="Q57" s="236" t="b">
        <v>1</v>
      </c>
      <c r="R57" s="236" t="b">
        <v>1</v>
      </c>
      <c r="S57" s="256" t="str" cm="1">
        <f t="array" ref="S57">IF(SUMPRODUCT((Cert_Matrix!$A$39:$A$43=E57)*(Cert_Matrix!$AZ$39:$BH$43="X")*(H57:P57=TRUE))&lt;SUMPRODUCT((Cert_Matrix!$A$39:$A$43=E57)*(Cert_Matrix!$AZ$39:$BH$43="X")),"Thiếu chứng nhận","Đủ điều kiện")</f>
        <v>Đủ điều kiện</v>
      </c>
      <c r="T57" s="287"/>
      <c r="U57" s="290"/>
      <c r="V57" s="257" t="str">
        <f>VLOOKUP(B57,'HC Golf'!C:G,5,0)</f>
        <v>S1</v>
      </c>
    </row>
    <row r="58" spans="1:22">
      <c r="A58" s="256">
        <f>ROWS($B$5:B56)</f>
        <v>52</v>
      </c>
      <c r="B58" s="256" t="s">
        <v>1711</v>
      </c>
      <c r="C58" s="256" t="s">
        <v>1712</v>
      </c>
      <c r="D58" s="256" t="s">
        <v>1167</v>
      </c>
      <c r="E58" s="256" t="s">
        <v>1647</v>
      </c>
      <c r="F58" s="256" t="s">
        <v>299</v>
      </c>
      <c r="G58" s="290"/>
      <c r="H58" s="236" t="b">
        <v>0</v>
      </c>
      <c r="I58" s="236" t="b">
        <v>0</v>
      </c>
      <c r="J58" s="236" t="b">
        <v>0</v>
      </c>
      <c r="K58" s="236" t="b">
        <v>0</v>
      </c>
      <c r="L58" s="236" t="b">
        <v>0</v>
      </c>
      <c r="M58" s="236" t="b">
        <v>0</v>
      </c>
      <c r="N58" s="236" t="b">
        <v>0</v>
      </c>
      <c r="O58" s="236" t="b">
        <v>0</v>
      </c>
      <c r="P58" s="236" t="b">
        <v>0</v>
      </c>
      <c r="Q58" s="236" t="b">
        <v>1</v>
      </c>
      <c r="R58" s="236" t="b">
        <v>1</v>
      </c>
      <c r="S58" s="256" t="str" cm="1">
        <f t="array" ref="S58">IF(SUMPRODUCT((Cert_Matrix!$A$39:$A$43=E58)*(Cert_Matrix!$AZ$39:$BH$43="X")*(H58:P58=TRUE))&lt;SUMPRODUCT((Cert_Matrix!$A$39:$A$43=E58)*(Cert_Matrix!$AZ$39:$BH$43="X")),"Thiếu chứng nhận","Đủ điều kiện")</f>
        <v>Đủ điều kiện</v>
      </c>
      <c r="T58" s="287"/>
      <c r="U58" s="290"/>
      <c r="V58" s="257" t="str">
        <f>VLOOKUP(B58,'HC Golf'!C:G,5,0)</f>
        <v>S1</v>
      </c>
    </row>
    <row r="59" spans="1:22">
      <c r="A59" s="256">
        <f>ROWS($B$5:B57)</f>
        <v>53</v>
      </c>
      <c r="B59" s="256" t="s">
        <v>300</v>
      </c>
      <c r="C59" s="256" t="s">
        <v>301</v>
      </c>
      <c r="D59" s="256" t="s">
        <v>1661</v>
      </c>
      <c r="E59" s="256" t="s">
        <v>1657</v>
      </c>
      <c r="F59" s="256" t="s">
        <v>299</v>
      </c>
      <c r="G59" s="290"/>
      <c r="H59" s="236" t="b">
        <v>1</v>
      </c>
      <c r="I59" s="236" t="b">
        <v>0</v>
      </c>
      <c r="J59" s="236" t="b">
        <v>1</v>
      </c>
      <c r="K59" s="236" t="b">
        <v>1</v>
      </c>
      <c r="L59" s="236" t="b">
        <v>1</v>
      </c>
      <c r="M59" s="236" t="b">
        <v>0</v>
      </c>
      <c r="N59" s="236" t="b">
        <v>0</v>
      </c>
      <c r="O59" s="236" t="b">
        <v>0</v>
      </c>
      <c r="P59" s="236" t="b">
        <v>0</v>
      </c>
      <c r="Q59" s="236" t="b">
        <v>0</v>
      </c>
      <c r="R59" s="236" t="b">
        <v>0</v>
      </c>
      <c r="S59" s="256" t="str" cm="1">
        <f t="array" ref="S59">IF(SUMPRODUCT((Cert_Matrix!$A$39:$A$43=E59)*(Cert_Matrix!$AZ$39:$BH$43="X")*(H59:P59=TRUE))&lt;SUMPRODUCT((Cert_Matrix!$A$39:$A$43=E59)*(Cert_Matrix!$AZ$39:$BH$43="X")),"Thiếu chứng nhận","Đủ điều kiện")</f>
        <v>Đủ điều kiện</v>
      </c>
      <c r="T59" s="287"/>
      <c r="U59" s="290"/>
      <c r="V59" s="257" t="str">
        <f>VLOOKUP(B59,'HC Golf'!C:G,5,0)</f>
        <v>S1</v>
      </c>
    </row>
    <row r="60" spans="1:22">
      <c r="A60" s="256">
        <f>ROWS($B$5:B58)</f>
        <v>54</v>
      </c>
      <c r="B60" s="256" t="s">
        <v>316</v>
      </c>
      <c r="C60" s="256" t="s">
        <v>317</v>
      </c>
      <c r="D60" s="256" t="s">
        <v>1650</v>
      </c>
      <c r="E60" s="256" t="s">
        <v>1173</v>
      </c>
      <c r="F60" s="256" t="s">
        <v>299</v>
      </c>
      <c r="G60" s="290"/>
      <c r="H60" s="236" t="b">
        <v>0</v>
      </c>
      <c r="I60" s="236" t="b">
        <v>1</v>
      </c>
      <c r="J60" s="236" t="b">
        <v>1</v>
      </c>
      <c r="K60" s="236" t="b">
        <v>0</v>
      </c>
      <c r="L60" s="236" t="b">
        <v>1</v>
      </c>
      <c r="M60" s="236" t="b">
        <v>0</v>
      </c>
      <c r="N60" s="236" t="b">
        <v>0</v>
      </c>
      <c r="O60" s="236" t="b">
        <v>0</v>
      </c>
      <c r="P60" s="236" t="b">
        <v>0</v>
      </c>
      <c r="Q60" s="236" t="b">
        <v>0</v>
      </c>
      <c r="R60" s="236" t="b">
        <v>0</v>
      </c>
      <c r="S60" s="256" t="str" cm="1">
        <f t="array" ref="S60">IF(SUMPRODUCT((Cert_Matrix!$A$39:$A$43=E60)*(Cert_Matrix!$AZ$39:$BH$43="X")*(H60:P60=TRUE))&lt;SUMPRODUCT((Cert_Matrix!$A$39:$A$43=E60)*(Cert_Matrix!$AZ$39:$BH$43="X")),"Thiếu chứng nhận","Đủ điều kiện")</f>
        <v>Đủ điều kiện</v>
      </c>
      <c r="T60" s="287"/>
      <c r="U60" s="290"/>
      <c r="V60" s="257" t="str">
        <f>VLOOKUP(B60,'HC Golf'!C:G,5,0)</f>
        <v>S1</v>
      </c>
    </row>
    <row r="61" spans="1:22">
      <c r="A61" s="256">
        <f>ROWS($B$5:B59)</f>
        <v>55</v>
      </c>
      <c r="B61" s="256" t="s">
        <v>306</v>
      </c>
      <c r="C61" s="256" t="s">
        <v>307</v>
      </c>
      <c r="D61" s="256" t="s">
        <v>1655</v>
      </c>
      <c r="E61" s="256" t="s">
        <v>1173</v>
      </c>
      <c r="F61" s="256" t="s">
        <v>299</v>
      </c>
      <c r="G61" s="290"/>
      <c r="H61" s="236" t="b">
        <v>0</v>
      </c>
      <c r="I61" s="236" t="b">
        <v>1</v>
      </c>
      <c r="J61" s="236" t="b">
        <v>1</v>
      </c>
      <c r="K61" s="236" t="b">
        <v>0</v>
      </c>
      <c r="L61" s="236" t="b">
        <v>1</v>
      </c>
      <c r="M61" s="236" t="b">
        <v>0</v>
      </c>
      <c r="N61" s="236" t="b">
        <v>0</v>
      </c>
      <c r="O61" s="236" t="b">
        <v>0</v>
      </c>
      <c r="P61" s="236" t="b">
        <v>0</v>
      </c>
      <c r="Q61" s="236" t="b">
        <v>0</v>
      </c>
      <c r="R61" s="236" t="b">
        <v>0</v>
      </c>
      <c r="S61" s="256" t="str" cm="1">
        <f t="array" ref="S61">IF(SUMPRODUCT((Cert_Matrix!$A$39:$A$43=E61)*(Cert_Matrix!$AZ$39:$BH$43="X")*(H61:P61=TRUE))&lt;SUMPRODUCT((Cert_Matrix!$A$39:$A$43=E61)*(Cert_Matrix!$AZ$39:$BH$43="X")),"Thiếu chứng nhận","Đủ điều kiện")</f>
        <v>Đủ điều kiện</v>
      </c>
      <c r="T61" s="287"/>
      <c r="U61" s="290"/>
      <c r="V61" s="257" t="str">
        <f>VLOOKUP(B61,'HC Golf'!C:G,5,0)</f>
        <v>S1</v>
      </c>
    </row>
    <row r="62" spans="1:22">
      <c r="A62" s="256">
        <f>ROWS($B$5:B60)</f>
        <v>56</v>
      </c>
      <c r="B62" s="256" t="s">
        <v>653</v>
      </c>
      <c r="C62" s="256" t="s">
        <v>654</v>
      </c>
      <c r="D62" s="256" t="s">
        <v>1683</v>
      </c>
      <c r="E62" s="256" t="s">
        <v>1173</v>
      </c>
      <c r="F62" s="256" t="s">
        <v>299</v>
      </c>
      <c r="G62" s="290"/>
      <c r="H62" s="236" t="b">
        <v>1</v>
      </c>
      <c r="I62" s="236" t="b">
        <v>1</v>
      </c>
      <c r="J62" s="236" t="b">
        <v>1</v>
      </c>
      <c r="K62" s="236" t="b">
        <v>1</v>
      </c>
      <c r="L62" s="236" t="b">
        <v>1</v>
      </c>
      <c r="M62" s="236" t="b">
        <v>0</v>
      </c>
      <c r="N62" s="236" t="b">
        <v>0</v>
      </c>
      <c r="O62" s="236" t="b">
        <v>0</v>
      </c>
      <c r="P62" s="236" t="b">
        <v>0</v>
      </c>
      <c r="Q62" s="236" t="b">
        <v>1</v>
      </c>
      <c r="R62" s="236" t="b">
        <v>1</v>
      </c>
      <c r="S62" s="256" t="str" cm="1">
        <f t="array" ref="S62">IF(SUMPRODUCT((Cert_Matrix!$A$39:$A$43=E62)*(Cert_Matrix!$AZ$39:$BH$43="X")*(H62:P62=TRUE))&lt;SUMPRODUCT((Cert_Matrix!$A$39:$A$43=E62)*(Cert_Matrix!$AZ$39:$BH$43="X")),"Thiếu chứng nhận","Đủ điều kiện")</f>
        <v>Đủ điều kiện</v>
      </c>
      <c r="T62" s="287"/>
      <c r="U62" s="290"/>
      <c r="V62" s="257" t="str">
        <f>VLOOKUP(B62,'HC Golf'!C:G,5,0)</f>
        <v>S2</v>
      </c>
    </row>
    <row r="63" spans="1:22">
      <c r="A63" s="256">
        <f>ROWS($B$5:B61)</f>
        <v>57</v>
      </c>
      <c r="B63" s="256" t="s">
        <v>639</v>
      </c>
      <c r="C63" s="256" t="s">
        <v>640</v>
      </c>
      <c r="D63" s="256" t="s">
        <v>1661</v>
      </c>
      <c r="E63" s="256" t="s">
        <v>1657</v>
      </c>
      <c r="F63" s="256" t="s">
        <v>299</v>
      </c>
      <c r="G63" s="290"/>
      <c r="H63" s="236" t="b">
        <v>1</v>
      </c>
      <c r="I63" s="236" t="b">
        <v>0</v>
      </c>
      <c r="J63" s="236" t="b">
        <v>1</v>
      </c>
      <c r="K63" s="236" t="b">
        <v>0</v>
      </c>
      <c r="L63" s="236" t="b">
        <v>1</v>
      </c>
      <c r="M63" s="236" t="b">
        <v>0</v>
      </c>
      <c r="N63" s="236" t="b">
        <v>0</v>
      </c>
      <c r="O63" s="236" t="b">
        <v>0</v>
      </c>
      <c r="P63" s="236" t="b">
        <v>0</v>
      </c>
      <c r="Q63" s="236" t="b">
        <v>0</v>
      </c>
      <c r="R63" s="236" t="b">
        <v>0</v>
      </c>
      <c r="S63" s="256" t="str" cm="1">
        <f t="array" ref="S63">IF(SUMPRODUCT((Cert_Matrix!$A$39:$A$43=E63)*(Cert_Matrix!$AZ$39:$BH$43="X")*(H63:P63=TRUE))&lt;SUMPRODUCT((Cert_Matrix!$A$39:$A$43=E63)*(Cert_Matrix!$AZ$39:$BH$43="X")),"Thiếu chứng nhận","Đủ điều kiện")</f>
        <v>Đủ điều kiện</v>
      </c>
      <c r="T63" s="287"/>
      <c r="U63" s="290"/>
      <c r="V63" s="257" t="str">
        <f>VLOOKUP(B63,'HC Golf'!C:G,5,0)</f>
        <v>S1</v>
      </c>
    </row>
    <row r="64" spans="1:22">
      <c r="A64" s="256">
        <f>ROWS($B$5:B62)</f>
        <v>58</v>
      </c>
      <c r="B64" s="256" t="s">
        <v>666</v>
      </c>
      <c r="C64" s="256" t="s">
        <v>667</v>
      </c>
      <c r="D64" s="256" t="s">
        <v>1655</v>
      </c>
      <c r="E64" s="256" t="s">
        <v>1173</v>
      </c>
      <c r="F64" s="256" t="s">
        <v>299</v>
      </c>
      <c r="G64" s="290"/>
      <c r="H64" s="236" t="b">
        <v>0</v>
      </c>
      <c r="I64" s="236" t="b">
        <v>1</v>
      </c>
      <c r="J64" s="236" t="b">
        <v>1</v>
      </c>
      <c r="K64" s="236" t="b">
        <v>0</v>
      </c>
      <c r="L64" s="236" t="b">
        <v>1</v>
      </c>
      <c r="M64" s="236" t="b">
        <v>0</v>
      </c>
      <c r="N64" s="236" t="b">
        <v>0</v>
      </c>
      <c r="O64" s="236" t="b">
        <v>0</v>
      </c>
      <c r="P64" s="236" t="b">
        <v>0</v>
      </c>
      <c r="Q64" s="236" t="b">
        <v>0</v>
      </c>
      <c r="R64" s="236" t="b">
        <v>0</v>
      </c>
      <c r="S64" s="256" t="str" cm="1">
        <f t="array" ref="S64">IF(SUMPRODUCT((Cert_Matrix!$A$39:$A$43=E64)*(Cert_Matrix!$AZ$39:$BH$43="X")*(H64:P64=TRUE))&lt;SUMPRODUCT((Cert_Matrix!$A$39:$A$43=E64)*(Cert_Matrix!$AZ$39:$BH$43="X")),"Thiếu chứng nhận","Đủ điều kiện")</f>
        <v>Đủ điều kiện</v>
      </c>
      <c r="T64" s="287"/>
      <c r="U64" s="290"/>
      <c r="V64" s="257" t="str">
        <f>VLOOKUP(B64,'HC Golf'!C:G,5,0)</f>
        <v>S1</v>
      </c>
    </row>
    <row r="65" spans="1:22">
      <c r="A65" s="256">
        <f>ROWS($B$5:B63)</f>
        <v>59</v>
      </c>
      <c r="B65" s="256" t="s">
        <v>1713</v>
      </c>
      <c r="C65" s="256" t="s">
        <v>890</v>
      </c>
      <c r="D65" s="256" t="s">
        <v>1655</v>
      </c>
      <c r="E65" s="256" t="s">
        <v>1173</v>
      </c>
      <c r="F65" s="256" t="s">
        <v>299</v>
      </c>
      <c r="G65" s="290"/>
      <c r="H65" s="236" t="b">
        <v>1</v>
      </c>
      <c r="I65" s="236" t="b">
        <v>1</v>
      </c>
      <c r="J65" s="236" t="b">
        <v>1</v>
      </c>
      <c r="K65" s="236" t="b">
        <v>1</v>
      </c>
      <c r="L65" s="236" t="b">
        <v>1</v>
      </c>
      <c r="M65" s="236" t="b">
        <v>0</v>
      </c>
      <c r="N65" s="236" t="b">
        <v>0</v>
      </c>
      <c r="O65" s="236" t="b">
        <v>0</v>
      </c>
      <c r="P65" s="236" t="b">
        <v>0</v>
      </c>
      <c r="Q65" s="236" t="b">
        <v>1</v>
      </c>
      <c r="R65" s="236" t="b">
        <v>1</v>
      </c>
      <c r="S65" s="256" t="str" cm="1">
        <f t="array" ref="S65">IF(SUMPRODUCT((Cert_Matrix!$A$39:$A$43=E65)*(Cert_Matrix!$AZ$39:$BH$43="X")*(H65:P65=TRUE))&lt;SUMPRODUCT((Cert_Matrix!$A$39:$A$43=E65)*(Cert_Matrix!$AZ$39:$BH$43="X")),"Thiếu chứng nhận","Đủ điều kiện")</f>
        <v>Đủ điều kiện</v>
      </c>
      <c r="T65" s="287"/>
      <c r="U65" s="290"/>
      <c r="V65" s="257" t="str">
        <f>VLOOKUP(B65,'HC Golf'!C:G,5,0)</f>
        <v>S1</v>
      </c>
    </row>
    <row r="66" spans="1:22">
      <c r="A66" s="256">
        <f>ROWS($B$5:B64)</f>
        <v>60</v>
      </c>
      <c r="B66" s="256" t="s">
        <v>1714</v>
      </c>
      <c r="C66" s="256" t="s">
        <v>1715</v>
      </c>
      <c r="D66" s="256" t="s">
        <v>1646</v>
      </c>
      <c r="E66" s="256" t="s">
        <v>1647</v>
      </c>
      <c r="F66" s="256" t="s">
        <v>299</v>
      </c>
      <c r="G66" s="290"/>
      <c r="H66" s="236" t="b">
        <v>0</v>
      </c>
      <c r="I66" s="236" t="b">
        <v>0</v>
      </c>
      <c r="J66" s="236" t="b">
        <v>0</v>
      </c>
      <c r="K66" s="236" t="b">
        <v>0</v>
      </c>
      <c r="L66" s="236" t="b">
        <v>1</v>
      </c>
      <c r="M66" s="236" t="b">
        <v>0</v>
      </c>
      <c r="N66" s="236" t="b">
        <v>0</v>
      </c>
      <c r="O66" s="236" t="b">
        <v>0</v>
      </c>
      <c r="P66" s="236" t="b">
        <v>0</v>
      </c>
      <c r="Q66" s="236" t="b">
        <v>0</v>
      </c>
      <c r="R66" s="236" t="b">
        <v>0</v>
      </c>
      <c r="S66" s="256" t="str" cm="1">
        <f t="array" ref="S66">IF(SUMPRODUCT((Cert_Matrix!$A$39:$A$43=E66)*(Cert_Matrix!$AZ$39:$BH$43="X")*(H66:P66=TRUE))&lt;SUMPRODUCT((Cert_Matrix!$A$39:$A$43=E66)*(Cert_Matrix!$AZ$39:$BH$43="X")),"Thiếu chứng nhận","Đủ điều kiện")</f>
        <v>Đủ điều kiện</v>
      </c>
      <c r="T66" s="287"/>
      <c r="U66" s="290"/>
      <c r="V66" s="257" t="str">
        <f>VLOOKUP(B66,'HC Golf'!C:G,5,0)</f>
        <v>S1</v>
      </c>
    </row>
    <row r="67" spans="1:22">
      <c r="A67" s="256">
        <f>ROWS($B$5:B65)</f>
        <v>61</v>
      </c>
      <c r="B67" s="256" t="s">
        <v>1716</v>
      </c>
      <c r="C67" s="256" t="s">
        <v>892</v>
      </c>
      <c r="D67" s="256" t="s">
        <v>1655</v>
      </c>
      <c r="E67" s="256" t="s">
        <v>1173</v>
      </c>
      <c r="F67" s="256" t="s">
        <v>299</v>
      </c>
      <c r="G67" s="290"/>
      <c r="H67" s="236" t="b">
        <v>0</v>
      </c>
      <c r="I67" s="236" t="b">
        <v>1</v>
      </c>
      <c r="J67" s="236" t="b">
        <v>1</v>
      </c>
      <c r="K67" s="236" t="b">
        <v>0</v>
      </c>
      <c r="L67" s="236" t="b">
        <v>1</v>
      </c>
      <c r="M67" s="236" t="b">
        <v>0</v>
      </c>
      <c r="N67" s="236" t="b">
        <v>0</v>
      </c>
      <c r="O67" s="236" t="b">
        <v>0</v>
      </c>
      <c r="P67" s="236" t="b">
        <v>0</v>
      </c>
      <c r="Q67" s="236" t="b">
        <v>0</v>
      </c>
      <c r="R67" s="236" t="b">
        <v>0</v>
      </c>
      <c r="S67" s="256" t="str" cm="1">
        <f t="array" ref="S67">IF(SUMPRODUCT((Cert_Matrix!$A$39:$A$43=E67)*(Cert_Matrix!$AZ$39:$BH$43="X")*(H67:P67=TRUE))&lt;SUMPRODUCT((Cert_Matrix!$A$39:$A$43=E67)*(Cert_Matrix!$AZ$39:$BH$43="X")),"Thiếu chứng nhận","Đủ điều kiện")</f>
        <v>Đủ điều kiện</v>
      </c>
      <c r="T67" s="287"/>
      <c r="U67" s="290"/>
      <c r="V67" s="257" t="str">
        <f>VLOOKUP(B67,'HC Golf'!C:G,5,0)</f>
        <v>S1</v>
      </c>
    </row>
    <row r="68" spans="1:22">
      <c r="A68" s="256">
        <f>ROWS($B$5:B66)</f>
        <v>62</v>
      </c>
      <c r="B68" s="256" t="s">
        <v>1717</v>
      </c>
      <c r="C68" s="256" t="s">
        <v>1718</v>
      </c>
      <c r="D68" s="256" t="s">
        <v>1650</v>
      </c>
      <c r="E68" s="256" t="s">
        <v>1173</v>
      </c>
      <c r="F68" s="256" t="s">
        <v>299</v>
      </c>
      <c r="G68" s="290"/>
      <c r="H68" s="236" t="b">
        <v>1</v>
      </c>
      <c r="I68" s="236" t="b">
        <v>1</v>
      </c>
      <c r="J68" s="236" t="b">
        <v>1</v>
      </c>
      <c r="K68" s="236" t="b">
        <v>1</v>
      </c>
      <c r="L68" s="236" t="b">
        <v>1</v>
      </c>
      <c r="M68" s="236" t="b">
        <v>0</v>
      </c>
      <c r="N68" s="236" t="b">
        <v>0</v>
      </c>
      <c r="O68" s="236" t="b">
        <v>0</v>
      </c>
      <c r="P68" s="236" t="b">
        <v>0</v>
      </c>
      <c r="Q68" s="236" t="b">
        <v>1</v>
      </c>
      <c r="R68" s="236" t="b">
        <v>1</v>
      </c>
      <c r="S68" s="256" t="str" cm="1">
        <f t="array" ref="S68">IF(SUMPRODUCT((Cert_Matrix!$A$39:$A$43=E68)*(Cert_Matrix!$AZ$39:$BH$43="X")*(H68:P68=TRUE))&lt;SUMPRODUCT((Cert_Matrix!$A$39:$A$43=E68)*(Cert_Matrix!$AZ$39:$BH$43="X")),"Thiếu chứng nhận","Đủ điều kiện")</f>
        <v>Đủ điều kiện</v>
      </c>
      <c r="T68" s="287"/>
      <c r="U68" s="290"/>
      <c r="V68" s="257" t="str">
        <f>VLOOKUP(B68,'HC Golf'!C:G,5,0)</f>
        <v>S3</v>
      </c>
    </row>
    <row r="69" spans="1:22">
      <c r="A69" s="256">
        <f>ROWS($B$5:B67)</f>
        <v>63</v>
      </c>
      <c r="B69" s="256" t="s">
        <v>1719</v>
      </c>
      <c r="C69" s="256" t="s">
        <v>1720</v>
      </c>
      <c r="D69" s="256" t="s">
        <v>1655</v>
      </c>
      <c r="E69" s="256" t="s">
        <v>1173</v>
      </c>
      <c r="F69" s="256" t="s">
        <v>299</v>
      </c>
      <c r="G69" s="290"/>
      <c r="H69" s="236" t="b">
        <v>1</v>
      </c>
      <c r="I69" s="236" t="b">
        <v>1</v>
      </c>
      <c r="J69" s="236" t="b">
        <v>1</v>
      </c>
      <c r="K69" s="236" t="b">
        <v>0</v>
      </c>
      <c r="L69" s="236" t="b">
        <v>1</v>
      </c>
      <c r="M69" s="236" t="b">
        <v>0</v>
      </c>
      <c r="N69" s="236" t="b">
        <v>0</v>
      </c>
      <c r="O69" s="236" t="b">
        <v>0</v>
      </c>
      <c r="P69" s="236" t="b">
        <v>0</v>
      </c>
      <c r="Q69" s="236" t="b">
        <v>0</v>
      </c>
      <c r="R69" s="236" t="b">
        <v>0</v>
      </c>
      <c r="S69" s="256" t="str" cm="1">
        <f t="array" ref="S69">IF(SUMPRODUCT((Cert_Matrix!$A$39:$A$43=E69)*(Cert_Matrix!$AZ$39:$BH$43="X")*(H69:P69=TRUE))&lt;SUMPRODUCT((Cert_Matrix!$A$39:$A$43=E69)*(Cert_Matrix!$AZ$39:$BH$43="X")),"Thiếu chứng nhận","Đủ điều kiện")</f>
        <v>Đủ điều kiện</v>
      </c>
      <c r="T69" s="287"/>
      <c r="U69" s="290"/>
      <c r="V69" s="257" t="str">
        <f>VLOOKUP(B69,'HC Golf'!C:G,5,0)</f>
        <v>S1</v>
      </c>
    </row>
    <row r="70" spans="1:22">
      <c r="A70" s="256">
        <f>ROWS($B$5:B68)</f>
        <v>64</v>
      </c>
      <c r="B70" s="256" t="s">
        <v>1721</v>
      </c>
      <c r="C70" s="256" t="s">
        <v>1722</v>
      </c>
      <c r="D70" s="256" t="s">
        <v>1225</v>
      </c>
      <c r="E70" s="256" t="s">
        <v>1647</v>
      </c>
      <c r="F70" s="256" t="s">
        <v>299</v>
      </c>
      <c r="G70" s="290"/>
      <c r="H70" s="236" t="b">
        <v>0</v>
      </c>
      <c r="I70" s="236" t="b">
        <v>0</v>
      </c>
      <c r="J70" s="236" t="b">
        <v>0</v>
      </c>
      <c r="K70" s="236" t="b">
        <v>0</v>
      </c>
      <c r="L70" s="236" t="b">
        <v>1</v>
      </c>
      <c r="M70" s="236" t="b">
        <v>0</v>
      </c>
      <c r="N70" s="236" t="b">
        <v>0</v>
      </c>
      <c r="O70" s="236" t="b">
        <v>0</v>
      </c>
      <c r="P70" s="236" t="b">
        <v>0</v>
      </c>
      <c r="Q70" s="236" t="b">
        <v>0</v>
      </c>
      <c r="R70" s="236" t="b">
        <v>0</v>
      </c>
      <c r="S70" s="256" t="str" cm="1">
        <f t="array" ref="S70">IF(SUMPRODUCT((Cert_Matrix!$A$39:$A$43=E70)*(Cert_Matrix!$AZ$39:$BH$43="X")*(H70:P70=TRUE))&lt;SUMPRODUCT((Cert_Matrix!$A$39:$A$43=E70)*(Cert_Matrix!$AZ$39:$BH$43="X")),"Thiếu chứng nhận","Đủ điều kiện")</f>
        <v>Đủ điều kiện</v>
      </c>
      <c r="T70" s="287"/>
      <c r="U70" s="290"/>
      <c r="V70" s="257" t="str">
        <f>VLOOKUP(B70,'HC Golf'!C:G,5,0)</f>
        <v>S1</v>
      </c>
    </row>
    <row r="71" spans="1:22">
      <c r="A71" s="256">
        <f>ROWS($B$5:B69)</f>
        <v>65</v>
      </c>
      <c r="B71" s="256" t="s">
        <v>1723</v>
      </c>
      <c r="C71" s="256" t="s">
        <v>1724</v>
      </c>
      <c r="D71" s="256" t="s">
        <v>1225</v>
      </c>
      <c r="E71" s="256" t="s">
        <v>1657</v>
      </c>
      <c r="F71" s="256" t="s">
        <v>299</v>
      </c>
      <c r="G71" s="290">
        <v>46031</v>
      </c>
      <c r="H71" s="236" t="b">
        <v>1</v>
      </c>
      <c r="I71" s="236" t="b">
        <v>0</v>
      </c>
      <c r="J71" s="236" t="b">
        <v>1</v>
      </c>
      <c r="K71" s="236" t="b">
        <v>0</v>
      </c>
      <c r="L71" s="236" t="b">
        <v>1</v>
      </c>
      <c r="M71" s="236" t="b">
        <v>0</v>
      </c>
      <c r="N71" s="236" t="b">
        <v>0</v>
      </c>
      <c r="O71" s="236" t="b">
        <v>0</v>
      </c>
      <c r="P71" s="236" t="b">
        <v>0</v>
      </c>
      <c r="Q71" s="236" t="b">
        <v>0</v>
      </c>
      <c r="R71" s="236" t="b">
        <v>0</v>
      </c>
      <c r="S71" s="256" t="str" cm="1">
        <f t="array" ref="S71">IF(SUMPRODUCT((Cert_Matrix!$A$39:$A$43=E71)*(Cert_Matrix!$AZ$39:$BH$43="X")*(H71:P71=TRUE))&lt;SUMPRODUCT((Cert_Matrix!$A$39:$A$43=E71)*(Cert_Matrix!$AZ$39:$BH$43="X")),"Thiếu chứng nhận","Đủ điều kiện")</f>
        <v>Đủ điều kiện</v>
      </c>
      <c r="T71" s="287"/>
      <c r="U71" s="290"/>
      <c r="V71" s="257" t="str">
        <f>VLOOKUP(B71,'HC Golf'!C:G,5,0)</f>
        <v>S1</v>
      </c>
    </row>
    <row r="72" spans="1:22">
      <c r="A72" s="256">
        <f>ROWS($B$5:B70)</f>
        <v>66</v>
      </c>
      <c r="B72" s="256" t="s">
        <v>1725</v>
      </c>
      <c r="C72" s="256" t="s">
        <v>1726</v>
      </c>
      <c r="D72" s="256" t="s">
        <v>1225</v>
      </c>
      <c r="E72" s="256" t="s">
        <v>1173</v>
      </c>
      <c r="F72" s="256" t="s">
        <v>299</v>
      </c>
      <c r="G72" s="290">
        <v>46152</v>
      </c>
      <c r="H72" s="236" t="b">
        <v>0</v>
      </c>
      <c r="I72" s="236" t="b">
        <v>1</v>
      </c>
      <c r="J72" s="236" t="b">
        <v>1</v>
      </c>
      <c r="K72" s="236" t="b">
        <v>0</v>
      </c>
      <c r="L72" s="236" t="b">
        <v>1</v>
      </c>
      <c r="M72" s="236" t="b">
        <v>0</v>
      </c>
      <c r="N72" s="236" t="b">
        <v>0</v>
      </c>
      <c r="O72" s="236" t="b">
        <v>1</v>
      </c>
      <c r="P72" s="236" t="b">
        <v>0</v>
      </c>
      <c r="Q72" s="236" t="b">
        <v>0</v>
      </c>
      <c r="R72" s="236" t="b">
        <v>0</v>
      </c>
      <c r="S72" s="256" t="str" cm="1">
        <f t="array" ref="S72">IF(SUMPRODUCT((Cert_Matrix!$A$39:$A$43=E72)*(Cert_Matrix!$AZ$39:$BH$43="X")*(H72:P72=TRUE))&lt;SUMPRODUCT((Cert_Matrix!$A$39:$A$43=E72)*(Cert_Matrix!$AZ$39:$BH$43="X")),"Thiếu chứng nhận","Đủ điều kiện")</f>
        <v>Đủ điều kiện</v>
      </c>
      <c r="T72" s="287"/>
      <c r="U72" s="290"/>
      <c r="V72" s="257" t="str">
        <f>VLOOKUP(B72,'HC Golf'!C:G,5,0)</f>
        <v>S1</v>
      </c>
    </row>
    <row r="73" spans="1:22">
      <c r="A73" s="256">
        <f>ROWS($B$5:B71)</f>
        <v>67</v>
      </c>
      <c r="B73" s="256" t="s">
        <v>1727</v>
      </c>
      <c r="C73" s="256" t="s">
        <v>1728</v>
      </c>
      <c r="D73" s="256" t="s">
        <v>1225</v>
      </c>
      <c r="E73" s="256" t="s">
        <v>1167</v>
      </c>
      <c r="F73" s="256" t="s">
        <v>299</v>
      </c>
      <c r="G73" s="290"/>
      <c r="H73" s="236" t="b">
        <v>0</v>
      </c>
      <c r="I73" s="236" t="b">
        <v>0</v>
      </c>
      <c r="J73" s="236" t="b">
        <v>0</v>
      </c>
      <c r="K73" s="236" t="b">
        <v>0</v>
      </c>
      <c r="L73" s="236" t="b">
        <v>1</v>
      </c>
      <c r="M73" s="236" t="b">
        <v>0</v>
      </c>
      <c r="N73" s="236" t="b">
        <v>0</v>
      </c>
      <c r="O73" s="236" t="b">
        <v>0</v>
      </c>
      <c r="P73" s="236" t="b">
        <v>0</v>
      </c>
      <c r="Q73" s="236" t="b">
        <v>0</v>
      </c>
      <c r="R73" s="236" t="b">
        <v>0</v>
      </c>
      <c r="S73" s="256" t="str" cm="1">
        <f t="array" ref="S73">IF(SUMPRODUCT((Cert_Matrix!$A$39:$A$43=E73)*(Cert_Matrix!$AZ$39:$BH$43="X")*(H73:P73=TRUE))&lt;SUMPRODUCT((Cert_Matrix!$A$39:$A$43=E73)*(Cert_Matrix!$AZ$39:$BH$43="X")),"Thiếu chứng nhận","Đủ điều kiện")</f>
        <v>Đủ điều kiện</v>
      </c>
      <c r="T73" s="287"/>
      <c r="U73" s="290"/>
      <c r="V73" s="257" t="str">
        <f>VLOOKUP(B73,'HC Golf'!C:G,5,0)</f>
        <v>S1</v>
      </c>
    </row>
    <row r="74" spans="1:22">
      <c r="A74" s="256">
        <f>ROWS($B$5:B72)</f>
        <v>68</v>
      </c>
      <c r="B74" s="256" t="s">
        <v>1729</v>
      </c>
      <c r="C74" s="256" t="s">
        <v>1730</v>
      </c>
      <c r="D74" s="256" t="s">
        <v>1225</v>
      </c>
      <c r="E74" s="256" t="s">
        <v>1657</v>
      </c>
      <c r="F74" s="256" t="s">
        <v>299</v>
      </c>
      <c r="G74" s="290">
        <v>46152</v>
      </c>
      <c r="H74" s="236" t="b">
        <v>1</v>
      </c>
      <c r="I74" s="236" t="b">
        <v>0</v>
      </c>
      <c r="J74" s="236" t="b">
        <v>1</v>
      </c>
      <c r="K74" s="236" t="b">
        <v>0</v>
      </c>
      <c r="L74" s="236" t="b">
        <v>1</v>
      </c>
      <c r="M74" s="236" t="b">
        <v>0</v>
      </c>
      <c r="N74" s="236" t="b">
        <v>0</v>
      </c>
      <c r="O74" s="236" t="b">
        <v>0</v>
      </c>
      <c r="P74" s="236" t="b">
        <v>0</v>
      </c>
      <c r="Q74" s="236" t="b">
        <v>0</v>
      </c>
      <c r="R74" s="236" t="b">
        <v>0</v>
      </c>
      <c r="S74" s="256" t="str" cm="1">
        <f t="array" ref="S74">IF(SUMPRODUCT((Cert_Matrix!$A$39:$A$43=E74)*(Cert_Matrix!$AZ$39:$BH$43="X")*(H74:P74=TRUE))&lt;SUMPRODUCT((Cert_Matrix!$A$39:$A$43=E74)*(Cert_Matrix!$AZ$39:$BH$43="X")),"Thiếu chứng nhận","Đủ điều kiện")</f>
        <v>Đủ điều kiện</v>
      </c>
      <c r="T74" s="287"/>
      <c r="U74" s="290"/>
      <c r="V74" s="257" t="str">
        <f>VLOOKUP(B74,'HC Golf'!C:G,5,0)</f>
        <v>S1</v>
      </c>
    </row>
    <row r="75" spans="1:22">
      <c r="A75" s="256">
        <f>ROWS($B$5:B73)</f>
        <v>69</v>
      </c>
      <c r="B75" s="256" t="s">
        <v>1731</v>
      </c>
      <c r="C75" s="256" t="s">
        <v>1732</v>
      </c>
      <c r="D75" s="256" t="s">
        <v>1225</v>
      </c>
      <c r="E75" s="256" t="s">
        <v>1173</v>
      </c>
      <c r="F75" s="256" t="s">
        <v>299</v>
      </c>
      <c r="G75" s="290">
        <v>46058</v>
      </c>
      <c r="H75" s="236" t="b">
        <v>0</v>
      </c>
      <c r="I75" s="236" t="b">
        <v>1</v>
      </c>
      <c r="J75" s="236" t="b">
        <v>1</v>
      </c>
      <c r="K75" s="236" t="b">
        <v>0</v>
      </c>
      <c r="L75" s="236" t="b">
        <v>1</v>
      </c>
      <c r="M75" s="236" t="b">
        <v>0</v>
      </c>
      <c r="N75" s="236" t="b">
        <v>0</v>
      </c>
      <c r="O75" s="236" t="b">
        <v>0</v>
      </c>
      <c r="P75" s="236" t="b">
        <v>0</v>
      </c>
      <c r="Q75" s="236" t="b">
        <v>0</v>
      </c>
      <c r="R75" s="236" t="b">
        <v>0</v>
      </c>
      <c r="S75" s="256" t="str" cm="1">
        <f t="array" ref="S75">IF(SUMPRODUCT((Cert_Matrix!$A$39:$A$43=E75)*(Cert_Matrix!$AZ$39:$BH$43="X")*(H75:P75=TRUE))&lt;SUMPRODUCT((Cert_Matrix!$A$39:$A$43=E75)*(Cert_Matrix!$AZ$39:$BH$43="X")),"Thiếu chứng nhận","Đủ điều kiện")</f>
        <v>Đủ điều kiện</v>
      </c>
      <c r="T75" s="287"/>
      <c r="U75" s="290"/>
      <c r="V75" s="257" t="str">
        <f>VLOOKUP(B75,'HC Golf'!C:G,5,0)</f>
        <v>S1</v>
      </c>
    </row>
    <row r="76" spans="1:22">
      <c r="A76" s="256">
        <f>ROWS($B$5:B74)</f>
        <v>70</v>
      </c>
      <c r="B76" s="256" t="s">
        <v>739</v>
      </c>
      <c r="C76" s="256" t="s">
        <v>740</v>
      </c>
      <c r="D76" s="256" t="s">
        <v>1225</v>
      </c>
      <c r="E76" s="256" t="s">
        <v>1733</v>
      </c>
      <c r="F76" s="256" t="s">
        <v>299</v>
      </c>
      <c r="G76" s="290"/>
      <c r="H76" s="236" t="b">
        <v>0</v>
      </c>
      <c r="I76" s="236" t="b">
        <v>0</v>
      </c>
      <c r="J76" s="236" t="b">
        <v>0</v>
      </c>
      <c r="K76" s="236" t="b">
        <v>0</v>
      </c>
      <c r="L76" s="236" t="b">
        <v>0</v>
      </c>
      <c r="M76" s="236" t="b">
        <v>0</v>
      </c>
      <c r="N76" s="236" t="b">
        <v>0</v>
      </c>
      <c r="O76" s="236" t="b">
        <v>0</v>
      </c>
      <c r="P76" s="236" t="b">
        <v>0</v>
      </c>
      <c r="Q76" s="236" t="b">
        <v>0</v>
      </c>
      <c r="R76" s="236" t="b">
        <v>0</v>
      </c>
      <c r="S76" s="256" t="str" cm="1">
        <f t="array" ref="S76">IF(SUMPRODUCT((Cert_Matrix!$A$39:$A$43=E76)*(Cert_Matrix!$AZ$39:$BH$43="X")*(H76:P76=TRUE))&lt;SUMPRODUCT((Cert_Matrix!$A$39:$A$43=E76)*(Cert_Matrix!$AZ$39:$BH$43="X")),"Thiếu chứng nhận","Đủ điều kiện")</f>
        <v>Đủ điều kiện</v>
      </c>
      <c r="T76" s="287"/>
      <c r="U76" s="290"/>
      <c r="V76" s="257" t="str">
        <f>VLOOKUP(B76,'HC Golf'!C:G,5,0)</f>
        <v>TS home</v>
      </c>
    </row>
    <row r="77" spans="1:22">
      <c r="A77" s="256">
        <f>ROWS($B$5:B75)</f>
        <v>71</v>
      </c>
      <c r="B77" s="256" t="s">
        <v>1734</v>
      </c>
      <c r="C77" s="256" t="s">
        <v>1735</v>
      </c>
      <c r="D77" s="256" t="s">
        <v>1646</v>
      </c>
      <c r="E77" s="256" t="s">
        <v>1733</v>
      </c>
      <c r="F77" s="256" t="s">
        <v>299</v>
      </c>
      <c r="G77" s="290"/>
      <c r="H77" s="236" t="b">
        <v>0</v>
      </c>
      <c r="I77" s="236" t="b">
        <v>0</v>
      </c>
      <c r="J77" s="236" t="b">
        <v>0</v>
      </c>
      <c r="K77" s="236" t="b">
        <v>0</v>
      </c>
      <c r="L77" s="236" t="b">
        <v>0</v>
      </c>
      <c r="M77" s="236" t="b">
        <v>0</v>
      </c>
      <c r="N77" s="236" t="b">
        <v>0</v>
      </c>
      <c r="O77" s="236" t="b">
        <v>0</v>
      </c>
      <c r="P77" s="236" t="b">
        <v>0</v>
      </c>
      <c r="Q77" s="236" t="b">
        <v>0</v>
      </c>
      <c r="R77" s="236" t="b">
        <v>0</v>
      </c>
      <c r="S77" s="256" t="str" cm="1">
        <f t="array" ref="S77">IF(SUMPRODUCT((Cert_Matrix!$A$39:$A$43=E77)*(Cert_Matrix!$AZ$39:$BH$43="X")*(H77:P77=TRUE))&lt;SUMPRODUCT((Cert_Matrix!$A$39:$A$43=E77)*(Cert_Matrix!$AZ$39:$BH$43="X")),"Thiếu chứng nhận","Đủ điều kiện")</f>
        <v>Đủ điều kiện</v>
      </c>
      <c r="T77" s="287"/>
      <c r="U77" s="290"/>
      <c r="V77" s="257" t="str">
        <f>VLOOKUP(B77,'HC Golf'!C:G,5,0)</f>
        <v>TS home</v>
      </c>
    </row>
    <row r="78" spans="1:22">
      <c r="A78" s="256">
        <f>ROWS($B$5:B76)</f>
        <v>72</v>
      </c>
      <c r="B78" s="256" t="s">
        <v>1736</v>
      </c>
      <c r="C78" s="256" t="s">
        <v>1737</v>
      </c>
      <c r="D78" s="256" t="s">
        <v>1225</v>
      </c>
      <c r="E78" s="256" t="s">
        <v>1173</v>
      </c>
      <c r="F78" s="256"/>
      <c r="G78" s="290">
        <v>46167</v>
      </c>
      <c r="H78" s="236" t="b">
        <v>0</v>
      </c>
      <c r="I78" s="236" t="b">
        <v>1</v>
      </c>
      <c r="J78" s="236" t="b">
        <v>1</v>
      </c>
      <c r="K78" s="236" t="b">
        <v>0</v>
      </c>
      <c r="L78" s="236" t="b">
        <v>1</v>
      </c>
      <c r="M78" s="236" t="b">
        <v>0</v>
      </c>
      <c r="N78" s="236" t="b">
        <v>0</v>
      </c>
      <c r="O78" s="236" t="b">
        <v>0</v>
      </c>
      <c r="P78" s="236" t="b">
        <v>0</v>
      </c>
      <c r="Q78" s="236" t="b">
        <v>0</v>
      </c>
      <c r="R78" s="236" t="b">
        <v>0</v>
      </c>
      <c r="S78" s="256" t="str" cm="1">
        <f t="array" ref="S78">IF(SUMPRODUCT((Cert_Matrix!$A$39:$A$43=E78)*(Cert_Matrix!$AZ$39:$BH$43="X")*(H78:P78=TRUE))&lt;SUMPRODUCT((Cert_Matrix!$A$39:$A$43=E78)*(Cert_Matrix!$AZ$39:$BH$43="X")),"Thiếu chứng nhận","Đủ điều kiện")</f>
        <v>Đủ điều kiện</v>
      </c>
      <c r="T78" s="287"/>
      <c r="U78" s="290"/>
      <c r="V78" s="257" t="str">
        <f>VLOOKUP(B78,'HC Golf'!C:G,5,0)</f>
        <v>S1</v>
      </c>
    </row>
    <row r="79" spans="1:22">
      <c r="A79" s="256">
        <f>ROWS($B$5:B77)</f>
        <v>73</v>
      </c>
      <c r="B79" s="256" t="s">
        <v>1738</v>
      </c>
      <c r="C79" s="256" t="s">
        <v>1739</v>
      </c>
      <c r="D79" s="256" t="s">
        <v>1225</v>
      </c>
      <c r="E79" s="256"/>
      <c r="F79" s="256"/>
      <c r="G79" s="290"/>
      <c r="H79" s="236" t="b">
        <v>0</v>
      </c>
      <c r="I79" s="236" t="b">
        <v>0</v>
      </c>
      <c r="J79" s="236" t="b">
        <v>0</v>
      </c>
      <c r="K79" s="236" t="b">
        <v>0</v>
      </c>
      <c r="L79" s="236" t="b">
        <v>0</v>
      </c>
      <c r="M79" s="236" t="b">
        <v>0</v>
      </c>
      <c r="N79" s="236" t="b">
        <v>0</v>
      </c>
      <c r="O79" s="236" t="b">
        <v>0</v>
      </c>
      <c r="P79" s="236" t="b">
        <v>0</v>
      </c>
      <c r="Q79" s="236" t="b">
        <v>0</v>
      </c>
      <c r="R79" s="236" t="b">
        <v>0</v>
      </c>
      <c r="S79" s="256" t="str" cm="1">
        <f t="array" ref="S79">IF(SUMPRODUCT((Cert_Matrix!$A$39:$A$43=E79)*(Cert_Matrix!$AZ$39:$BH$43="X")*(H79:P79=TRUE))&lt;SUMPRODUCT((Cert_Matrix!$A$39:$A$43=E79)*(Cert_Matrix!$AZ$39:$BH$43="X")),"Thiếu chứng nhận","Đủ điều kiện")</f>
        <v>Đủ điều kiện</v>
      </c>
      <c r="T79" s="287"/>
      <c r="U79" s="290"/>
      <c r="V79" s="257" t="str">
        <f>VLOOKUP(B79,'HC Golf'!C:G,5,0)</f>
        <v>S2</v>
      </c>
    </row>
    <row r="80" spans="1:22">
      <c r="A80" s="256">
        <f>ROWS($B$5:B78)</f>
        <v>74</v>
      </c>
      <c r="B80" s="256" t="s">
        <v>1740</v>
      </c>
      <c r="C80" s="256" t="s">
        <v>1741</v>
      </c>
      <c r="D80" s="256" t="s">
        <v>1225</v>
      </c>
      <c r="E80" s="256" t="s">
        <v>1657</v>
      </c>
      <c r="F80" s="256"/>
      <c r="G80" s="290"/>
      <c r="H80" s="236" t="b">
        <v>0</v>
      </c>
      <c r="I80" s="236" t="b">
        <v>0</v>
      </c>
      <c r="J80" s="236" t="b">
        <v>0</v>
      </c>
      <c r="K80" s="236" t="b">
        <v>0</v>
      </c>
      <c r="L80" s="236" t="b">
        <v>0</v>
      </c>
      <c r="M80" s="236" t="b">
        <v>0</v>
      </c>
      <c r="N80" s="236" t="b">
        <v>0</v>
      </c>
      <c r="O80" s="236" t="b">
        <v>0</v>
      </c>
      <c r="P80" s="236" t="b">
        <v>0</v>
      </c>
      <c r="Q80" s="236" t="b">
        <v>0</v>
      </c>
      <c r="R80" s="236" t="b">
        <v>0</v>
      </c>
      <c r="S80" s="256" t="str" cm="1">
        <f t="array" ref="S80">IF(SUMPRODUCT((Cert_Matrix!$A$39:$A$43=E80)*(Cert_Matrix!$AZ$39:$BH$43="X")*(H80:P80=TRUE))&lt;SUMPRODUCT((Cert_Matrix!$A$39:$A$43=E80)*(Cert_Matrix!$AZ$39:$BH$43="X")),"Thiếu chứng nhận","Đủ điều kiện")</f>
        <v>Thiếu chứng nhận</v>
      </c>
      <c r="T80" s="287" t="s">
        <v>1023</v>
      </c>
      <c r="U80" s="290">
        <v>46188</v>
      </c>
      <c r="V80" s="257" t="str">
        <f>VLOOKUP(B80,'HC Golf'!C:G,5,0)</f>
        <v>S2</v>
      </c>
    </row>
    <row r="81" spans="1:22">
      <c r="A81" s="256">
        <f>ROWS($B$5:B79)</f>
        <v>75</v>
      </c>
      <c r="B81" s="256" t="s">
        <v>1742</v>
      </c>
      <c r="C81" s="256" t="s">
        <v>1743</v>
      </c>
      <c r="D81" s="256" t="s">
        <v>1225</v>
      </c>
      <c r="E81" s="256" t="s">
        <v>1173</v>
      </c>
      <c r="F81" s="256"/>
      <c r="G81" s="290"/>
      <c r="H81" s="236" t="b">
        <v>0</v>
      </c>
      <c r="I81" s="236" t="b">
        <v>0</v>
      </c>
      <c r="J81" s="236" t="b">
        <v>0</v>
      </c>
      <c r="K81" s="236" t="b">
        <v>0</v>
      </c>
      <c r="L81" s="236" t="b">
        <v>0</v>
      </c>
      <c r="M81" s="236" t="b">
        <v>0</v>
      </c>
      <c r="N81" s="236" t="b">
        <v>0</v>
      </c>
      <c r="O81" s="236" t="b">
        <v>0</v>
      </c>
      <c r="P81" s="236" t="b">
        <v>0</v>
      </c>
      <c r="Q81" s="236" t="b">
        <v>0</v>
      </c>
      <c r="R81" s="236" t="b">
        <v>0</v>
      </c>
      <c r="S81" s="256" t="str" cm="1">
        <f t="array" ref="S81">IF(SUMPRODUCT((Cert_Matrix!$A$39:$A$43=E81)*(Cert_Matrix!$AZ$39:$BH$43="X")*(H81:P81=TRUE))&lt;SUMPRODUCT((Cert_Matrix!$A$39:$A$43=E81)*(Cert_Matrix!$AZ$39:$BH$43="X")),"Thiếu chứng nhận","Đủ điều kiện")</f>
        <v>Thiếu chứng nhận</v>
      </c>
      <c r="T81" s="287" t="s">
        <v>1026</v>
      </c>
      <c r="U81" s="290">
        <v>46188</v>
      </c>
      <c r="V81" s="257" t="str">
        <f>VLOOKUP(B81,'HC Golf'!C:G,5,0)</f>
        <v>S1</v>
      </c>
    </row>
    <row r="82" spans="1:22">
      <c r="A82" s="256">
        <f>ROWS($B$5:B80)</f>
        <v>76</v>
      </c>
      <c r="B82" s="256" t="s">
        <v>1744</v>
      </c>
      <c r="C82" s="256" t="s">
        <v>1745</v>
      </c>
      <c r="D82" s="256" t="s">
        <v>1225</v>
      </c>
      <c r="E82" s="256" t="s">
        <v>1657</v>
      </c>
      <c r="F82" s="256"/>
      <c r="G82" s="290"/>
      <c r="H82" s="236" t="b">
        <v>0</v>
      </c>
      <c r="I82" s="236" t="b">
        <v>0</v>
      </c>
      <c r="J82" s="236" t="b">
        <v>0</v>
      </c>
      <c r="K82" s="236" t="b">
        <v>0</v>
      </c>
      <c r="L82" s="236" t="b">
        <v>0</v>
      </c>
      <c r="M82" s="236" t="b">
        <v>0</v>
      </c>
      <c r="N82" s="236" t="b">
        <v>0</v>
      </c>
      <c r="O82" s="236" t="b">
        <v>0</v>
      </c>
      <c r="P82" s="236" t="b">
        <v>0</v>
      </c>
      <c r="Q82" s="236" t="b">
        <v>0</v>
      </c>
      <c r="R82" s="236" t="b">
        <v>0</v>
      </c>
      <c r="S82" s="256" t="str" cm="1">
        <f t="array" ref="S82">IF(SUMPRODUCT((Cert_Matrix!$A$39:$A$43=E82)*(Cert_Matrix!$AZ$39:$BH$43="X")*(H82:P82=TRUE))&lt;SUMPRODUCT((Cert_Matrix!$A$39:$A$43=E82)*(Cert_Matrix!$AZ$39:$BH$43="X")),"Thiếu chứng nhận","Đủ điều kiện")</f>
        <v>Thiếu chứng nhận</v>
      </c>
      <c r="T82" s="287" t="s">
        <v>1026</v>
      </c>
      <c r="U82" s="290">
        <v>46188</v>
      </c>
      <c r="V82" s="257" t="str">
        <f>VLOOKUP(B82,'HC Golf'!C:G,5,0)</f>
        <v>S1</v>
      </c>
    </row>
    <row r="83" spans="1:22">
      <c r="A83" s="256">
        <f>ROWS($B$5:B81)</f>
        <v>77</v>
      </c>
      <c r="B83" s="256" t="s">
        <v>1746</v>
      </c>
      <c r="C83" s="256" t="s">
        <v>1747</v>
      </c>
      <c r="D83" s="256" t="s">
        <v>1225</v>
      </c>
      <c r="E83" s="256" t="s">
        <v>1167</v>
      </c>
      <c r="F83" s="256" t="s">
        <v>299</v>
      </c>
      <c r="G83" s="290">
        <v>46172</v>
      </c>
      <c r="H83" s="236" t="b">
        <v>0</v>
      </c>
      <c r="I83" s="236" t="b">
        <v>0</v>
      </c>
      <c r="J83" s="236" t="b">
        <v>0</v>
      </c>
      <c r="K83" s="236" t="b">
        <v>0</v>
      </c>
      <c r="L83" s="236" t="b">
        <v>1</v>
      </c>
      <c r="M83" s="236" t="b">
        <v>0</v>
      </c>
      <c r="N83" s="236" t="b">
        <v>0</v>
      </c>
      <c r="O83" s="236" t="b">
        <v>0</v>
      </c>
      <c r="P83" s="236" t="b">
        <v>0</v>
      </c>
      <c r="Q83" s="236" t="b">
        <v>0</v>
      </c>
      <c r="R83" s="236" t="b">
        <v>0</v>
      </c>
      <c r="S83" s="256" t="str" cm="1">
        <f t="array" ref="S83">IF(SUMPRODUCT((Cert_Matrix!$A$39:$A$43=E83)*(Cert_Matrix!$AZ$39:$BH$43="X")*(H83:P83=TRUE))&lt;SUMPRODUCT((Cert_Matrix!$A$39:$A$43=E83)*(Cert_Matrix!$AZ$39:$BH$43="X")),"Thiếu chứng nhận","Đủ điều kiện")</f>
        <v>Đủ điều kiện</v>
      </c>
      <c r="T83" s="287"/>
      <c r="U83" s="290"/>
      <c r="V83" s="257" t="str">
        <f>VLOOKUP(B83,'HC Golf'!C:G,5,0)</f>
        <v>S2</v>
      </c>
    </row>
  </sheetData>
  <autoFilter ref="A6:V83" xr:uid="{443F9EAD-10E9-4376-8252-048D5D30ECE1}"/>
  <mergeCells count="9">
    <mergeCell ref="H5:R5"/>
    <mergeCell ref="A2:G3"/>
    <mergeCell ref="A5:A6"/>
    <mergeCell ref="B5:B6"/>
    <mergeCell ref="C5:C6"/>
    <mergeCell ref="D5:D6"/>
    <mergeCell ref="F5:F6"/>
    <mergeCell ref="G5:G6"/>
    <mergeCell ref="E5:E6"/>
  </mergeCells>
  <conditionalFormatting sqref="B1:C1 B4:C1048576">
    <cfRule type="duplicateValues" dxfId="41" priority="5"/>
  </conditionalFormatting>
  <conditionalFormatting sqref="B1:C1048576">
    <cfRule type="duplicateValues" dxfId="40" priority="1"/>
    <cfRule type="duplicateValues" dxfId="39" priority="3"/>
  </conditionalFormatting>
  <conditionalFormatting sqref="H7:R83">
    <cfRule type="containsText" dxfId="38" priority="4" operator="containsText" text="false">
      <formula>NOT(ISERROR(SEARCH("false",H7)))</formula>
    </cfRule>
  </conditionalFormatting>
  <conditionalFormatting sqref="S1:S1048576">
    <cfRule type="containsText" dxfId="37" priority="2" operator="containsText" text="THIẾU CHỨNG NHẬN">
      <formula>NOT(ISERROR(SEARCH("THIẾU CHỨNG NHẬN",S1)))</formula>
    </cfRule>
  </conditionalFormatting>
  <dataValidations count="1">
    <dataValidation type="list" allowBlank="1" showInputMessage="1" showErrorMessage="1" sqref="T7:T83" xr:uid="{D415152B-F874-4012-909F-AFC0599DA241}">
      <formula1>"CHƯA ĐÀO TẠO,ĐANG ĐÀO TẠO,CHỜ ĐÁNH GIÁ,CHỜ CẤP THẺ CNVH,ĐÁNH GIÁ LẠI"</formula1>
    </dataValidation>
  </dataValidations>
  <pageMargins left="0.16" right="0.16" top="0.16" bottom="0.16" header="0.16" footer="0.16"/>
  <pageSetup paperSize="9" scale="5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F687-C55D-4F50-B11F-1C61E9FF679B}">
  <sheetPr>
    <tabColor theme="0" tint="-0.14999847407452621"/>
  </sheetPr>
  <dimension ref="A1:AD55"/>
  <sheetViews>
    <sheetView showGridLines="0" zoomScale="80" zoomScaleNormal="80" workbookViewId="0">
      <pane xSplit="7" ySplit="7" topLeftCell="H8" activePane="bottomRight" state="frozen"/>
      <selection pane="bottomRight" activeCell="AA59" sqref="AA59"/>
      <selection pane="bottomLeft" activeCell="A5" sqref="A5"/>
      <selection pane="topRight" activeCell="G1" sqref="G1"/>
    </sheetView>
  </sheetViews>
  <sheetFormatPr defaultRowHeight="15"/>
  <cols>
    <col min="1" max="1" width="4.85546875" style="257" customWidth="1"/>
    <col min="2" max="2" width="6.5703125" style="257" bestFit="1" customWidth="1"/>
    <col min="3" max="3" width="22.140625" style="257" bestFit="1" customWidth="1"/>
    <col min="4" max="4" width="30.85546875" style="257" customWidth="1"/>
    <col min="5" max="5" width="21.28515625" style="257" customWidth="1"/>
    <col min="6" max="6" width="15.5703125" style="257" hidden="1" customWidth="1"/>
    <col min="7" max="7" width="15.28515625" style="288" customWidth="1"/>
    <col min="8" max="8" width="5.85546875" style="237" bestFit="1" customWidth="1"/>
    <col min="9" max="9" width="6" style="237" bestFit="1" customWidth="1"/>
    <col min="10" max="10" width="6.140625" style="237" bestFit="1" customWidth="1"/>
    <col min="11" max="11" width="10" style="237" bestFit="1" customWidth="1"/>
    <col min="12" max="12" width="9" style="237" bestFit="1" customWidth="1"/>
    <col min="13" max="13" width="5.85546875" style="237" bestFit="1" customWidth="1"/>
    <col min="14" max="14" width="6.85546875" style="237" bestFit="1" customWidth="1"/>
    <col min="15" max="15" width="9.42578125" style="237" bestFit="1" customWidth="1"/>
    <col min="16" max="16" width="8.7109375" style="237" bestFit="1" customWidth="1"/>
    <col min="17" max="17" width="14.5703125" style="237" bestFit="1" customWidth="1"/>
    <col min="18" max="18" width="9.140625" style="237" bestFit="1" customWidth="1"/>
    <col min="19" max="19" width="8.28515625" style="237" bestFit="1" customWidth="1"/>
    <col min="20" max="20" width="10.7109375" style="237" bestFit="1" customWidth="1"/>
    <col min="21" max="21" width="10.28515625" style="237" bestFit="1" customWidth="1"/>
    <col min="22" max="22" width="8.7109375" style="237" bestFit="1" customWidth="1"/>
    <col min="23" max="23" width="9.28515625" style="237" bestFit="1" customWidth="1"/>
    <col min="24" max="24" width="13.28515625" style="237" bestFit="1" customWidth="1"/>
    <col min="25" max="25" width="12.5703125" style="237" bestFit="1" customWidth="1"/>
    <col min="26" max="26" width="12.140625" style="237" bestFit="1" customWidth="1"/>
    <col min="27" max="27" width="17.85546875" style="257" bestFit="1" customWidth="1"/>
    <col min="28" max="28" width="15" style="257" customWidth="1"/>
    <col min="29" max="29" width="14.28515625" style="288" customWidth="1"/>
    <col min="30" max="16384" width="9.140625" style="257"/>
  </cols>
  <sheetData>
    <row r="1" spans="1:30" ht="15" customHeight="1"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91" t="s">
        <v>1</v>
      </c>
      <c r="X1" s="292"/>
      <c r="Y1" s="292"/>
      <c r="Z1" s="293"/>
    </row>
    <row r="2" spans="1:30" ht="15" customHeight="1">
      <c r="A2" s="367" t="s">
        <v>0</v>
      </c>
      <c r="B2" s="367"/>
      <c r="C2" s="367"/>
      <c r="D2" s="367"/>
      <c r="E2" s="367"/>
      <c r="F2" s="367"/>
      <c r="G2" s="36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91" t="s">
        <v>2</v>
      </c>
      <c r="X2" s="292"/>
      <c r="Y2" s="292"/>
      <c r="Z2" s="293"/>
    </row>
    <row r="3" spans="1:30" ht="15" customHeight="1">
      <c r="A3" s="367"/>
      <c r="B3" s="367"/>
      <c r="C3" s="367"/>
      <c r="D3" s="367"/>
      <c r="E3" s="367"/>
      <c r="F3" s="367"/>
      <c r="G3" s="36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91" t="s">
        <v>3</v>
      </c>
      <c r="X3" s="292"/>
      <c r="Y3" s="292"/>
      <c r="Z3" s="293"/>
    </row>
    <row r="4" spans="1:30" s="295" customFormat="1" ht="15" customHeight="1">
      <c r="G4" s="296"/>
      <c r="W4" s="291" t="s">
        <v>4</v>
      </c>
      <c r="X4" s="292"/>
      <c r="Y4" s="292"/>
      <c r="Z4" s="301"/>
      <c r="AC4" s="296"/>
    </row>
    <row r="5" spans="1:30" s="285" customFormat="1" ht="15" customHeight="1">
      <c r="A5" s="368" t="s">
        <v>5</v>
      </c>
      <c r="B5" s="368" t="s">
        <v>6</v>
      </c>
      <c r="C5" s="368" t="s">
        <v>1190</v>
      </c>
      <c r="D5" s="368" t="s">
        <v>1191</v>
      </c>
      <c r="E5" s="368" t="s">
        <v>1528</v>
      </c>
      <c r="F5" s="368" t="s">
        <v>8</v>
      </c>
      <c r="G5" s="370" t="s">
        <v>1193</v>
      </c>
      <c r="H5" s="364" t="s">
        <v>10</v>
      </c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  <c r="Z5" s="366"/>
      <c r="AC5" s="305"/>
    </row>
    <row r="6" spans="1:30" s="284" customFormat="1" ht="45">
      <c r="A6" s="369"/>
      <c r="B6" s="369"/>
      <c r="C6" s="369"/>
      <c r="D6" s="369"/>
      <c r="E6" s="369"/>
      <c r="F6" s="369"/>
      <c r="G6" s="371"/>
      <c r="H6" s="294" t="s">
        <v>1098</v>
      </c>
      <c r="I6" s="294" t="s">
        <v>1099</v>
      </c>
      <c r="J6" s="294" t="s">
        <v>1100</v>
      </c>
      <c r="K6" s="294" t="s">
        <v>1101</v>
      </c>
      <c r="L6" s="294" t="s">
        <v>1102</v>
      </c>
      <c r="M6" s="294" t="s">
        <v>1090</v>
      </c>
      <c r="N6" s="294" t="s">
        <v>1748</v>
      </c>
      <c r="O6" s="294" t="s">
        <v>1060</v>
      </c>
      <c r="P6" s="294" t="s">
        <v>1104</v>
      </c>
      <c r="Q6" s="294" t="s">
        <v>1105</v>
      </c>
      <c r="R6" s="294" t="s">
        <v>1106</v>
      </c>
      <c r="S6" s="294" t="s">
        <v>1072</v>
      </c>
      <c r="T6" s="294" t="s">
        <v>1078</v>
      </c>
      <c r="U6" s="294" t="s">
        <v>1096</v>
      </c>
      <c r="V6" s="294" t="s">
        <v>1107</v>
      </c>
      <c r="W6" s="294" t="s">
        <v>1108</v>
      </c>
      <c r="X6" s="294" t="s">
        <v>1109</v>
      </c>
      <c r="Y6" s="294" t="s">
        <v>1199</v>
      </c>
      <c r="Z6" s="294" t="s">
        <v>1200</v>
      </c>
      <c r="AA6" s="286" t="s">
        <v>1201</v>
      </c>
      <c r="AB6" s="286" t="s">
        <v>1202</v>
      </c>
      <c r="AC6" s="315" t="s">
        <v>1203</v>
      </c>
    </row>
    <row r="7" spans="1:30">
      <c r="A7" s="256">
        <f>ROWS($B$5:B5)</f>
        <v>1</v>
      </c>
      <c r="B7" s="256" t="s">
        <v>239</v>
      </c>
      <c r="C7" s="256" t="s">
        <v>240</v>
      </c>
      <c r="D7" s="256" t="s">
        <v>1292</v>
      </c>
      <c r="E7" s="256" t="s">
        <v>1177</v>
      </c>
      <c r="F7" s="256" t="s">
        <v>232</v>
      </c>
      <c r="G7" s="290"/>
      <c r="H7" s="236" t="b">
        <v>1</v>
      </c>
      <c r="I7" s="236" t="b">
        <v>1</v>
      </c>
      <c r="J7" s="236" t="b">
        <v>1</v>
      </c>
      <c r="K7" s="236" t="b">
        <v>1</v>
      </c>
      <c r="L7" s="236" t="b">
        <v>1</v>
      </c>
      <c r="M7" s="236" t="b">
        <v>1</v>
      </c>
      <c r="N7" s="236" t="b">
        <v>0</v>
      </c>
      <c r="O7" s="236" t="b">
        <v>1</v>
      </c>
      <c r="P7" s="236" t="b">
        <v>1</v>
      </c>
      <c r="Q7" s="236" t="b">
        <v>0</v>
      </c>
      <c r="R7" s="236" t="b">
        <v>1</v>
      </c>
      <c r="S7" s="236" t="b">
        <v>1</v>
      </c>
      <c r="T7" s="236" t="b">
        <v>0</v>
      </c>
      <c r="U7" s="236" t="b">
        <v>1</v>
      </c>
      <c r="V7" s="236" t="b">
        <v>0</v>
      </c>
      <c r="W7" s="236" t="b">
        <v>1</v>
      </c>
      <c r="X7" s="236" t="b">
        <v>1</v>
      </c>
      <c r="Y7" s="236" t="b">
        <v>1</v>
      </c>
      <c r="Z7" s="236" t="b">
        <v>1</v>
      </c>
      <c r="AA7" s="256" t="str" cm="1">
        <f t="array" ref="AA7">IF(SUMPRODUCT((Cert_Matrix!$A$44:$A$57=E7)*(Cert_Matrix!$BI$44:$BY$57="X")*(H7:X7=TRUE))&lt;SUMPRODUCT((Cert_Matrix!$A$44:$A$57=E7)*(Cert_Matrix!$BI$44:$BY$57="X")),"Thiếu chứng nhận","Đủ điều kiện")</f>
        <v>Đủ điều kiện</v>
      </c>
      <c r="AB7" s="287"/>
      <c r="AC7" s="290"/>
      <c r="AD7" s="283" t="str">
        <f>VLOOKUP(B7,'HC Arrow'!C:G,5,0)</f>
        <v>S1</v>
      </c>
    </row>
    <row r="8" spans="1:30">
      <c r="A8" s="256">
        <f>ROWS($B$5:B6)</f>
        <v>2</v>
      </c>
      <c r="B8" s="256" t="s">
        <v>238</v>
      </c>
      <c r="C8" s="256" t="s">
        <v>127</v>
      </c>
      <c r="D8" s="256" t="s">
        <v>1749</v>
      </c>
      <c r="E8" s="256" t="s">
        <v>1177</v>
      </c>
      <c r="F8" s="256" t="s">
        <v>232</v>
      </c>
      <c r="G8" s="290"/>
      <c r="H8" s="236" t="b">
        <v>1</v>
      </c>
      <c r="I8" s="236" t="b">
        <v>1</v>
      </c>
      <c r="J8" s="236" t="b">
        <v>1</v>
      </c>
      <c r="K8" s="236" t="b">
        <v>1</v>
      </c>
      <c r="L8" s="236" t="b">
        <v>0</v>
      </c>
      <c r="M8" s="236" t="b">
        <v>0</v>
      </c>
      <c r="N8" s="236" t="b">
        <v>0</v>
      </c>
      <c r="O8" s="236" t="b">
        <v>0</v>
      </c>
      <c r="P8" s="236" t="b">
        <v>0</v>
      </c>
      <c r="Q8" s="236" t="b">
        <v>0</v>
      </c>
      <c r="R8" s="236" t="b">
        <v>0</v>
      </c>
      <c r="S8" s="236" t="b">
        <v>0</v>
      </c>
      <c r="T8" s="236" t="b">
        <v>0</v>
      </c>
      <c r="U8" s="236" t="b">
        <v>0</v>
      </c>
      <c r="V8" s="236" t="b">
        <v>0</v>
      </c>
      <c r="W8" s="236" t="b">
        <v>0</v>
      </c>
      <c r="X8" s="236" t="b">
        <v>0</v>
      </c>
      <c r="Y8" s="236" t="b">
        <v>1</v>
      </c>
      <c r="Z8" s="236" t="b">
        <v>0</v>
      </c>
      <c r="AA8" s="256" t="str" cm="1">
        <f t="array" ref="AA8">IF(SUMPRODUCT((Cert_Matrix!$A$44:$A$57=E8)*(Cert_Matrix!$BI$44:$BY$57="X")*(H8:X8=TRUE))&lt;SUMPRODUCT((Cert_Matrix!$A$44:$A$57=E8)*(Cert_Matrix!$BI$44:$BY$57="X")),"Thiếu chứng nhận","Đủ điều kiện")</f>
        <v>Đủ điều kiện</v>
      </c>
      <c r="AB8" s="287"/>
      <c r="AC8" s="290"/>
      <c r="AD8" s="283" t="str">
        <f>VLOOKUP(B8,'HC Arrow'!C:G,5,0)</f>
        <v>S1</v>
      </c>
    </row>
    <row r="9" spans="1:30">
      <c r="A9" s="256">
        <f>ROWS($B$5:B7)</f>
        <v>3</v>
      </c>
      <c r="B9" s="256" t="s">
        <v>230</v>
      </c>
      <c r="C9" s="256" t="s">
        <v>231</v>
      </c>
      <c r="D9" s="256" t="s">
        <v>1749</v>
      </c>
      <c r="E9" s="256" t="s">
        <v>1177</v>
      </c>
      <c r="F9" s="256" t="s">
        <v>232</v>
      </c>
      <c r="G9" s="290"/>
      <c r="H9" s="236" t="b">
        <v>0</v>
      </c>
      <c r="I9" s="236" t="b">
        <v>1</v>
      </c>
      <c r="J9" s="236" t="b">
        <v>1</v>
      </c>
      <c r="K9" s="236" t="b">
        <v>0</v>
      </c>
      <c r="L9" s="236" t="b">
        <v>0</v>
      </c>
      <c r="M9" s="236" t="b">
        <v>0</v>
      </c>
      <c r="N9" s="236" t="b">
        <v>0</v>
      </c>
      <c r="O9" s="236" t="b">
        <v>0</v>
      </c>
      <c r="P9" s="236" t="b">
        <v>0</v>
      </c>
      <c r="Q9" s="236" t="b">
        <v>0</v>
      </c>
      <c r="R9" s="236" t="b">
        <v>0</v>
      </c>
      <c r="S9" s="236" t="b">
        <v>0</v>
      </c>
      <c r="T9" s="236" t="b">
        <v>0</v>
      </c>
      <c r="U9" s="236" t="b">
        <v>0</v>
      </c>
      <c r="V9" s="236" t="b">
        <v>0</v>
      </c>
      <c r="W9" s="236" t="b">
        <v>0</v>
      </c>
      <c r="X9" s="236" t="b">
        <v>0</v>
      </c>
      <c r="Y9" s="236" t="b">
        <v>1</v>
      </c>
      <c r="Z9" s="236" t="b">
        <v>0</v>
      </c>
      <c r="AA9" s="256" t="str" cm="1">
        <f t="array" ref="AA9">IF(SUMPRODUCT((Cert_Matrix!$A$44:$A$57=E9)*(Cert_Matrix!$BI$44:$BY$57="X")*(H9:X9=TRUE))&lt;SUMPRODUCT((Cert_Matrix!$A$44:$A$57=E9)*(Cert_Matrix!$BI$44:$BY$57="X")),"Thiếu chứng nhận","Đủ điều kiện")</f>
        <v>Đủ điều kiện</v>
      </c>
      <c r="AB9" s="287"/>
      <c r="AC9" s="290"/>
      <c r="AD9" s="283" t="str">
        <f>VLOOKUP(B9,'HC Arrow'!C:G,5,0)</f>
        <v>S1</v>
      </c>
    </row>
    <row r="10" spans="1:30">
      <c r="A10" s="256">
        <f>ROWS($B$5:B8)</f>
        <v>4</v>
      </c>
      <c r="B10" s="256" t="s">
        <v>1750</v>
      </c>
      <c r="C10" s="256" t="s">
        <v>338</v>
      </c>
      <c r="D10" s="256" t="s">
        <v>1751</v>
      </c>
      <c r="E10" s="256" t="s">
        <v>1176</v>
      </c>
      <c r="F10" s="256" t="s">
        <v>232</v>
      </c>
      <c r="G10" s="290"/>
      <c r="H10" s="236" t="b">
        <v>0</v>
      </c>
      <c r="I10" s="236" t="b">
        <v>0</v>
      </c>
      <c r="J10" s="236" t="b">
        <v>1</v>
      </c>
      <c r="K10" s="236" t="b">
        <v>0</v>
      </c>
      <c r="L10" s="236" t="b">
        <v>0</v>
      </c>
      <c r="M10" s="236" t="b">
        <v>0</v>
      </c>
      <c r="N10" s="236" t="b">
        <v>0</v>
      </c>
      <c r="O10" s="236" t="b">
        <v>0</v>
      </c>
      <c r="P10" s="236" t="b">
        <v>0</v>
      </c>
      <c r="Q10" s="236" t="b">
        <v>0</v>
      </c>
      <c r="R10" s="236" t="b">
        <v>0</v>
      </c>
      <c r="S10" s="236" t="b">
        <v>0</v>
      </c>
      <c r="T10" s="236" t="b">
        <v>0</v>
      </c>
      <c r="U10" s="236" t="b">
        <v>0</v>
      </c>
      <c r="V10" s="236" t="b">
        <v>0</v>
      </c>
      <c r="W10" s="236" t="b">
        <v>0</v>
      </c>
      <c r="X10" s="236" t="b">
        <v>0</v>
      </c>
      <c r="Y10" s="236" t="b">
        <v>1</v>
      </c>
      <c r="Z10" s="236" t="b">
        <v>0</v>
      </c>
      <c r="AA10" s="256" t="str" cm="1">
        <f t="array" ref="AA10">IF(SUMPRODUCT((Cert_Matrix!$A$44:$A$57=E10)*(Cert_Matrix!$BI$44:$BY$57="X")*(H10:X10=TRUE))&lt;SUMPRODUCT((Cert_Matrix!$A$44:$A$57=E10)*(Cert_Matrix!$BI$44:$BY$57="X")),"Thiếu chứng nhận","Đủ điều kiện")</f>
        <v>Đủ điều kiện</v>
      </c>
      <c r="AB10" s="287"/>
      <c r="AC10" s="290"/>
      <c r="AD10" s="283" t="str">
        <f>VLOOKUP(B10,'HC Arrow'!C:G,5,0)</f>
        <v>S2</v>
      </c>
    </row>
    <row r="11" spans="1:30">
      <c r="A11" s="256">
        <f>ROWS($B$5:B9)</f>
        <v>5</v>
      </c>
      <c r="B11" s="256" t="s">
        <v>228</v>
      </c>
      <c r="C11" s="256" t="s">
        <v>229</v>
      </c>
      <c r="D11" s="256" t="s">
        <v>1297</v>
      </c>
      <c r="E11" s="256" t="s">
        <v>1180</v>
      </c>
      <c r="F11" s="256" t="s">
        <v>232</v>
      </c>
      <c r="G11" s="290"/>
      <c r="H11" s="236" t="b">
        <v>0</v>
      </c>
      <c r="I11" s="236" t="b">
        <v>0</v>
      </c>
      <c r="J11" s="236" t="b">
        <v>0</v>
      </c>
      <c r="K11" s="236" t="b">
        <v>0</v>
      </c>
      <c r="L11" s="236" t="b">
        <v>0</v>
      </c>
      <c r="M11" s="236" t="b">
        <v>0</v>
      </c>
      <c r="N11" s="236" t="b">
        <v>0</v>
      </c>
      <c r="O11" s="236" t="b">
        <v>0</v>
      </c>
      <c r="P11" s="236" t="b">
        <v>1</v>
      </c>
      <c r="Q11" s="236" t="b">
        <v>1</v>
      </c>
      <c r="R11" s="236" t="b">
        <v>1</v>
      </c>
      <c r="S11" s="236" t="b">
        <v>1</v>
      </c>
      <c r="T11" s="236" t="b">
        <v>1</v>
      </c>
      <c r="U11" s="236" t="b">
        <v>1</v>
      </c>
      <c r="V11" s="236" t="b">
        <v>0</v>
      </c>
      <c r="W11" s="236" t="b">
        <v>0</v>
      </c>
      <c r="X11" s="236" t="b">
        <v>0</v>
      </c>
      <c r="Y11" s="236" t="b">
        <v>1</v>
      </c>
      <c r="Z11" s="236" t="b">
        <v>0</v>
      </c>
      <c r="AA11" s="256" t="str" cm="1">
        <f t="array" ref="AA11">IF(SUMPRODUCT((Cert_Matrix!$A$44:$A$57=E11)*(Cert_Matrix!$BI$44:$BY$57="X")*(H11:X11=TRUE))&lt;SUMPRODUCT((Cert_Matrix!$A$44:$A$57=E11)*(Cert_Matrix!$BI$44:$BY$57="X")),"Thiếu chứng nhận","Đủ điều kiện")</f>
        <v>Đủ điều kiện</v>
      </c>
      <c r="AB11" s="287"/>
      <c r="AC11" s="290"/>
      <c r="AD11" s="283" t="str">
        <f>VLOOKUP(B11,'HC Arrow'!C:G,5,0)</f>
        <v>S2</v>
      </c>
    </row>
    <row r="12" spans="1:30">
      <c r="A12" s="256">
        <f>ROWS($B$5:B10)</f>
        <v>6</v>
      </c>
      <c r="B12" s="256" t="s">
        <v>1752</v>
      </c>
      <c r="C12" s="256" t="s">
        <v>771</v>
      </c>
      <c r="D12" s="256" t="s">
        <v>1304</v>
      </c>
      <c r="E12" s="256" t="s">
        <v>1178</v>
      </c>
      <c r="F12" s="256" t="s">
        <v>232</v>
      </c>
      <c r="G12" s="290">
        <v>46159</v>
      </c>
      <c r="H12" s="236" t="b">
        <v>1</v>
      </c>
      <c r="I12" s="236" t="b">
        <v>0</v>
      </c>
      <c r="J12" s="236" t="b">
        <v>1</v>
      </c>
      <c r="K12" s="236" t="b">
        <v>1</v>
      </c>
      <c r="L12" s="236" t="b">
        <v>0</v>
      </c>
      <c r="M12" s="236" t="b">
        <v>0</v>
      </c>
      <c r="N12" s="236" t="b">
        <v>0</v>
      </c>
      <c r="O12" s="236" t="b">
        <v>0</v>
      </c>
      <c r="P12" s="236" t="b">
        <v>0</v>
      </c>
      <c r="Q12" s="236" t="b">
        <v>0</v>
      </c>
      <c r="R12" s="236" t="b">
        <v>0</v>
      </c>
      <c r="S12" s="236" t="b">
        <v>0</v>
      </c>
      <c r="T12" s="236" t="b">
        <v>0</v>
      </c>
      <c r="U12" s="236" t="b">
        <v>0</v>
      </c>
      <c r="V12" s="236" t="b">
        <v>0</v>
      </c>
      <c r="W12" s="236" t="b">
        <v>0</v>
      </c>
      <c r="X12" s="236" t="b">
        <v>0</v>
      </c>
      <c r="Y12" s="236" t="b">
        <v>1</v>
      </c>
      <c r="Z12" s="236" t="b">
        <v>0</v>
      </c>
      <c r="AA12" s="256" t="str" cm="1">
        <f t="array" ref="AA12">IF(SUMPRODUCT((Cert_Matrix!$A$44:$A$57=E12)*(Cert_Matrix!$BI$44:$BY$57="X")*(H12:X12=TRUE))&lt;SUMPRODUCT((Cert_Matrix!$A$44:$A$57=E12)*(Cert_Matrix!$BI$44:$BY$57="X")),"Thiếu chứng nhận","Đủ điều kiện")</f>
        <v>Đủ điều kiện</v>
      </c>
      <c r="AB12" s="287"/>
      <c r="AC12" s="290"/>
      <c r="AD12" s="283" t="str">
        <f>VLOOKUP(B12,'HC Arrow'!C:G,5,0)</f>
        <v>S1</v>
      </c>
    </row>
    <row r="13" spans="1:30">
      <c r="A13" s="256">
        <f>ROWS($B$5:B11)</f>
        <v>7</v>
      </c>
      <c r="B13" s="256" t="s">
        <v>1753</v>
      </c>
      <c r="C13" s="256" t="s">
        <v>772</v>
      </c>
      <c r="D13" s="256" t="s">
        <v>1302</v>
      </c>
      <c r="E13" s="256" t="s">
        <v>1177</v>
      </c>
      <c r="F13" s="256" t="s">
        <v>232</v>
      </c>
      <c r="G13" s="290">
        <v>46159</v>
      </c>
      <c r="H13" s="236" t="b">
        <v>1</v>
      </c>
      <c r="I13" s="236" t="b">
        <v>1</v>
      </c>
      <c r="J13" s="236" t="b">
        <v>1</v>
      </c>
      <c r="K13" s="236" t="b">
        <v>1</v>
      </c>
      <c r="L13" s="236" t="b">
        <v>0</v>
      </c>
      <c r="M13" s="236" t="b">
        <v>0</v>
      </c>
      <c r="N13" s="236" t="b">
        <v>0</v>
      </c>
      <c r="O13" s="236" t="b">
        <v>0</v>
      </c>
      <c r="P13" s="236" t="b">
        <v>0</v>
      </c>
      <c r="Q13" s="236" t="b">
        <v>0</v>
      </c>
      <c r="R13" s="236" t="b">
        <v>0</v>
      </c>
      <c r="S13" s="236" t="b">
        <v>0</v>
      </c>
      <c r="T13" s="236" t="b">
        <v>0</v>
      </c>
      <c r="U13" s="236" t="b">
        <v>0</v>
      </c>
      <c r="V13" s="236" t="b">
        <v>0</v>
      </c>
      <c r="W13" s="236" t="b">
        <v>0</v>
      </c>
      <c r="X13" s="236" t="b">
        <v>0</v>
      </c>
      <c r="Y13" s="236" t="b">
        <v>0</v>
      </c>
      <c r="Z13" s="236" t="b">
        <v>1</v>
      </c>
      <c r="AA13" s="256" t="str" cm="1">
        <f t="array" ref="AA13">IF(SUMPRODUCT((Cert_Matrix!$A$44:$A$57=E13)*(Cert_Matrix!$BI$44:$BY$57="X")*(H13:X13=TRUE))&lt;SUMPRODUCT((Cert_Matrix!$A$44:$A$57=E13)*(Cert_Matrix!$BI$44:$BY$57="X")),"Thiếu chứng nhận","Đủ điều kiện")</f>
        <v>Đủ điều kiện</v>
      </c>
      <c r="AB13" s="287"/>
      <c r="AC13" s="290"/>
      <c r="AD13" s="283" t="str">
        <f>VLOOKUP(B13,'HC Arrow'!C:G,5,0)</f>
        <v>S1</v>
      </c>
    </row>
    <row r="14" spans="1:30">
      <c r="A14" s="256">
        <f>ROWS($B$5:B12)</f>
        <v>8</v>
      </c>
      <c r="B14" s="256" t="s">
        <v>1754</v>
      </c>
      <c r="C14" s="256" t="s">
        <v>999</v>
      </c>
      <c r="D14" s="256" t="s">
        <v>1309</v>
      </c>
      <c r="E14" s="256" t="s">
        <v>1178</v>
      </c>
      <c r="F14" s="256" t="s">
        <v>232</v>
      </c>
      <c r="G14" s="290">
        <v>46159</v>
      </c>
      <c r="H14" s="236" t="b">
        <v>1</v>
      </c>
      <c r="I14" s="236" t="b">
        <v>1</v>
      </c>
      <c r="J14" s="236" t="b">
        <v>1</v>
      </c>
      <c r="K14" s="236" t="b">
        <v>1</v>
      </c>
      <c r="L14" s="236" t="b">
        <v>0</v>
      </c>
      <c r="M14" s="236" t="b">
        <v>0</v>
      </c>
      <c r="N14" s="236" t="b">
        <v>0</v>
      </c>
      <c r="O14" s="236" t="b">
        <v>0</v>
      </c>
      <c r="P14" s="236" t="b">
        <v>0</v>
      </c>
      <c r="Q14" s="236" t="b">
        <v>0</v>
      </c>
      <c r="R14" s="236" t="b">
        <v>0</v>
      </c>
      <c r="S14" s="236" t="b">
        <v>0</v>
      </c>
      <c r="T14" s="236" t="b">
        <v>0</v>
      </c>
      <c r="U14" s="236" t="b">
        <v>0</v>
      </c>
      <c r="V14" s="236" t="b">
        <v>0</v>
      </c>
      <c r="W14" s="236" t="b">
        <v>0</v>
      </c>
      <c r="X14" s="236" t="b">
        <v>0</v>
      </c>
      <c r="Y14" s="236" t="b">
        <v>0</v>
      </c>
      <c r="Z14" s="236" t="b">
        <v>1</v>
      </c>
      <c r="AA14" s="256" t="str" cm="1">
        <f t="array" ref="AA14">IF(SUMPRODUCT((Cert_Matrix!$A$44:$A$57=E14)*(Cert_Matrix!$BI$44:$BY$57="X")*(H14:X14=TRUE))&lt;SUMPRODUCT((Cert_Matrix!$A$44:$A$57=E14)*(Cert_Matrix!$BI$44:$BY$57="X")),"Thiếu chứng nhận","Đủ điều kiện")</f>
        <v>Đủ điều kiện</v>
      </c>
      <c r="AB14" s="287"/>
      <c r="AC14" s="290"/>
      <c r="AD14" s="283" t="str">
        <f>VLOOKUP(B14,'HC Arrow'!C:G,5,0)</f>
        <v>S1</v>
      </c>
    </row>
    <row r="15" spans="1:30">
      <c r="A15" s="256">
        <f>ROWS($B$5:B13)</f>
        <v>9</v>
      </c>
      <c r="B15" s="256" t="s">
        <v>1755</v>
      </c>
      <c r="C15" s="256" t="s">
        <v>960</v>
      </c>
      <c r="D15" s="256" t="s">
        <v>1309</v>
      </c>
      <c r="E15" s="256" t="s">
        <v>1178</v>
      </c>
      <c r="F15" s="256" t="s">
        <v>232</v>
      </c>
      <c r="G15" s="290">
        <v>46159</v>
      </c>
      <c r="H15" s="236" t="b">
        <v>0</v>
      </c>
      <c r="I15" s="236" t="b">
        <v>0</v>
      </c>
      <c r="J15" s="236" t="b">
        <v>0</v>
      </c>
      <c r="K15" s="236" t="b">
        <v>1</v>
      </c>
      <c r="L15" s="236" t="b">
        <v>1</v>
      </c>
      <c r="M15" s="236" t="b">
        <v>1</v>
      </c>
      <c r="N15" s="236" t="b">
        <v>0</v>
      </c>
      <c r="O15" s="236" t="b">
        <v>0</v>
      </c>
      <c r="P15" s="236" t="b">
        <v>1</v>
      </c>
      <c r="Q15" s="236" t="b">
        <v>0</v>
      </c>
      <c r="R15" s="236" t="b">
        <v>0</v>
      </c>
      <c r="S15" s="236" t="b">
        <v>0</v>
      </c>
      <c r="T15" s="236" t="b">
        <v>0</v>
      </c>
      <c r="U15" s="236" t="b">
        <v>0</v>
      </c>
      <c r="V15" s="236" t="b">
        <v>0</v>
      </c>
      <c r="W15" s="236" t="b">
        <v>0</v>
      </c>
      <c r="X15" s="236" t="b">
        <v>0</v>
      </c>
      <c r="Y15" s="236" t="b">
        <v>1</v>
      </c>
      <c r="Z15" s="236" t="b">
        <v>0</v>
      </c>
      <c r="AA15" s="256" t="str" cm="1">
        <f t="array" ref="AA15">IF(SUMPRODUCT((Cert_Matrix!$A$44:$A$57=E15)*(Cert_Matrix!$BI$44:$BY$57="X")*(H15:X15=TRUE))&lt;SUMPRODUCT((Cert_Matrix!$A$44:$A$57=E15)*(Cert_Matrix!$BI$44:$BY$57="X")),"Thiếu chứng nhận","Đủ điều kiện")</f>
        <v>Đủ điều kiện</v>
      </c>
      <c r="AB15" s="287"/>
      <c r="AC15" s="290"/>
      <c r="AD15" s="283" t="str">
        <f>VLOOKUP(B15,'HC Arrow'!C:G,5,0)</f>
        <v>S1</v>
      </c>
    </row>
    <row r="16" spans="1:30">
      <c r="A16" s="256">
        <f>ROWS($B$5:B14)</f>
        <v>10</v>
      </c>
      <c r="B16" s="256" t="s">
        <v>1756</v>
      </c>
      <c r="C16" s="256" t="s">
        <v>863</v>
      </c>
      <c r="D16" s="256" t="s">
        <v>1751</v>
      </c>
      <c r="E16" s="256" t="s">
        <v>1153</v>
      </c>
      <c r="F16" s="256" t="s">
        <v>232</v>
      </c>
      <c r="G16" s="290"/>
      <c r="H16" s="236" t="b">
        <v>0</v>
      </c>
      <c r="I16" s="236" t="b">
        <v>0</v>
      </c>
      <c r="J16" s="236" t="b">
        <v>1</v>
      </c>
      <c r="K16" s="236" t="b">
        <v>1</v>
      </c>
      <c r="L16" s="236" t="b">
        <v>0</v>
      </c>
      <c r="M16" s="236" t="b">
        <v>1</v>
      </c>
      <c r="N16" s="236" t="b">
        <v>0</v>
      </c>
      <c r="O16" s="236" t="b">
        <v>0</v>
      </c>
      <c r="P16" s="236" t="b">
        <v>1</v>
      </c>
      <c r="Q16" s="236" t="b">
        <v>1</v>
      </c>
      <c r="R16" s="236" t="b">
        <v>0</v>
      </c>
      <c r="S16" s="236" t="b">
        <v>0</v>
      </c>
      <c r="T16" s="236" t="b">
        <v>0</v>
      </c>
      <c r="U16" s="236" t="b">
        <v>0</v>
      </c>
      <c r="V16" s="236" t="b">
        <v>0</v>
      </c>
      <c r="W16" s="236" t="b">
        <v>0</v>
      </c>
      <c r="X16" s="236" t="b">
        <v>0</v>
      </c>
      <c r="Y16" s="236" t="b">
        <v>1</v>
      </c>
      <c r="Z16" s="236" t="b">
        <v>0</v>
      </c>
      <c r="AA16" s="256" t="str" cm="1">
        <f t="array" ref="AA16">IF(SUMPRODUCT((Cert_Matrix!$A$44:$A$57=E16)*(Cert_Matrix!$BI$44:$BY$57="X")*(H16:X16=TRUE))&lt;SUMPRODUCT((Cert_Matrix!$A$44:$A$57=E16)*(Cert_Matrix!$BI$44:$BY$57="X")),"Thiếu chứng nhận","Đủ điều kiện")</f>
        <v>Đủ điều kiện</v>
      </c>
      <c r="AB16" s="287"/>
      <c r="AC16" s="290"/>
      <c r="AD16" s="283" t="str">
        <f>VLOOKUP(B16,'HC Arrow'!C:G,5,0)</f>
        <v>S1</v>
      </c>
    </row>
    <row r="17" spans="1:30">
      <c r="A17" s="256">
        <f>ROWS($B$5:B15)</f>
        <v>11</v>
      </c>
      <c r="B17" s="256" t="s">
        <v>1757</v>
      </c>
      <c r="C17" s="256" t="s">
        <v>1758</v>
      </c>
      <c r="D17" s="256" t="s">
        <v>1759</v>
      </c>
      <c r="E17" s="256" t="s">
        <v>1177</v>
      </c>
      <c r="F17" s="256" t="s">
        <v>232</v>
      </c>
      <c r="G17" s="290">
        <v>46159</v>
      </c>
      <c r="H17" s="236" t="b">
        <v>1</v>
      </c>
      <c r="I17" s="236" t="b">
        <v>1</v>
      </c>
      <c r="J17" s="236" t="b">
        <v>1</v>
      </c>
      <c r="K17" s="236" t="b">
        <v>0</v>
      </c>
      <c r="L17" s="236" t="b">
        <v>0</v>
      </c>
      <c r="M17" s="236" t="b">
        <v>0</v>
      </c>
      <c r="N17" s="236" t="b">
        <v>0</v>
      </c>
      <c r="O17" s="236" t="b">
        <v>0</v>
      </c>
      <c r="P17" s="236" t="b">
        <v>0</v>
      </c>
      <c r="Q17" s="236" t="b">
        <v>0</v>
      </c>
      <c r="R17" s="236" t="b">
        <v>0</v>
      </c>
      <c r="S17" s="236" t="b">
        <v>0</v>
      </c>
      <c r="T17" s="236" t="b">
        <v>0</v>
      </c>
      <c r="U17" s="236" t="b">
        <v>0</v>
      </c>
      <c r="V17" s="236" t="b">
        <v>0</v>
      </c>
      <c r="W17" s="236" t="b">
        <v>0</v>
      </c>
      <c r="X17" s="236" t="b">
        <v>0</v>
      </c>
      <c r="Y17" s="236" t="b">
        <v>1</v>
      </c>
      <c r="Z17" s="236" t="b">
        <v>1</v>
      </c>
      <c r="AA17" s="256" t="str" cm="1">
        <f t="array" ref="AA17">IF(SUMPRODUCT((Cert_Matrix!$A$44:$A$57=E17)*(Cert_Matrix!$BI$44:$BY$57="X")*(H17:X17=TRUE))&lt;SUMPRODUCT((Cert_Matrix!$A$44:$A$57=E17)*(Cert_Matrix!$BI$44:$BY$57="X")),"Thiếu chứng nhận","Đủ điều kiện")</f>
        <v>Đủ điều kiện</v>
      </c>
      <c r="AB17" s="287"/>
      <c r="AC17" s="290"/>
      <c r="AD17" s="283" t="str">
        <f>VLOOKUP(B17,'HC Arrow'!C:G,5,0)</f>
        <v>S1</v>
      </c>
    </row>
    <row r="18" spans="1:30">
      <c r="A18" s="256">
        <f>ROWS($B$5:B16)</f>
        <v>12</v>
      </c>
      <c r="B18" s="256" t="s">
        <v>1760</v>
      </c>
      <c r="C18" s="256" t="s">
        <v>1761</v>
      </c>
      <c r="D18" s="256" t="s">
        <v>1305</v>
      </c>
      <c r="E18" s="256" t="s">
        <v>1179</v>
      </c>
      <c r="F18" s="256" t="s">
        <v>232</v>
      </c>
      <c r="G18" s="290">
        <v>46125</v>
      </c>
      <c r="H18" s="236" t="b">
        <v>0</v>
      </c>
      <c r="I18" s="236" t="b">
        <v>0</v>
      </c>
      <c r="J18" s="236" t="b">
        <v>0</v>
      </c>
      <c r="K18" s="236" t="b">
        <v>1</v>
      </c>
      <c r="L18" s="236" t="b">
        <v>1</v>
      </c>
      <c r="M18" s="236" t="b">
        <v>1</v>
      </c>
      <c r="N18" s="236" t="b">
        <v>0</v>
      </c>
      <c r="O18" s="236" t="b">
        <v>0</v>
      </c>
      <c r="P18" s="236" t="b">
        <v>1</v>
      </c>
      <c r="Q18" s="236" t="b">
        <v>0</v>
      </c>
      <c r="R18" s="236" t="b">
        <v>0</v>
      </c>
      <c r="S18" s="236" t="b">
        <v>0</v>
      </c>
      <c r="T18" s="236" t="b">
        <v>0</v>
      </c>
      <c r="U18" s="236" t="b">
        <v>0</v>
      </c>
      <c r="V18" s="236" t="b">
        <v>0</v>
      </c>
      <c r="W18" s="236" t="b">
        <v>0</v>
      </c>
      <c r="X18" s="236" t="b">
        <v>0</v>
      </c>
      <c r="Y18" s="236" t="b">
        <v>1</v>
      </c>
      <c r="Z18" s="236" t="b">
        <v>1</v>
      </c>
      <c r="AA18" s="256" t="str" cm="1">
        <f t="array" ref="AA18">IF(SUMPRODUCT((Cert_Matrix!$A$44:$A$57=E18)*(Cert_Matrix!$BI$44:$BY$57="X")*(H18:X18=TRUE))&lt;SUMPRODUCT((Cert_Matrix!$A$44:$A$57=E18)*(Cert_Matrix!$BI$44:$BY$57="X")),"Thiếu chứng nhận","Đủ điều kiện")</f>
        <v>Đủ điều kiện</v>
      </c>
      <c r="AB18" s="287"/>
      <c r="AC18" s="290"/>
      <c r="AD18" s="283" t="str">
        <f>VLOOKUP(B18,'HC Arrow'!C:G,5,0)</f>
        <v>S1</v>
      </c>
    </row>
    <row r="19" spans="1:30">
      <c r="A19" s="256">
        <f>ROWS($B$5:B17)</f>
        <v>13</v>
      </c>
      <c r="B19" s="256" t="s">
        <v>1762</v>
      </c>
      <c r="C19" s="256" t="s">
        <v>235</v>
      </c>
      <c r="D19" s="256" t="s">
        <v>1225</v>
      </c>
      <c r="E19" s="256" t="s">
        <v>1179</v>
      </c>
      <c r="F19" s="256" t="s">
        <v>232</v>
      </c>
      <c r="G19" s="290">
        <v>46125</v>
      </c>
      <c r="H19" s="236" t="b">
        <v>0</v>
      </c>
      <c r="I19" s="236" t="b">
        <v>0</v>
      </c>
      <c r="J19" s="236" t="b">
        <v>0</v>
      </c>
      <c r="K19" s="236" t="b">
        <v>0</v>
      </c>
      <c r="L19" s="236" t="b">
        <v>1</v>
      </c>
      <c r="M19" s="236" t="b">
        <v>1</v>
      </c>
      <c r="N19" s="236" t="b">
        <v>0</v>
      </c>
      <c r="O19" s="236" t="b">
        <v>1</v>
      </c>
      <c r="P19" s="236" t="b">
        <v>0</v>
      </c>
      <c r="Q19" s="236" t="b">
        <v>0</v>
      </c>
      <c r="R19" s="236" t="b">
        <v>1</v>
      </c>
      <c r="S19" s="236" t="b">
        <v>0</v>
      </c>
      <c r="T19" s="236" t="b">
        <v>0</v>
      </c>
      <c r="U19" s="236" t="b">
        <v>0</v>
      </c>
      <c r="V19" s="236" t="b">
        <v>0</v>
      </c>
      <c r="W19" s="236" t="b">
        <v>0</v>
      </c>
      <c r="X19" s="236" t="b">
        <v>0</v>
      </c>
      <c r="Y19" s="236" t="b">
        <v>1</v>
      </c>
      <c r="Z19" s="236" t="b">
        <v>0</v>
      </c>
      <c r="AA19" s="256" t="str" cm="1">
        <f t="array" ref="AA19">IF(SUMPRODUCT((Cert_Matrix!$A$44:$A$57=E19)*(Cert_Matrix!$BI$44:$BY$57="X")*(H19:X19=TRUE))&lt;SUMPRODUCT((Cert_Matrix!$A$44:$A$57=E19)*(Cert_Matrix!$BI$44:$BY$57="X")),"Thiếu chứng nhận","Đủ điều kiện")</f>
        <v>Đủ điều kiện</v>
      </c>
      <c r="AB19" s="287"/>
      <c r="AC19" s="290"/>
      <c r="AD19" s="283" t="str">
        <f>VLOOKUP(B19,'HC Arrow'!C:G,5,0)</f>
        <v>S2</v>
      </c>
    </row>
    <row r="20" spans="1:30">
      <c r="A20" s="256">
        <f>ROWS($B$5:B18)</f>
        <v>14</v>
      </c>
      <c r="B20" s="256" t="s">
        <v>1763</v>
      </c>
      <c r="C20" s="256" t="s">
        <v>1764</v>
      </c>
      <c r="D20" s="256" t="s">
        <v>1309</v>
      </c>
      <c r="E20" s="256" t="s">
        <v>1178</v>
      </c>
      <c r="F20" s="256" t="s">
        <v>232</v>
      </c>
      <c r="G20" s="290"/>
      <c r="H20" s="236" t="b">
        <v>0</v>
      </c>
      <c r="I20" s="236" t="b">
        <v>0</v>
      </c>
      <c r="J20" s="236" t="b">
        <v>0</v>
      </c>
      <c r="K20" s="236" t="b">
        <v>1</v>
      </c>
      <c r="L20" s="236" t="b">
        <v>0</v>
      </c>
      <c r="M20" s="236" t="b">
        <v>0</v>
      </c>
      <c r="N20" s="236" t="b">
        <v>0</v>
      </c>
      <c r="O20" s="236" t="b">
        <v>0</v>
      </c>
      <c r="P20" s="236" t="b">
        <v>0</v>
      </c>
      <c r="Q20" s="236" t="b">
        <v>0</v>
      </c>
      <c r="R20" s="236" t="b">
        <v>0</v>
      </c>
      <c r="S20" s="236" t="b">
        <v>0</v>
      </c>
      <c r="T20" s="236" t="b">
        <v>0</v>
      </c>
      <c r="U20" s="236" t="b">
        <v>0</v>
      </c>
      <c r="V20" s="236" t="b">
        <v>0</v>
      </c>
      <c r="W20" s="236" t="b">
        <v>0</v>
      </c>
      <c r="X20" s="236" t="b">
        <v>0</v>
      </c>
      <c r="Y20" s="236" t="b">
        <v>1</v>
      </c>
      <c r="Z20" s="236" t="b">
        <v>0</v>
      </c>
      <c r="AA20" s="256" t="str" cm="1">
        <f t="array" ref="AA20">IF(SUMPRODUCT((Cert_Matrix!$A$44:$A$57=E20)*(Cert_Matrix!$BI$44:$BY$57="X")*(H20:X20=TRUE))&lt;SUMPRODUCT((Cert_Matrix!$A$44:$A$57=E20)*(Cert_Matrix!$BI$44:$BY$57="X")),"Thiếu chứng nhận","Đủ điều kiện")</f>
        <v>Đủ điều kiện</v>
      </c>
      <c r="AB20" s="287"/>
      <c r="AC20" s="290"/>
      <c r="AD20" s="283" t="str">
        <f>VLOOKUP(B20,'HC Arrow'!C:G,5,0)</f>
        <v>S1</v>
      </c>
    </row>
    <row r="21" spans="1:30">
      <c r="A21" s="256">
        <f>ROWS($B$5:B19)</f>
        <v>15</v>
      </c>
      <c r="B21" s="256" t="s">
        <v>1765</v>
      </c>
      <c r="C21" s="256" t="s">
        <v>699</v>
      </c>
      <c r="D21" s="256" t="s">
        <v>1225</v>
      </c>
      <c r="E21" s="256" t="s">
        <v>1151</v>
      </c>
      <c r="F21" s="256" t="s">
        <v>232</v>
      </c>
      <c r="G21" s="290">
        <v>46118</v>
      </c>
      <c r="H21" s="236" t="b">
        <v>0</v>
      </c>
      <c r="I21" s="236" t="b">
        <v>0</v>
      </c>
      <c r="J21" s="236" t="b">
        <v>1</v>
      </c>
      <c r="K21" s="236" t="b">
        <v>0</v>
      </c>
      <c r="L21" s="236" t="b">
        <v>0</v>
      </c>
      <c r="M21" s="236" t="b">
        <v>0</v>
      </c>
      <c r="N21" s="236" t="b">
        <v>0</v>
      </c>
      <c r="O21" s="236" t="b">
        <v>0</v>
      </c>
      <c r="P21" s="236" t="b">
        <v>1</v>
      </c>
      <c r="Q21" s="236" t="b">
        <v>1</v>
      </c>
      <c r="R21" s="236" t="b">
        <v>0</v>
      </c>
      <c r="S21" s="236" t="b">
        <v>0</v>
      </c>
      <c r="T21" s="236" t="b">
        <v>0</v>
      </c>
      <c r="U21" s="236" t="b">
        <v>0</v>
      </c>
      <c r="V21" s="236" t="b">
        <v>0</v>
      </c>
      <c r="W21" s="236" t="b">
        <v>1</v>
      </c>
      <c r="X21" s="236" t="b">
        <v>0</v>
      </c>
      <c r="Y21" s="236" t="b">
        <v>1</v>
      </c>
      <c r="Z21" s="236" t="b">
        <v>1</v>
      </c>
      <c r="AA21" s="256" t="str" cm="1">
        <f t="array" ref="AA21">IF(SUMPRODUCT((Cert_Matrix!$A$44:$A$57=E21)*(Cert_Matrix!$BI$44:$BY$57="X")*(H21:X21=TRUE))&lt;SUMPRODUCT((Cert_Matrix!$A$44:$A$57=E21)*(Cert_Matrix!$BI$44:$BY$57="X")),"Thiếu chứng nhận","Đủ điều kiện")</f>
        <v>Đủ điều kiện</v>
      </c>
      <c r="AB21" s="287"/>
      <c r="AC21" s="290"/>
      <c r="AD21" s="283" t="str">
        <f>VLOOKUP(B21,'HC Arrow'!C:G,5,0)</f>
        <v>S1</v>
      </c>
    </row>
    <row r="22" spans="1:30">
      <c r="A22" s="256">
        <f>ROWS($B$5:B20)</f>
        <v>16</v>
      </c>
      <c r="B22" s="256" t="s">
        <v>1766</v>
      </c>
      <c r="C22" s="256" t="s">
        <v>1767</v>
      </c>
      <c r="D22" s="256" t="s">
        <v>1225</v>
      </c>
      <c r="E22" s="256" t="s">
        <v>1152</v>
      </c>
      <c r="F22" s="256" t="s">
        <v>232</v>
      </c>
      <c r="G22" s="290">
        <v>46159</v>
      </c>
      <c r="H22" s="236" t="b">
        <v>0</v>
      </c>
      <c r="I22" s="236" t="b">
        <v>0</v>
      </c>
      <c r="J22" s="236" t="b">
        <v>0</v>
      </c>
      <c r="K22" s="236" t="b">
        <v>0</v>
      </c>
      <c r="L22" s="236" t="b">
        <v>0</v>
      </c>
      <c r="M22" s="236" t="b">
        <v>0</v>
      </c>
      <c r="N22" s="236" t="b">
        <v>0</v>
      </c>
      <c r="O22" s="236" t="b">
        <v>1</v>
      </c>
      <c r="P22" s="236" t="b">
        <v>0</v>
      </c>
      <c r="Q22" s="236" t="b">
        <v>0</v>
      </c>
      <c r="R22" s="236" t="b">
        <v>1</v>
      </c>
      <c r="S22" s="236" t="b">
        <v>0</v>
      </c>
      <c r="T22" s="236" t="b">
        <v>0</v>
      </c>
      <c r="U22" s="236" t="b">
        <v>0</v>
      </c>
      <c r="V22" s="236" t="b">
        <v>0</v>
      </c>
      <c r="W22" s="236" t="b">
        <v>1</v>
      </c>
      <c r="X22" s="236" t="b">
        <v>0</v>
      </c>
      <c r="Y22" s="236" t="b">
        <v>1</v>
      </c>
      <c r="Z22" s="236" t="b">
        <v>1</v>
      </c>
      <c r="AA22" s="256" t="str" cm="1">
        <f t="array" ref="AA22">IF(SUMPRODUCT((Cert_Matrix!$A$44:$A$57=E22)*(Cert_Matrix!$BI$44:$BY$57="X")*(H22:X22=TRUE))&lt;SUMPRODUCT((Cert_Matrix!$A$44:$A$57=E22)*(Cert_Matrix!$BI$44:$BY$57="X")),"Thiếu chứng nhận","Đủ điều kiện")</f>
        <v>Đủ điều kiện</v>
      </c>
      <c r="AB22" s="287"/>
      <c r="AC22" s="290"/>
      <c r="AD22" s="283" t="str">
        <f>VLOOKUP(B22,'HC Arrow'!C:G,5,0)</f>
        <v>S1</v>
      </c>
    </row>
    <row r="23" spans="1:30">
      <c r="A23" s="256">
        <f>ROWS($B$5:B21)</f>
        <v>17</v>
      </c>
      <c r="B23" s="256" t="s">
        <v>1768</v>
      </c>
      <c r="C23" s="256" t="s">
        <v>1769</v>
      </c>
      <c r="D23" s="256" t="s">
        <v>1225</v>
      </c>
      <c r="E23" s="256" t="s">
        <v>1179</v>
      </c>
      <c r="F23" s="256" t="s">
        <v>232</v>
      </c>
      <c r="G23" s="290">
        <v>46169</v>
      </c>
      <c r="H23" s="236" t="b">
        <v>0</v>
      </c>
      <c r="I23" s="236" t="b">
        <v>0</v>
      </c>
      <c r="J23" s="236" t="b">
        <v>0</v>
      </c>
      <c r="K23" s="236" t="b">
        <v>0</v>
      </c>
      <c r="L23" s="236" t="b">
        <v>1</v>
      </c>
      <c r="M23" s="236" t="b">
        <v>0</v>
      </c>
      <c r="N23" s="236" t="b">
        <v>0</v>
      </c>
      <c r="O23" s="236" t="b">
        <v>1</v>
      </c>
      <c r="P23" s="236" t="b">
        <v>0</v>
      </c>
      <c r="Q23" s="236" t="b">
        <v>0</v>
      </c>
      <c r="R23" s="236" t="b">
        <v>0</v>
      </c>
      <c r="S23" s="236" t="b">
        <v>0</v>
      </c>
      <c r="T23" s="236" t="b">
        <v>0</v>
      </c>
      <c r="U23" s="236" t="b">
        <v>0</v>
      </c>
      <c r="V23" s="236" t="b">
        <v>0</v>
      </c>
      <c r="W23" s="236" t="b">
        <v>0</v>
      </c>
      <c r="X23" s="236" t="b">
        <v>0</v>
      </c>
      <c r="Y23" s="236" t="b">
        <v>1</v>
      </c>
      <c r="Z23" s="236" t="b">
        <v>1</v>
      </c>
      <c r="AA23" s="256" t="str" cm="1">
        <f t="array" ref="AA23">IF(SUMPRODUCT((Cert_Matrix!$A$44:$A$57=E23)*(Cert_Matrix!$BI$44:$BY$57="X")*(H23:X23=TRUE))&lt;SUMPRODUCT((Cert_Matrix!$A$44:$A$57=E23)*(Cert_Matrix!$BI$44:$BY$57="X")),"Thiếu chứng nhận","Đủ điều kiện")</f>
        <v>Đủ điều kiện</v>
      </c>
      <c r="AB23" s="287"/>
      <c r="AC23" s="290"/>
      <c r="AD23" s="283" t="str">
        <f>VLOOKUP(B23,'HC Arrow'!C:G,5,0)</f>
        <v>S1</v>
      </c>
    </row>
    <row r="24" spans="1:30">
      <c r="A24" s="256">
        <f>ROWS($B$5:B22)</f>
        <v>18</v>
      </c>
      <c r="B24" s="256" t="s">
        <v>1770</v>
      </c>
      <c r="C24" s="256" t="s">
        <v>1771</v>
      </c>
      <c r="D24" s="256" t="s">
        <v>1225</v>
      </c>
      <c r="E24" s="256" t="s">
        <v>1180</v>
      </c>
      <c r="F24" s="256" t="s">
        <v>232</v>
      </c>
      <c r="G24" s="290">
        <v>46132</v>
      </c>
      <c r="H24" s="236" t="b">
        <v>0</v>
      </c>
      <c r="I24" s="236" t="b">
        <v>0</v>
      </c>
      <c r="J24" s="236" t="b">
        <v>0</v>
      </c>
      <c r="K24" s="236" t="b">
        <v>0</v>
      </c>
      <c r="L24" s="236" t="b">
        <v>0</v>
      </c>
      <c r="M24" s="236" t="b">
        <v>0</v>
      </c>
      <c r="N24" s="236" t="b">
        <v>0</v>
      </c>
      <c r="O24" s="236" t="b">
        <v>1</v>
      </c>
      <c r="P24" s="236" t="b">
        <v>0</v>
      </c>
      <c r="Q24" s="236" t="b">
        <v>0</v>
      </c>
      <c r="R24" s="236" t="b">
        <v>0</v>
      </c>
      <c r="S24" s="236" t="b">
        <v>1</v>
      </c>
      <c r="T24" s="236" t="b">
        <v>0</v>
      </c>
      <c r="U24" s="236" t="b">
        <v>0</v>
      </c>
      <c r="V24" s="236" t="b">
        <v>0</v>
      </c>
      <c r="W24" s="236" t="b">
        <v>1</v>
      </c>
      <c r="X24" s="236" t="b">
        <v>0</v>
      </c>
      <c r="Y24" s="236" t="b">
        <v>0</v>
      </c>
      <c r="Z24" s="236" t="b">
        <v>1</v>
      </c>
      <c r="AA24" s="256" t="str" cm="1">
        <f t="array" ref="AA24">IF(SUMPRODUCT((Cert_Matrix!$A$44:$A$57=E24)*(Cert_Matrix!$BI$44:$BY$57="X")*(H24:X24=TRUE))&lt;SUMPRODUCT((Cert_Matrix!$A$44:$A$57=E24)*(Cert_Matrix!$BI$44:$BY$57="X")),"Thiếu chứng nhận","Đủ điều kiện")</f>
        <v>Đủ điều kiện</v>
      </c>
      <c r="AB24" s="287"/>
      <c r="AC24" s="290"/>
      <c r="AD24" s="283" t="str">
        <f>VLOOKUP(B24,'HC Arrow'!C:G,5,0)</f>
        <v>S1</v>
      </c>
    </row>
    <row r="25" spans="1:30">
      <c r="A25" s="256">
        <f>ROWS($B$5:B23)</f>
        <v>19</v>
      </c>
      <c r="B25" s="256" t="s">
        <v>124</v>
      </c>
      <c r="C25" s="256" t="s">
        <v>125</v>
      </c>
      <c r="D25" s="256" t="s">
        <v>1292</v>
      </c>
      <c r="E25" s="256" t="s">
        <v>1177</v>
      </c>
      <c r="F25" s="256" t="s">
        <v>232</v>
      </c>
      <c r="G25" s="290"/>
      <c r="H25" s="236" t="b">
        <v>1</v>
      </c>
      <c r="I25" s="236" t="b">
        <v>1</v>
      </c>
      <c r="J25" s="236" t="b">
        <v>1</v>
      </c>
      <c r="K25" s="236" t="b">
        <v>1</v>
      </c>
      <c r="L25" s="236" t="b">
        <v>1</v>
      </c>
      <c r="M25" s="236" t="b">
        <v>1</v>
      </c>
      <c r="N25" s="236" t="b">
        <v>0</v>
      </c>
      <c r="O25" s="236" t="b">
        <v>1</v>
      </c>
      <c r="P25" s="236" t="b">
        <v>1</v>
      </c>
      <c r="Q25" s="236" t="b">
        <v>0</v>
      </c>
      <c r="R25" s="236" t="b">
        <v>0</v>
      </c>
      <c r="S25" s="236" t="b">
        <v>0</v>
      </c>
      <c r="T25" s="236" t="b">
        <v>0</v>
      </c>
      <c r="U25" s="236" t="b">
        <v>0</v>
      </c>
      <c r="V25" s="236" t="b">
        <v>0</v>
      </c>
      <c r="W25" s="236" t="b">
        <v>0</v>
      </c>
      <c r="X25" s="236" t="b">
        <v>0</v>
      </c>
      <c r="Y25" s="236" t="b">
        <v>1</v>
      </c>
      <c r="Z25" s="236" t="b">
        <v>1</v>
      </c>
      <c r="AA25" s="256" t="str" cm="1">
        <f t="array" ref="AA25">IF(SUMPRODUCT((Cert_Matrix!$A$44:$A$57=E25)*(Cert_Matrix!$BI$44:$BY$57="X")*(H25:X25=TRUE))&lt;SUMPRODUCT((Cert_Matrix!$A$44:$A$57=E25)*(Cert_Matrix!$BI$44:$BY$57="X")),"Thiếu chứng nhận","Đủ điều kiện")</f>
        <v>Đủ điều kiện</v>
      </c>
      <c r="AB25" s="287"/>
      <c r="AC25" s="290"/>
      <c r="AD25" s="283" t="str">
        <f>VLOOKUP(B25,'HC Arrow'!C:G,5,0)</f>
        <v>S2</v>
      </c>
    </row>
    <row r="26" spans="1:30">
      <c r="A26" s="256">
        <f>ROWS($B$5:B24)</f>
        <v>20</v>
      </c>
      <c r="B26" s="256" t="s">
        <v>243</v>
      </c>
      <c r="C26" s="256" t="s">
        <v>244</v>
      </c>
      <c r="D26" s="256" t="s">
        <v>1305</v>
      </c>
      <c r="E26" s="256" t="s">
        <v>1179</v>
      </c>
      <c r="F26" s="256" t="s">
        <v>232</v>
      </c>
      <c r="G26" s="290"/>
      <c r="H26" s="236" t="b">
        <v>0</v>
      </c>
      <c r="I26" s="236" t="b">
        <v>0</v>
      </c>
      <c r="J26" s="236" t="b">
        <v>0</v>
      </c>
      <c r="K26" s="236" t="b">
        <v>1</v>
      </c>
      <c r="L26" s="236" t="b">
        <v>1</v>
      </c>
      <c r="M26" s="236" t="b">
        <v>1</v>
      </c>
      <c r="N26" s="236" t="b">
        <v>0</v>
      </c>
      <c r="O26" s="236" t="b">
        <v>0</v>
      </c>
      <c r="P26" s="236" t="b">
        <v>0</v>
      </c>
      <c r="Q26" s="236" t="b">
        <v>0</v>
      </c>
      <c r="R26" s="236" t="b">
        <v>0</v>
      </c>
      <c r="S26" s="236" t="b">
        <v>0</v>
      </c>
      <c r="T26" s="236" t="b">
        <v>0</v>
      </c>
      <c r="U26" s="236" t="b">
        <v>0</v>
      </c>
      <c r="V26" s="236" t="b">
        <v>0</v>
      </c>
      <c r="W26" s="236" t="b">
        <v>0</v>
      </c>
      <c r="X26" s="236" t="b">
        <v>0</v>
      </c>
      <c r="Y26" s="236" t="b">
        <v>1</v>
      </c>
      <c r="Z26" s="236" t="b">
        <v>0</v>
      </c>
      <c r="AA26" s="256" t="str" cm="1">
        <f t="array" ref="AA26">IF(SUMPRODUCT((Cert_Matrix!$A$44:$A$57=E26)*(Cert_Matrix!$BI$44:$BY$57="X")*(H26:X26=TRUE))&lt;SUMPRODUCT((Cert_Matrix!$A$44:$A$57=E26)*(Cert_Matrix!$BI$44:$BY$57="X")),"Thiếu chứng nhận","Đủ điều kiện")</f>
        <v>Đủ điều kiện</v>
      </c>
      <c r="AB26" s="287"/>
      <c r="AC26" s="290"/>
      <c r="AD26" s="283" t="str">
        <f>VLOOKUP(B26,'HC Arrow'!C:G,5,0)</f>
        <v>S2</v>
      </c>
    </row>
    <row r="27" spans="1:30">
      <c r="A27" s="256">
        <f>ROWS($B$5:B25)</f>
        <v>21</v>
      </c>
      <c r="B27" s="256" t="s">
        <v>234</v>
      </c>
      <c r="C27" s="256" t="s">
        <v>235</v>
      </c>
      <c r="D27" s="256" t="s">
        <v>1304</v>
      </c>
      <c r="E27" s="256" t="s">
        <v>1178</v>
      </c>
      <c r="F27" s="256" t="s">
        <v>232</v>
      </c>
      <c r="G27" s="290"/>
      <c r="H27" s="236" t="b">
        <v>0</v>
      </c>
      <c r="I27" s="236" t="b">
        <v>0</v>
      </c>
      <c r="J27" s="236" t="b">
        <v>1</v>
      </c>
      <c r="K27" s="236" t="b">
        <v>1</v>
      </c>
      <c r="L27" s="236" t="b">
        <v>0</v>
      </c>
      <c r="M27" s="236" t="b">
        <v>0</v>
      </c>
      <c r="N27" s="236" t="b">
        <v>0</v>
      </c>
      <c r="O27" s="236" t="b">
        <v>0</v>
      </c>
      <c r="P27" s="236" t="b">
        <v>0</v>
      </c>
      <c r="Q27" s="236" t="b">
        <v>0</v>
      </c>
      <c r="R27" s="236" t="b">
        <v>0</v>
      </c>
      <c r="S27" s="236" t="b">
        <v>0</v>
      </c>
      <c r="T27" s="236" t="b">
        <v>0</v>
      </c>
      <c r="U27" s="236" t="b">
        <v>0</v>
      </c>
      <c r="V27" s="236" t="b">
        <v>0</v>
      </c>
      <c r="W27" s="236" t="b">
        <v>0</v>
      </c>
      <c r="X27" s="236" t="b">
        <v>0</v>
      </c>
      <c r="Y27" s="236" t="b">
        <v>1</v>
      </c>
      <c r="Z27" s="236" t="b">
        <v>0</v>
      </c>
      <c r="AA27" s="256" t="str" cm="1">
        <f t="array" ref="AA27">IF(SUMPRODUCT((Cert_Matrix!$A$44:$A$57=E27)*(Cert_Matrix!$BI$44:$BY$57="X")*(H27:X27=TRUE))&lt;SUMPRODUCT((Cert_Matrix!$A$44:$A$57=E27)*(Cert_Matrix!$BI$44:$BY$57="X")),"Thiếu chứng nhận","Đủ điều kiện")</f>
        <v>Đủ điều kiện</v>
      </c>
      <c r="AB27" s="287"/>
      <c r="AC27" s="290"/>
      <c r="AD27" s="283" t="str">
        <f>VLOOKUP(B27,'HC Arrow'!C:G,5,0)</f>
        <v>S2</v>
      </c>
    </row>
    <row r="28" spans="1:30">
      <c r="A28" s="256">
        <f>ROWS($B$5:B26)</f>
        <v>22</v>
      </c>
      <c r="B28" s="256" t="s">
        <v>1772</v>
      </c>
      <c r="C28" s="256" t="s">
        <v>770</v>
      </c>
      <c r="D28" s="256" t="s">
        <v>1749</v>
      </c>
      <c r="E28" s="256" t="s">
        <v>1773</v>
      </c>
      <c r="F28" s="256" t="s">
        <v>232</v>
      </c>
      <c r="G28" s="290">
        <v>46159</v>
      </c>
      <c r="H28" s="236" t="b">
        <v>0</v>
      </c>
      <c r="I28" s="236" t="b">
        <v>0</v>
      </c>
      <c r="J28" s="236" t="b">
        <v>0</v>
      </c>
      <c r="K28" s="236" t="b">
        <v>1</v>
      </c>
      <c r="L28" s="236" t="b">
        <v>0</v>
      </c>
      <c r="M28" s="236" t="b">
        <v>1</v>
      </c>
      <c r="N28" s="236" t="b">
        <v>0</v>
      </c>
      <c r="O28" s="236" t="b">
        <v>0</v>
      </c>
      <c r="P28" s="236" t="b">
        <v>1</v>
      </c>
      <c r="Q28" s="236" t="b">
        <v>0</v>
      </c>
      <c r="R28" s="236" t="b">
        <v>1</v>
      </c>
      <c r="S28" s="236" t="b">
        <v>0</v>
      </c>
      <c r="T28" s="236" t="b">
        <v>0</v>
      </c>
      <c r="U28" s="236" t="b">
        <v>0</v>
      </c>
      <c r="V28" s="236" t="b">
        <v>0</v>
      </c>
      <c r="W28" s="236" t="b">
        <v>0</v>
      </c>
      <c r="X28" s="236" t="b">
        <v>0</v>
      </c>
      <c r="Y28" s="236" t="b">
        <v>1</v>
      </c>
      <c r="Z28" s="236" t="b">
        <v>1</v>
      </c>
      <c r="AA28" s="256" t="str" cm="1">
        <f t="array" ref="AA28">IF(SUMPRODUCT((Cert_Matrix!$A$44:$A$57=E28)*(Cert_Matrix!$BI$44:$BY$57="X")*(H28:X28=TRUE))&lt;SUMPRODUCT((Cert_Matrix!$A$44:$A$57=E28)*(Cert_Matrix!$BI$44:$BY$57="X")),"Thiếu chứng nhận","Đủ điều kiện")</f>
        <v>Đủ điều kiện</v>
      </c>
      <c r="AB28" s="287"/>
      <c r="AC28" s="290"/>
      <c r="AD28" s="283" t="str">
        <f>VLOOKUP(B28,'HC Arrow'!C:G,5,0)</f>
        <v>S1</v>
      </c>
    </row>
    <row r="29" spans="1:30">
      <c r="A29" s="256">
        <f>ROWS($B$5:B27)</f>
        <v>23</v>
      </c>
      <c r="B29" s="256" t="s">
        <v>236</v>
      </c>
      <c r="C29" s="256" t="s">
        <v>237</v>
      </c>
      <c r="D29" s="256" t="s">
        <v>1749</v>
      </c>
      <c r="E29" s="256" t="s">
        <v>1177</v>
      </c>
      <c r="F29" s="256" t="s">
        <v>232</v>
      </c>
      <c r="G29" s="290"/>
      <c r="H29" s="236" t="b">
        <v>0</v>
      </c>
      <c r="I29" s="236" t="b">
        <v>1</v>
      </c>
      <c r="J29" s="236" t="b">
        <v>1</v>
      </c>
      <c r="K29" s="236" t="b">
        <v>1</v>
      </c>
      <c r="L29" s="236" t="b">
        <v>0</v>
      </c>
      <c r="M29" s="236" t="b">
        <v>0</v>
      </c>
      <c r="N29" s="236" t="b">
        <v>0</v>
      </c>
      <c r="O29" s="236" t="b">
        <v>0</v>
      </c>
      <c r="P29" s="236" t="b">
        <v>0</v>
      </c>
      <c r="Q29" s="236" t="b">
        <v>0</v>
      </c>
      <c r="R29" s="236" t="b">
        <v>0</v>
      </c>
      <c r="S29" s="236" t="b">
        <v>0</v>
      </c>
      <c r="T29" s="236" t="b">
        <v>0</v>
      </c>
      <c r="U29" s="236" t="b">
        <v>0</v>
      </c>
      <c r="V29" s="236" t="b">
        <v>0</v>
      </c>
      <c r="W29" s="236" t="b">
        <v>0</v>
      </c>
      <c r="X29" s="236" t="b">
        <v>0</v>
      </c>
      <c r="Y29" s="236" t="b">
        <v>1</v>
      </c>
      <c r="Z29" s="236" t="b">
        <v>0</v>
      </c>
      <c r="AA29" s="256" t="str" cm="1">
        <f t="array" ref="AA29">IF(SUMPRODUCT((Cert_Matrix!$A$44:$A$57=E29)*(Cert_Matrix!$BI$44:$BY$57="X")*(H29:X29=TRUE))&lt;SUMPRODUCT((Cert_Matrix!$A$44:$A$57=E29)*(Cert_Matrix!$BI$44:$BY$57="X")),"Thiếu chứng nhận","Đủ điều kiện")</f>
        <v>Đủ điều kiện</v>
      </c>
      <c r="AB29" s="287"/>
      <c r="AC29" s="290"/>
      <c r="AD29" s="283" t="str">
        <f>VLOOKUP(B29,'HC Arrow'!C:G,5,0)</f>
        <v>S2</v>
      </c>
    </row>
    <row r="30" spans="1:30">
      <c r="A30" s="256">
        <f>ROWS($B$5:B28)</f>
        <v>24</v>
      </c>
      <c r="B30" s="256" t="s">
        <v>1774</v>
      </c>
      <c r="C30" s="256" t="s">
        <v>1775</v>
      </c>
      <c r="D30" s="256" t="s">
        <v>1309</v>
      </c>
      <c r="E30" s="256" t="s">
        <v>1178</v>
      </c>
      <c r="F30" s="256" t="s">
        <v>232</v>
      </c>
      <c r="G30" s="290">
        <v>46134</v>
      </c>
      <c r="H30" s="236" t="b">
        <v>0</v>
      </c>
      <c r="I30" s="236" t="b">
        <v>1</v>
      </c>
      <c r="J30" s="236" t="b">
        <v>0</v>
      </c>
      <c r="K30" s="236" t="b">
        <v>1</v>
      </c>
      <c r="L30" s="236" t="b">
        <v>0</v>
      </c>
      <c r="M30" s="236" t="b">
        <v>0</v>
      </c>
      <c r="N30" s="236" t="b">
        <v>0</v>
      </c>
      <c r="O30" s="236" t="b">
        <v>0</v>
      </c>
      <c r="P30" s="236" t="b">
        <v>0</v>
      </c>
      <c r="Q30" s="236" t="b">
        <v>0</v>
      </c>
      <c r="R30" s="236" t="b">
        <v>0</v>
      </c>
      <c r="S30" s="236" t="b">
        <v>0</v>
      </c>
      <c r="T30" s="236" t="b">
        <v>0</v>
      </c>
      <c r="U30" s="236" t="b">
        <v>0</v>
      </c>
      <c r="V30" s="236" t="b">
        <v>0</v>
      </c>
      <c r="W30" s="236" t="b">
        <v>0</v>
      </c>
      <c r="X30" s="236" t="b">
        <v>0</v>
      </c>
      <c r="Y30" s="236" t="b">
        <v>0</v>
      </c>
      <c r="Z30" s="236" t="b">
        <v>0</v>
      </c>
      <c r="AA30" s="256" t="str" cm="1">
        <f t="array" ref="AA30">IF(SUMPRODUCT((Cert_Matrix!$A$44:$A$57=E30)*(Cert_Matrix!$BI$44:$BY$57="X")*(H30:X30=TRUE))&lt;SUMPRODUCT((Cert_Matrix!$A$44:$A$57=E30)*(Cert_Matrix!$BI$44:$BY$57="X")),"Thiếu chứng nhận","Đủ điều kiện")</f>
        <v>Đủ điều kiện</v>
      </c>
      <c r="AB30" s="287"/>
      <c r="AC30" s="290"/>
      <c r="AD30" s="283" t="str">
        <f>VLOOKUP(B30,'HC Arrow'!C:G,5,0)</f>
        <v>S2</v>
      </c>
    </row>
    <row r="31" spans="1:30">
      <c r="A31" s="256">
        <f>ROWS($B$5:B30)</f>
        <v>26</v>
      </c>
      <c r="B31" s="256" t="s">
        <v>1776</v>
      </c>
      <c r="C31" s="256" t="s">
        <v>962</v>
      </c>
      <c r="D31" s="256" t="s">
        <v>1759</v>
      </c>
      <c r="E31" s="256" t="s">
        <v>1177</v>
      </c>
      <c r="F31" s="256" t="s">
        <v>232</v>
      </c>
      <c r="G31" s="290"/>
      <c r="H31" s="236" t="b">
        <v>0</v>
      </c>
      <c r="I31" s="236" t="b">
        <v>1</v>
      </c>
      <c r="J31" s="236" t="b">
        <v>1</v>
      </c>
      <c r="K31" s="236" t="b">
        <v>0</v>
      </c>
      <c r="L31" s="236" t="b">
        <v>0</v>
      </c>
      <c r="M31" s="236" t="b">
        <v>0</v>
      </c>
      <c r="N31" s="236" t="b">
        <v>0</v>
      </c>
      <c r="O31" s="236" t="b">
        <v>0</v>
      </c>
      <c r="P31" s="236" t="b">
        <v>0</v>
      </c>
      <c r="Q31" s="236" t="b">
        <v>0</v>
      </c>
      <c r="R31" s="236" t="b">
        <v>0</v>
      </c>
      <c r="S31" s="236" t="b">
        <v>0</v>
      </c>
      <c r="T31" s="236" t="b">
        <v>0</v>
      </c>
      <c r="U31" s="236" t="b">
        <v>0</v>
      </c>
      <c r="V31" s="236" t="b">
        <v>0</v>
      </c>
      <c r="W31" s="236" t="b">
        <v>0</v>
      </c>
      <c r="X31" s="236" t="b">
        <v>0</v>
      </c>
      <c r="Y31" s="236" t="b">
        <v>0</v>
      </c>
      <c r="Z31" s="236" t="b">
        <v>0</v>
      </c>
      <c r="AA31" s="256" t="str" cm="1">
        <f t="array" ref="AA31">IF(SUMPRODUCT((Cert_Matrix!$A$44:$A$57=E31)*(Cert_Matrix!$BI$44:$BY$57="X")*(H31:X31=TRUE))&lt;SUMPRODUCT((Cert_Matrix!$A$44:$A$57=E31)*(Cert_Matrix!$BI$44:$BY$57="X")),"Thiếu chứng nhận","Đủ điều kiện")</f>
        <v>Đủ điều kiện</v>
      </c>
      <c r="AB31" s="287"/>
      <c r="AC31" s="290"/>
      <c r="AD31" s="283" t="str">
        <f>VLOOKUP(B31,'HC Arrow'!C:G,5,0)</f>
        <v>S2</v>
      </c>
    </row>
    <row r="32" spans="1:30">
      <c r="A32" s="256">
        <f>ROWS($B$5:B30)</f>
        <v>26</v>
      </c>
      <c r="B32" s="256" t="s">
        <v>1777</v>
      </c>
      <c r="C32" s="256" t="s">
        <v>888</v>
      </c>
      <c r="D32" s="256" t="s">
        <v>1225</v>
      </c>
      <c r="E32" s="256" t="s">
        <v>1177</v>
      </c>
      <c r="F32" s="256" t="s">
        <v>232</v>
      </c>
      <c r="G32" s="290">
        <v>46170</v>
      </c>
      <c r="H32" s="236" t="b">
        <v>1</v>
      </c>
      <c r="I32" s="236" t="b">
        <v>1</v>
      </c>
      <c r="J32" s="236" t="b">
        <v>0</v>
      </c>
      <c r="K32" s="236" t="b">
        <v>1</v>
      </c>
      <c r="L32" s="236" t="b">
        <v>0</v>
      </c>
      <c r="M32" s="236" t="b">
        <v>0</v>
      </c>
      <c r="N32" s="236" t="b">
        <v>0</v>
      </c>
      <c r="O32" s="236" t="b">
        <v>0</v>
      </c>
      <c r="P32" s="236" t="b">
        <v>0</v>
      </c>
      <c r="Q32" s="236" t="b">
        <v>0</v>
      </c>
      <c r="R32" s="236" t="b">
        <v>0</v>
      </c>
      <c r="S32" s="236" t="b">
        <v>0</v>
      </c>
      <c r="T32" s="236" t="b">
        <v>0</v>
      </c>
      <c r="U32" s="236" t="b">
        <v>0</v>
      </c>
      <c r="V32" s="236" t="b">
        <v>0</v>
      </c>
      <c r="W32" s="236" t="b">
        <v>0</v>
      </c>
      <c r="X32" s="236" t="b">
        <v>0</v>
      </c>
      <c r="Y32" s="236" t="b">
        <v>0</v>
      </c>
      <c r="Z32" s="236" t="b">
        <v>0</v>
      </c>
      <c r="AA32" s="256" t="str" cm="1">
        <f t="array" ref="AA32">IF(SUMPRODUCT((Cert_Matrix!$A$44:$A$57=E32)*(Cert_Matrix!$BI$44:$BY$57="X")*(H32:X32=TRUE))&lt;SUMPRODUCT((Cert_Matrix!$A$44:$A$57=E32)*(Cert_Matrix!$BI$44:$BY$57="X")),"Thiếu chứng nhận","Đủ điều kiện")</f>
        <v>Đủ điều kiện</v>
      </c>
      <c r="AB32" s="287"/>
      <c r="AC32" s="290"/>
      <c r="AD32" s="283" t="str">
        <f>VLOOKUP(B32,'HC Arrow'!C:G,5,0)</f>
        <v>S2</v>
      </c>
    </row>
    <row r="33" spans="1:30">
      <c r="A33" s="256">
        <f>ROWS($B$5:B31)</f>
        <v>27</v>
      </c>
      <c r="B33" s="256" t="s">
        <v>1778</v>
      </c>
      <c r="C33" s="256" t="s">
        <v>1779</v>
      </c>
      <c r="D33" s="256" t="s">
        <v>1780</v>
      </c>
      <c r="E33" s="256" t="s">
        <v>1180</v>
      </c>
      <c r="F33" s="256" t="s">
        <v>232</v>
      </c>
      <c r="G33" s="290">
        <v>46152</v>
      </c>
      <c r="H33" s="236" t="b">
        <v>0</v>
      </c>
      <c r="I33" s="236" t="b">
        <v>0</v>
      </c>
      <c r="J33" s="236" t="b">
        <v>0</v>
      </c>
      <c r="K33" s="236" t="b">
        <v>0</v>
      </c>
      <c r="L33" s="236" t="b">
        <v>1</v>
      </c>
      <c r="M33" s="236" t="b">
        <v>1</v>
      </c>
      <c r="N33" s="236" t="b">
        <v>0</v>
      </c>
      <c r="O33" s="236" t="b">
        <v>0</v>
      </c>
      <c r="P33" s="236" t="b">
        <v>0</v>
      </c>
      <c r="Q33" s="236" t="b">
        <v>0</v>
      </c>
      <c r="R33" s="236" t="b">
        <v>0</v>
      </c>
      <c r="S33" s="236" t="b">
        <v>1</v>
      </c>
      <c r="T33" s="236" t="b">
        <v>1</v>
      </c>
      <c r="U33" s="236" t="b">
        <v>0</v>
      </c>
      <c r="V33" s="236" t="b">
        <v>0</v>
      </c>
      <c r="W33" s="236" t="b">
        <v>0</v>
      </c>
      <c r="X33" s="236" t="b">
        <v>0</v>
      </c>
      <c r="Y33" s="236" t="b">
        <v>1</v>
      </c>
      <c r="Z33" s="236" t="b">
        <v>0</v>
      </c>
      <c r="AA33" s="256" t="str" cm="1">
        <f t="array" ref="AA33">IF(SUMPRODUCT((Cert_Matrix!$A$44:$A$57=E33)*(Cert_Matrix!$BI$44:$BY$57="X")*(H33:X33=TRUE))&lt;SUMPRODUCT((Cert_Matrix!$A$44:$A$57=E33)*(Cert_Matrix!$BI$44:$BY$57="X")),"Thiếu chứng nhận","Đủ điều kiện")</f>
        <v>Đủ điều kiện</v>
      </c>
      <c r="AB33" s="287"/>
      <c r="AC33" s="290"/>
      <c r="AD33" s="283" t="str">
        <f>VLOOKUP(B33,'HC Arrow'!C:G,5,0)</f>
        <v>S2</v>
      </c>
    </row>
    <row r="34" spans="1:30">
      <c r="A34" s="256">
        <f>ROWS($B$5:B32)</f>
        <v>28</v>
      </c>
      <c r="B34" s="256" t="s">
        <v>1781</v>
      </c>
      <c r="C34" s="256" t="s">
        <v>1782</v>
      </c>
      <c r="D34" s="256" t="s">
        <v>1225</v>
      </c>
      <c r="E34" s="256" t="s">
        <v>1177</v>
      </c>
      <c r="F34" s="256" t="s">
        <v>232</v>
      </c>
      <c r="G34" s="290">
        <v>46152</v>
      </c>
      <c r="H34" s="236" t="b">
        <v>1</v>
      </c>
      <c r="I34" s="236" t="b">
        <v>1</v>
      </c>
      <c r="J34" s="236" t="b">
        <v>0</v>
      </c>
      <c r="K34" s="236" t="b">
        <v>0</v>
      </c>
      <c r="L34" s="236" t="b">
        <v>0</v>
      </c>
      <c r="M34" s="236" t="b">
        <v>0</v>
      </c>
      <c r="N34" s="236" t="b">
        <v>0</v>
      </c>
      <c r="O34" s="236" t="b">
        <v>0</v>
      </c>
      <c r="P34" s="236" t="b">
        <v>0</v>
      </c>
      <c r="Q34" s="236" t="b">
        <v>0</v>
      </c>
      <c r="R34" s="236" t="b">
        <v>0</v>
      </c>
      <c r="S34" s="236" t="b">
        <v>0</v>
      </c>
      <c r="T34" s="236" t="b">
        <v>0</v>
      </c>
      <c r="U34" s="236" t="b">
        <v>0</v>
      </c>
      <c r="V34" s="236" t="b">
        <v>0</v>
      </c>
      <c r="W34" s="236" t="b">
        <v>0</v>
      </c>
      <c r="X34" s="236" t="b">
        <v>0</v>
      </c>
      <c r="Y34" s="236" t="b">
        <v>1</v>
      </c>
      <c r="Z34" s="236" t="b">
        <v>0</v>
      </c>
      <c r="AA34" s="256" t="str" cm="1">
        <f t="array" ref="AA34">IF(SUMPRODUCT((Cert_Matrix!$A$44:$A$57=E34)*(Cert_Matrix!$BI$44:$BY$57="X")*(H34:X34=TRUE))&lt;SUMPRODUCT((Cert_Matrix!$A$44:$A$57=E34)*(Cert_Matrix!$BI$44:$BY$57="X")),"Thiếu chứng nhận","Đủ điều kiện")</f>
        <v>Đủ điều kiện</v>
      </c>
      <c r="AB34" s="287"/>
      <c r="AC34" s="290"/>
      <c r="AD34" s="283" t="str">
        <f>VLOOKUP(B34,'HC Arrow'!C:G,5,0)</f>
        <v>S2</v>
      </c>
    </row>
    <row r="35" spans="1:30">
      <c r="A35" s="256">
        <f>ROWS($B$5:B33)</f>
        <v>29</v>
      </c>
      <c r="B35" s="256" t="s">
        <v>1783</v>
      </c>
      <c r="C35" s="256" t="s">
        <v>1784</v>
      </c>
      <c r="D35" s="256" t="s">
        <v>1309</v>
      </c>
      <c r="E35" s="256" t="s">
        <v>1179</v>
      </c>
      <c r="F35" s="256" t="s">
        <v>232</v>
      </c>
      <c r="G35" s="290"/>
      <c r="H35" s="236" t="b">
        <v>0</v>
      </c>
      <c r="I35" s="236" t="b">
        <v>0</v>
      </c>
      <c r="J35" s="236" t="b">
        <v>0</v>
      </c>
      <c r="K35" s="236" t="b">
        <v>0</v>
      </c>
      <c r="L35" s="236" t="b">
        <v>1</v>
      </c>
      <c r="M35" s="236" t="b">
        <v>1</v>
      </c>
      <c r="N35" s="236" t="b">
        <v>0</v>
      </c>
      <c r="O35" s="236" t="b">
        <v>0</v>
      </c>
      <c r="P35" s="236" t="b">
        <v>0</v>
      </c>
      <c r="Q35" s="236" t="b">
        <v>0</v>
      </c>
      <c r="R35" s="236" t="b">
        <v>0</v>
      </c>
      <c r="S35" s="236" t="b">
        <v>0</v>
      </c>
      <c r="T35" s="236" t="b">
        <v>0</v>
      </c>
      <c r="U35" s="236" t="b">
        <v>0</v>
      </c>
      <c r="V35" s="236" t="b">
        <v>0</v>
      </c>
      <c r="W35" s="236" t="b">
        <v>0</v>
      </c>
      <c r="X35" s="236" t="b">
        <v>0</v>
      </c>
      <c r="Y35" s="236" t="b">
        <v>0</v>
      </c>
      <c r="Z35" s="236" t="b">
        <v>0</v>
      </c>
      <c r="AA35" s="256" t="str" cm="1">
        <f t="array" ref="AA35">IF(SUMPRODUCT((Cert_Matrix!$A$44:$A$57=E35)*(Cert_Matrix!$BI$44:$BY$57="X")*(H35:X35=TRUE))&lt;SUMPRODUCT((Cert_Matrix!$A$44:$A$57=E35)*(Cert_Matrix!$BI$44:$BY$57="X")),"Thiếu chứng nhận","Đủ điều kiện")</f>
        <v>Đủ điều kiện</v>
      </c>
      <c r="AB35" s="287"/>
      <c r="AC35" s="290"/>
      <c r="AD35" s="283" t="str">
        <f>VLOOKUP(B35,'HC Arrow'!C:G,5,0)</f>
        <v>S2</v>
      </c>
    </row>
    <row r="36" spans="1:30">
      <c r="A36" s="256">
        <f>ROWS($B$5:B34)</f>
        <v>30</v>
      </c>
      <c r="B36" s="256" t="s">
        <v>1785</v>
      </c>
      <c r="C36" s="256" t="s">
        <v>1786</v>
      </c>
      <c r="D36" s="256" t="s">
        <v>1225</v>
      </c>
      <c r="E36" s="256" t="s">
        <v>1160</v>
      </c>
      <c r="F36" s="256" t="s">
        <v>232</v>
      </c>
      <c r="G36" s="290">
        <v>46152</v>
      </c>
      <c r="H36" s="236" t="b">
        <v>0</v>
      </c>
      <c r="I36" s="236" t="b">
        <v>0</v>
      </c>
      <c r="J36" s="236" t="b">
        <v>0</v>
      </c>
      <c r="K36" s="236" t="b">
        <v>1</v>
      </c>
      <c r="L36" s="236" t="b">
        <v>1</v>
      </c>
      <c r="M36" s="236" t="b">
        <v>0</v>
      </c>
      <c r="N36" s="236" t="b">
        <v>0</v>
      </c>
      <c r="O36" s="236" t="b">
        <v>1</v>
      </c>
      <c r="P36" s="236" t="b">
        <v>1</v>
      </c>
      <c r="Q36" s="236" t="b">
        <v>0</v>
      </c>
      <c r="R36" s="236" t="b">
        <v>1</v>
      </c>
      <c r="S36" s="236" t="b">
        <v>0</v>
      </c>
      <c r="T36" s="236" t="b">
        <v>0</v>
      </c>
      <c r="U36" s="236" t="b">
        <v>0</v>
      </c>
      <c r="V36" s="236" t="b">
        <v>0</v>
      </c>
      <c r="W36" s="236" t="b">
        <v>0</v>
      </c>
      <c r="X36" s="236" t="b">
        <v>0</v>
      </c>
      <c r="Y36" s="236" t="b">
        <v>1</v>
      </c>
      <c r="Z36" s="236" t="b">
        <v>0</v>
      </c>
      <c r="AA36" s="256" t="str" cm="1">
        <f t="array" ref="AA36">IF(SUMPRODUCT((Cert_Matrix!$A$44:$A$57=E36)*(Cert_Matrix!$BI$44:$BY$57="X")*(H36:X36=TRUE))&lt;SUMPRODUCT((Cert_Matrix!$A$44:$A$57=E36)*(Cert_Matrix!$BI$44:$BY$57="X")),"Thiếu chứng nhận","Đủ điều kiện")</f>
        <v>Đủ điều kiện</v>
      </c>
      <c r="AB36" s="287"/>
      <c r="AC36" s="290"/>
      <c r="AD36" s="283" t="str">
        <f>VLOOKUP(B36,'HC Arrow'!C:G,5,0)</f>
        <v>S2</v>
      </c>
    </row>
    <row r="37" spans="1:30">
      <c r="A37" s="256">
        <f>ROWS($B$5:B35)</f>
        <v>31</v>
      </c>
      <c r="B37" s="256" t="s">
        <v>1787</v>
      </c>
      <c r="C37" s="256" t="s">
        <v>1788</v>
      </c>
      <c r="D37" s="256" t="s">
        <v>1225</v>
      </c>
      <c r="E37" s="256" t="s">
        <v>1152</v>
      </c>
      <c r="F37" s="256" t="s">
        <v>232</v>
      </c>
      <c r="G37" s="290">
        <v>46152</v>
      </c>
      <c r="H37" s="236" t="b">
        <v>0</v>
      </c>
      <c r="I37" s="236" t="b">
        <v>0</v>
      </c>
      <c r="J37" s="236" t="b">
        <v>0</v>
      </c>
      <c r="K37" s="236" t="b">
        <v>0</v>
      </c>
      <c r="L37" s="236" t="b">
        <v>0</v>
      </c>
      <c r="M37" s="236" t="b">
        <v>0</v>
      </c>
      <c r="N37" s="236" t="b">
        <v>0</v>
      </c>
      <c r="O37" s="236" t="b">
        <v>1</v>
      </c>
      <c r="P37" s="236" t="b">
        <v>0</v>
      </c>
      <c r="Q37" s="236" t="b">
        <v>0</v>
      </c>
      <c r="R37" s="236" t="b">
        <v>1</v>
      </c>
      <c r="S37" s="236" t="b">
        <v>0</v>
      </c>
      <c r="T37" s="236" t="b">
        <v>0</v>
      </c>
      <c r="U37" s="236" t="b">
        <v>0</v>
      </c>
      <c r="V37" s="236" t="b">
        <v>0</v>
      </c>
      <c r="W37" s="236" t="b">
        <v>0</v>
      </c>
      <c r="X37" s="236" t="b">
        <v>0</v>
      </c>
      <c r="Y37" s="236" t="b">
        <v>1</v>
      </c>
      <c r="Z37" s="236" t="b">
        <v>0</v>
      </c>
      <c r="AA37" s="256" t="str" cm="1">
        <f t="array" ref="AA37">IF(SUMPRODUCT((Cert_Matrix!$A$44:$A$57=E37)*(Cert_Matrix!$BI$44:$BY$57="X")*(H37:X37=TRUE))&lt;SUMPRODUCT((Cert_Matrix!$A$44:$A$57=E37)*(Cert_Matrix!$BI$44:$BY$57="X")),"Thiếu chứng nhận","Đủ điều kiện")</f>
        <v>Đủ điều kiện</v>
      </c>
      <c r="AB37" s="287"/>
      <c r="AC37" s="290"/>
      <c r="AD37" s="283" t="str">
        <f>VLOOKUP(B37,'HC Arrow'!C:G,5,0)</f>
        <v>S2</v>
      </c>
    </row>
    <row r="38" spans="1:30">
      <c r="A38" s="256">
        <f>ROWS($B$5:B36)</f>
        <v>32</v>
      </c>
      <c r="B38" s="256" t="s">
        <v>577</v>
      </c>
      <c r="C38" s="304" t="s">
        <v>578</v>
      </c>
      <c r="D38" s="256" t="s">
        <v>1292</v>
      </c>
      <c r="E38" s="256" t="s">
        <v>1177</v>
      </c>
      <c r="F38" s="256" t="s">
        <v>232</v>
      </c>
      <c r="G38" s="290"/>
      <c r="H38" s="236" t="b">
        <v>1</v>
      </c>
      <c r="I38" s="236" t="b">
        <v>1</v>
      </c>
      <c r="J38" s="236" t="b">
        <v>1</v>
      </c>
      <c r="K38" s="236" t="b">
        <v>1</v>
      </c>
      <c r="L38" s="236" t="b">
        <v>1</v>
      </c>
      <c r="M38" s="236" t="b">
        <v>1</v>
      </c>
      <c r="N38" s="236" t="b">
        <v>0</v>
      </c>
      <c r="O38" s="236" t="b">
        <v>1</v>
      </c>
      <c r="P38" s="236" t="b">
        <v>1</v>
      </c>
      <c r="Q38" s="236" t="b">
        <v>0</v>
      </c>
      <c r="R38" s="236" t="b">
        <v>0</v>
      </c>
      <c r="S38" s="236" t="b">
        <v>0</v>
      </c>
      <c r="T38" s="236" t="b">
        <v>0</v>
      </c>
      <c r="U38" s="236" t="b">
        <v>0</v>
      </c>
      <c r="V38" s="236" t="b">
        <v>0</v>
      </c>
      <c r="W38" s="236" t="b">
        <v>0</v>
      </c>
      <c r="X38" s="236" t="b">
        <v>0</v>
      </c>
      <c r="Y38" s="236" t="b">
        <v>1</v>
      </c>
      <c r="Z38" s="236" t="b">
        <v>1</v>
      </c>
      <c r="AA38" s="256" t="str" cm="1">
        <f t="array" ref="AA38">IF(SUMPRODUCT((Cert_Matrix!$A$44:$A$57=E38)*(Cert_Matrix!$BI$44:$BY$57="X")*(H38:X38=TRUE))&lt;SUMPRODUCT((Cert_Matrix!$A$44:$A$57=E38)*(Cert_Matrix!$BI$44:$BY$57="X")),"Thiếu chứng nhận","Đủ điều kiện")</f>
        <v>Đủ điều kiện</v>
      </c>
      <c r="AB38" s="287"/>
      <c r="AC38" s="290"/>
      <c r="AD38" s="283" t="str">
        <f>VLOOKUP(B38,'HC Arrow'!C:G,5,0)</f>
        <v>S2</v>
      </c>
    </row>
    <row r="39" spans="1:30">
      <c r="A39" s="256">
        <f>ROWS($B$5:B37)</f>
        <v>33</v>
      </c>
      <c r="B39" s="256" t="s">
        <v>1789</v>
      </c>
      <c r="C39" s="256" t="s">
        <v>1790</v>
      </c>
      <c r="D39" s="256" t="s">
        <v>1302</v>
      </c>
      <c r="E39" s="256" t="s">
        <v>1179</v>
      </c>
      <c r="F39" s="256" t="s">
        <v>232</v>
      </c>
      <c r="G39" s="290">
        <v>46139</v>
      </c>
      <c r="H39" s="236" t="b">
        <v>0</v>
      </c>
      <c r="I39" s="236" t="b">
        <v>0</v>
      </c>
      <c r="J39" s="236" t="b">
        <v>0</v>
      </c>
      <c r="K39" s="236" t="b">
        <v>1</v>
      </c>
      <c r="L39" s="236" t="b">
        <v>1</v>
      </c>
      <c r="M39" s="236" t="b">
        <v>1</v>
      </c>
      <c r="N39" s="236" t="b">
        <v>0</v>
      </c>
      <c r="O39" s="236" t="b">
        <v>0</v>
      </c>
      <c r="P39" s="236" t="b">
        <v>0</v>
      </c>
      <c r="Q39" s="236" t="b">
        <v>0</v>
      </c>
      <c r="R39" s="236" t="b">
        <v>0</v>
      </c>
      <c r="S39" s="236" t="b">
        <v>0</v>
      </c>
      <c r="T39" s="236" t="b">
        <v>0</v>
      </c>
      <c r="U39" s="236" t="b">
        <v>0</v>
      </c>
      <c r="V39" s="236" t="b">
        <v>0</v>
      </c>
      <c r="W39" s="236" t="b">
        <v>0</v>
      </c>
      <c r="X39" s="236" t="b">
        <v>0</v>
      </c>
      <c r="Y39" s="236" t="b">
        <v>0</v>
      </c>
      <c r="Z39" s="236" t="b">
        <v>1</v>
      </c>
      <c r="AA39" s="256" t="str" cm="1">
        <f t="array" ref="AA39">IF(SUMPRODUCT((Cert_Matrix!$A$44:$A$57=E39)*(Cert_Matrix!$BI$44:$BY$57="X")*(H39:X39=TRUE))&lt;SUMPRODUCT((Cert_Matrix!$A$44:$A$57=E39)*(Cert_Matrix!$BI$44:$BY$57="X")),"Thiếu chứng nhận","Đủ điều kiện")</f>
        <v>Đủ điều kiện</v>
      </c>
      <c r="AB39" s="287"/>
      <c r="AC39" s="290"/>
      <c r="AD39" s="283" t="str">
        <f>VLOOKUP(B39,'HC Arrow'!C:G,5,0)</f>
        <v>S1</v>
      </c>
    </row>
    <row r="40" spans="1:30">
      <c r="A40" s="256">
        <f>ROWS($B$5:B38)</f>
        <v>34</v>
      </c>
      <c r="B40" s="256" t="s">
        <v>525</v>
      </c>
      <c r="C40" s="256" t="s">
        <v>526</v>
      </c>
      <c r="D40" s="256" t="s">
        <v>1759</v>
      </c>
      <c r="E40" s="256" t="s">
        <v>1177</v>
      </c>
      <c r="F40" s="256" t="s">
        <v>232</v>
      </c>
      <c r="G40" s="290">
        <v>46139</v>
      </c>
      <c r="H40" s="236" t="b">
        <v>1</v>
      </c>
      <c r="I40" s="236" t="b">
        <v>1</v>
      </c>
      <c r="J40" s="236" t="b">
        <v>1</v>
      </c>
      <c r="K40" s="236" t="b">
        <v>0</v>
      </c>
      <c r="L40" s="236" t="b">
        <v>0</v>
      </c>
      <c r="M40" s="236" t="b">
        <v>0</v>
      </c>
      <c r="N40" s="236" t="b">
        <v>0</v>
      </c>
      <c r="O40" s="236" t="b">
        <v>0</v>
      </c>
      <c r="P40" s="236" t="b">
        <v>0</v>
      </c>
      <c r="Q40" s="236" t="b">
        <v>0</v>
      </c>
      <c r="R40" s="236" t="b">
        <v>0</v>
      </c>
      <c r="S40" s="236" t="b">
        <v>0</v>
      </c>
      <c r="T40" s="236" t="b">
        <v>0</v>
      </c>
      <c r="U40" s="236" t="b">
        <v>0</v>
      </c>
      <c r="V40" s="236" t="b">
        <v>0</v>
      </c>
      <c r="W40" s="236" t="b">
        <v>0</v>
      </c>
      <c r="X40" s="236" t="b">
        <v>0</v>
      </c>
      <c r="Y40" s="236" t="b">
        <v>1</v>
      </c>
      <c r="Z40" s="236" t="b">
        <v>1</v>
      </c>
      <c r="AA40" s="256" t="str" cm="1">
        <f t="array" ref="AA40">IF(SUMPRODUCT((Cert_Matrix!$A$44:$A$57=E40)*(Cert_Matrix!$BI$44:$BY$57="X")*(H40:X40=TRUE))&lt;SUMPRODUCT((Cert_Matrix!$A$44:$A$57=E40)*(Cert_Matrix!$BI$44:$BY$57="X")),"Thiếu chứng nhận","Đủ điều kiện")</f>
        <v>Đủ điều kiện</v>
      </c>
      <c r="AB40" s="287"/>
      <c r="AC40" s="290"/>
      <c r="AD40" s="283" t="str">
        <f>VLOOKUP(B40,'HC Arrow'!C:G,5,0)</f>
        <v>S1</v>
      </c>
    </row>
    <row r="41" spans="1:30">
      <c r="A41" s="256">
        <f>ROWS($B$5:B39)</f>
        <v>35</v>
      </c>
      <c r="B41" s="256" t="s">
        <v>1791</v>
      </c>
      <c r="C41" s="256" t="s">
        <v>1792</v>
      </c>
      <c r="D41" s="256" t="s">
        <v>1751</v>
      </c>
      <c r="E41" s="256" t="s">
        <v>1180</v>
      </c>
      <c r="F41" s="256" t="s">
        <v>232</v>
      </c>
      <c r="G41" s="290">
        <v>46176</v>
      </c>
      <c r="H41" s="236" t="b">
        <v>0</v>
      </c>
      <c r="I41" s="236" t="b">
        <v>0</v>
      </c>
      <c r="J41" s="236" t="b">
        <v>0</v>
      </c>
      <c r="K41" s="236" t="b">
        <v>0</v>
      </c>
      <c r="L41" s="236" t="b">
        <v>0</v>
      </c>
      <c r="M41" s="236" t="b">
        <v>0</v>
      </c>
      <c r="N41" s="236" t="b">
        <v>0</v>
      </c>
      <c r="O41" s="236" t="b">
        <v>0</v>
      </c>
      <c r="P41" s="236" t="b">
        <v>1</v>
      </c>
      <c r="Q41" s="236" t="b">
        <v>0</v>
      </c>
      <c r="R41" s="236" t="b">
        <v>1</v>
      </c>
      <c r="S41" s="236" t="b">
        <v>1</v>
      </c>
      <c r="T41" s="236" t="b">
        <v>1</v>
      </c>
      <c r="U41" s="236" t="b">
        <v>1</v>
      </c>
      <c r="V41" s="236" t="b">
        <v>0</v>
      </c>
      <c r="W41" s="236" t="b">
        <v>1</v>
      </c>
      <c r="X41" s="236" t="b">
        <v>1</v>
      </c>
      <c r="Y41" s="236" t="b">
        <v>1</v>
      </c>
      <c r="Z41" s="236" t="b">
        <v>1</v>
      </c>
      <c r="AA41" s="256" t="str" cm="1">
        <f t="array" ref="AA41">IF(SUMPRODUCT((Cert_Matrix!$A$44:$A$57=E41)*(Cert_Matrix!$BI$44:$BY$57="X")*(H41:X41=TRUE))&lt;SUMPRODUCT((Cert_Matrix!$A$44:$A$57=E41)*(Cert_Matrix!$BI$44:$BY$57="X")),"Thiếu chứng nhận","Đủ điều kiện")</f>
        <v>Đủ điều kiện</v>
      </c>
      <c r="AB41" s="287"/>
      <c r="AC41" s="290"/>
      <c r="AD41" s="283" t="str">
        <f>VLOOKUP(B41,'HC Arrow'!C:G,5,0)</f>
        <v>S1</v>
      </c>
    </row>
    <row r="42" spans="1:30">
      <c r="A42" s="256">
        <f>ROWS($B$5:B40)</f>
        <v>36</v>
      </c>
      <c r="B42" s="256" t="s">
        <v>1793</v>
      </c>
      <c r="C42" s="256" t="s">
        <v>1794</v>
      </c>
      <c r="D42" s="256" t="s">
        <v>1225</v>
      </c>
      <c r="E42" s="256" t="s">
        <v>1151</v>
      </c>
      <c r="F42" s="256" t="s">
        <v>232</v>
      </c>
      <c r="G42" s="290">
        <v>46161</v>
      </c>
      <c r="H42" s="236" t="b">
        <v>0</v>
      </c>
      <c r="I42" s="236" t="b">
        <v>0</v>
      </c>
      <c r="J42" s="236" t="b">
        <v>0</v>
      </c>
      <c r="K42" s="236" t="b">
        <v>0</v>
      </c>
      <c r="L42" s="236" t="b">
        <v>1</v>
      </c>
      <c r="M42" s="236" t="b">
        <v>0</v>
      </c>
      <c r="N42" s="236" t="b">
        <v>0</v>
      </c>
      <c r="O42" s="236" t="b">
        <v>0</v>
      </c>
      <c r="P42" s="236" t="b">
        <v>1</v>
      </c>
      <c r="Q42" s="236" t="b">
        <v>0</v>
      </c>
      <c r="R42" s="236" t="b">
        <v>1</v>
      </c>
      <c r="S42" s="236" t="b">
        <v>0</v>
      </c>
      <c r="T42" s="236" t="b">
        <v>0</v>
      </c>
      <c r="U42" s="236" t="b">
        <v>0</v>
      </c>
      <c r="V42" s="236" t="b">
        <v>0</v>
      </c>
      <c r="W42" s="236" t="b">
        <v>0</v>
      </c>
      <c r="X42" s="236" t="b">
        <v>0</v>
      </c>
      <c r="Y42" s="236" t="b">
        <v>1</v>
      </c>
      <c r="Z42" s="236" t="b">
        <v>0</v>
      </c>
      <c r="AA42" s="256" t="str" cm="1">
        <f t="array" ref="AA42">IF(SUMPRODUCT((Cert_Matrix!$A$44:$A$57=E42)*(Cert_Matrix!$BI$44:$BY$57="X")*(H42:X42=TRUE))&lt;SUMPRODUCT((Cert_Matrix!$A$44:$A$57=E42)*(Cert_Matrix!$BI$44:$BY$57="X")),"Thiếu chứng nhận","Đủ điều kiện")</f>
        <v>Đủ điều kiện</v>
      </c>
      <c r="AB42" s="287"/>
      <c r="AC42" s="290"/>
      <c r="AD42" s="283" t="str">
        <f>VLOOKUP(B42,'HC Arrow'!C:G,5,0)</f>
        <v>S2</v>
      </c>
    </row>
    <row r="43" spans="1:30">
      <c r="A43" s="256">
        <f>ROWS($B$5:B41)</f>
        <v>37</v>
      </c>
      <c r="B43" s="256" t="s">
        <v>121</v>
      </c>
      <c r="C43" s="256" t="s">
        <v>122</v>
      </c>
      <c r="D43" s="256" t="s">
        <v>1297</v>
      </c>
      <c r="E43" s="256" t="s">
        <v>1177</v>
      </c>
      <c r="F43" s="256" t="s">
        <v>225</v>
      </c>
      <c r="G43" s="290"/>
      <c r="H43" s="236" t="b">
        <v>1</v>
      </c>
      <c r="I43" s="236" t="b">
        <v>1</v>
      </c>
      <c r="J43" s="236" t="b">
        <v>1</v>
      </c>
      <c r="K43" s="236" t="b">
        <v>1</v>
      </c>
      <c r="L43" s="236" t="b">
        <v>1</v>
      </c>
      <c r="M43" s="236" t="b">
        <v>0</v>
      </c>
      <c r="N43" s="236" t="b">
        <v>0</v>
      </c>
      <c r="O43" s="236" t="b">
        <v>0</v>
      </c>
      <c r="P43" s="236" t="b">
        <v>0</v>
      </c>
      <c r="Q43" s="236" t="b">
        <v>0</v>
      </c>
      <c r="R43" s="236" t="b">
        <v>0</v>
      </c>
      <c r="S43" s="236" t="b">
        <v>0</v>
      </c>
      <c r="T43" s="236" t="b">
        <v>0</v>
      </c>
      <c r="U43" s="236" t="b">
        <v>0</v>
      </c>
      <c r="V43" s="236" t="b">
        <v>0</v>
      </c>
      <c r="W43" s="236" t="b">
        <v>0</v>
      </c>
      <c r="X43" s="236" t="b">
        <v>0</v>
      </c>
      <c r="Y43" s="236" t="b">
        <v>1</v>
      </c>
      <c r="Z43" s="236" t="b">
        <v>0</v>
      </c>
      <c r="AA43" s="256" t="str" cm="1">
        <f t="array" ref="AA43">IF(SUMPRODUCT((Cert_Matrix!$A$44:$A$57=E43)*(Cert_Matrix!$BI$44:$BY$57="X")*(H43:X43=TRUE))&lt;SUMPRODUCT((Cert_Matrix!$A$44:$A$57=E43)*(Cert_Matrix!$BI$44:$BY$57="X")),"Thiếu chứng nhận","Đủ điều kiện")</f>
        <v>Đủ điều kiện</v>
      </c>
      <c r="AB43" s="287"/>
      <c r="AC43" s="290"/>
      <c r="AD43" s="283" t="str">
        <f>VLOOKUP(B43,'HC Arrow'!C:G,5,0)</f>
        <v>S1</v>
      </c>
    </row>
    <row r="44" spans="1:30">
      <c r="A44" s="256">
        <f>ROWS($B$5:B42)</f>
        <v>38</v>
      </c>
      <c r="B44" s="256" t="s">
        <v>1795</v>
      </c>
      <c r="C44" s="256" t="s">
        <v>769</v>
      </c>
      <c r="D44" s="256" t="s">
        <v>1796</v>
      </c>
      <c r="E44" s="256" t="s">
        <v>1797</v>
      </c>
      <c r="F44" s="256" t="s">
        <v>225</v>
      </c>
      <c r="G44" s="290"/>
      <c r="H44" s="236" t="b">
        <v>0</v>
      </c>
      <c r="I44" s="236" t="b">
        <v>0</v>
      </c>
      <c r="J44" s="236" t="b">
        <v>0</v>
      </c>
      <c r="K44" s="236" t="b">
        <v>0</v>
      </c>
      <c r="L44" s="236" t="b">
        <v>0</v>
      </c>
      <c r="M44" s="236" t="b">
        <v>0</v>
      </c>
      <c r="N44" s="236" t="b">
        <v>0</v>
      </c>
      <c r="O44" s="236" t="b">
        <v>0</v>
      </c>
      <c r="P44" s="236" t="b">
        <v>0</v>
      </c>
      <c r="Q44" s="236" t="b">
        <v>0</v>
      </c>
      <c r="R44" s="236" t="b">
        <v>0</v>
      </c>
      <c r="S44" s="236" t="b">
        <v>0</v>
      </c>
      <c r="T44" s="236" t="b">
        <v>0</v>
      </c>
      <c r="U44" s="236" t="b">
        <v>0</v>
      </c>
      <c r="V44" s="236" t="b">
        <v>0</v>
      </c>
      <c r="W44" s="236" t="b">
        <v>0</v>
      </c>
      <c r="X44" s="236" t="b">
        <v>0</v>
      </c>
      <c r="Y44" s="236" t="b">
        <v>1</v>
      </c>
      <c r="Z44" s="236" t="b">
        <v>0</v>
      </c>
      <c r="AA44" s="256" t="str" cm="1">
        <f t="array" ref="AA44">IF(SUMPRODUCT((Cert_Matrix!$A$44:$A$57=E44)*(Cert_Matrix!$BI$44:$BY$57="X")*(H44:X44=TRUE))&lt;SUMPRODUCT((Cert_Matrix!$A$44:$A$57=E44)*(Cert_Matrix!$BI$44:$BY$57="X")),"Thiếu chứng nhận","Đủ điều kiện")</f>
        <v>Đủ điều kiện</v>
      </c>
      <c r="AB44" s="287"/>
      <c r="AC44" s="290"/>
      <c r="AD44" s="283" t="str">
        <f>VLOOKUP(B44,'HC Arrow'!C:G,5,0)</f>
        <v>S2</v>
      </c>
    </row>
    <row r="45" spans="1:30">
      <c r="A45" s="256">
        <f>ROWS($B$5:B43)</f>
        <v>39</v>
      </c>
      <c r="B45" s="256" t="s">
        <v>223</v>
      </c>
      <c r="C45" s="256" t="s">
        <v>224</v>
      </c>
      <c r="D45" s="256" t="s">
        <v>1796</v>
      </c>
      <c r="E45" s="256" t="s">
        <v>1178</v>
      </c>
      <c r="F45" s="256" t="s">
        <v>225</v>
      </c>
      <c r="G45" s="290"/>
      <c r="H45" s="236" t="b">
        <v>1</v>
      </c>
      <c r="I45" s="236" t="b">
        <v>1</v>
      </c>
      <c r="J45" s="236" t="b">
        <v>1</v>
      </c>
      <c r="K45" s="236" t="b">
        <v>1</v>
      </c>
      <c r="L45" s="236" t="b">
        <v>1</v>
      </c>
      <c r="M45" s="236" t="b">
        <v>1</v>
      </c>
      <c r="N45" s="236" t="b">
        <v>0</v>
      </c>
      <c r="O45" s="236" t="b">
        <v>0</v>
      </c>
      <c r="P45" s="236" t="b">
        <v>0</v>
      </c>
      <c r="Q45" s="236" t="b">
        <v>0</v>
      </c>
      <c r="R45" s="236" t="b">
        <v>0</v>
      </c>
      <c r="S45" s="236" t="b">
        <v>0</v>
      </c>
      <c r="T45" s="236" t="b">
        <v>0</v>
      </c>
      <c r="U45" s="236" t="b">
        <v>0</v>
      </c>
      <c r="V45" s="236" t="b">
        <v>0</v>
      </c>
      <c r="W45" s="236" t="b">
        <v>0</v>
      </c>
      <c r="X45" s="236" t="b">
        <v>0</v>
      </c>
      <c r="Y45" s="236" t="b">
        <v>1</v>
      </c>
      <c r="Z45" s="236" t="b">
        <v>0</v>
      </c>
      <c r="AA45" s="256" t="str" cm="1">
        <f t="array" ref="AA45">IF(SUMPRODUCT((Cert_Matrix!$A$44:$A$57=E45)*(Cert_Matrix!$BI$44:$BY$57="X")*(H45:X45=TRUE))&lt;SUMPRODUCT((Cert_Matrix!$A$44:$A$57=E45)*(Cert_Matrix!$BI$44:$BY$57="X")),"Thiếu chứng nhận","Đủ điều kiện")</f>
        <v>Đủ điều kiện</v>
      </c>
      <c r="AB45" s="287"/>
      <c r="AC45" s="290"/>
      <c r="AD45" s="283" t="str">
        <f>VLOOKUP(B45,'HC Arrow'!C:G,5,0)</f>
        <v>S1</v>
      </c>
    </row>
    <row r="46" spans="1:30">
      <c r="A46" s="256">
        <f>ROWS($B$5:B44)</f>
        <v>40</v>
      </c>
      <c r="B46" s="256" t="s">
        <v>226</v>
      </c>
      <c r="C46" s="256" t="s">
        <v>227</v>
      </c>
      <c r="D46" s="256" t="s">
        <v>1798</v>
      </c>
      <c r="E46" s="256" t="s">
        <v>1182</v>
      </c>
      <c r="F46" s="256" t="s">
        <v>225</v>
      </c>
      <c r="G46" s="290">
        <v>46152</v>
      </c>
      <c r="H46" s="236" t="b">
        <v>0</v>
      </c>
      <c r="I46" s="236" t="b">
        <v>0</v>
      </c>
      <c r="J46" s="236" t="b">
        <v>0</v>
      </c>
      <c r="K46" s="236" t="b">
        <v>0</v>
      </c>
      <c r="L46" s="236" t="b">
        <v>0</v>
      </c>
      <c r="M46" s="236" t="b">
        <v>1</v>
      </c>
      <c r="N46" s="236" t="b">
        <v>1</v>
      </c>
      <c r="O46" s="236" t="b">
        <v>0</v>
      </c>
      <c r="P46" s="236" t="b">
        <v>0</v>
      </c>
      <c r="Q46" s="236" t="b">
        <v>0</v>
      </c>
      <c r="R46" s="236" t="b">
        <v>0</v>
      </c>
      <c r="S46" s="236" t="b">
        <v>0</v>
      </c>
      <c r="T46" s="236" t="b">
        <v>0</v>
      </c>
      <c r="U46" s="236" t="b">
        <v>0</v>
      </c>
      <c r="V46" s="236" t="b">
        <v>0</v>
      </c>
      <c r="W46" s="236" t="b">
        <v>0</v>
      </c>
      <c r="X46" s="236" t="b">
        <v>0</v>
      </c>
      <c r="Y46" s="236" t="b">
        <v>1</v>
      </c>
      <c r="Z46" s="236" t="b">
        <v>0</v>
      </c>
      <c r="AA46" s="256" t="str" cm="1">
        <f t="array" ref="AA46">IF(SUMPRODUCT((Cert_Matrix!$A$44:$A$57=E46)*(Cert_Matrix!$BI$44:$BY$57="X")*(H46:X46=TRUE))&lt;SUMPRODUCT((Cert_Matrix!$A$44:$A$57=E46)*(Cert_Matrix!$BI$44:$BY$57="X")),"Thiếu chứng nhận","Đủ điều kiện")</f>
        <v>Đủ điều kiện</v>
      </c>
      <c r="AB46" s="287"/>
      <c r="AC46" s="290"/>
      <c r="AD46" s="283" t="str">
        <f>VLOOKUP(B46,'HC Arrow'!C:G,5,0)</f>
        <v>S1</v>
      </c>
    </row>
    <row r="47" spans="1:30">
      <c r="A47" s="256">
        <f>ROWS($B$5:B45)</f>
        <v>41</v>
      </c>
      <c r="B47" s="256" t="s">
        <v>706</v>
      </c>
      <c r="C47" s="256" t="s">
        <v>707</v>
      </c>
      <c r="D47" s="256" t="s">
        <v>1780</v>
      </c>
      <c r="E47" s="256" t="s">
        <v>1156</v>
      </c>
      <c r="F47" s="256" t="s">
        <v>225</v>
      </c>
      <c r="G47" s="290">
        <v>46158</v>
      </c>
      <c r="H47" s="236" t="b">
        <v>0</v>
      </c>
      <c r="I47" s="236" t="b">
        <v>0</v>
      </c>
      <c r="J47" s="236" t="b">
        <v>0</v>
      </c>
      <c r="K47" s="236" t="b">
        <v>0</v>
      </c>
      <c r="L47" s="236" t="b">
        <v>0</v>
      </c>
      <c r="M47" s="236" t="b">
        <v>0</v>
      </c>
      <c r="N47" s="236" t="b">
        <v>0</v>
      </c>
      <c r="O47" s="236" t="b">
        <v>0</v>
      </c>
      <c r="P47" s="236" t="b">
        <v>0</v>
      </c>
      <c r="Q47" s="236" t="b">
        <v>0</v>
      </c>
      <c r="R47" s="236" t="b">
        <v>1</v>
      </c>
      <c r="S47" s="236" t="b">
        <v>0</v>
      </c>
      <c r="T47" s="236" t="b">
        <v>0</v>
      </c>
      <c r="U47" s="236" t="b">
        <v>1</v>
      </c>
      <c r="V47" s="236" t="b">
        <v>0</v>
      </c>
      <c r="W47" s="236" t="b">
        <v>1</v>
      </c>
      <c r="X47" s="236" t="b">
        <v>0</v>
      </c>
      <c r="Y47" s="236" t="b">
        <v>1</v>
      </c>
      <c r="Z47" s="236" t="b">
        <v>1</v>
      </c>
      <c r="AA47" s="256" t="str" cm="1">
        <f t="array" ref="AA47">IF(SUMPRODUCT((Cert_Matrix!$A$44:$A$57=E47)*(Cert_Matrix!$BI$44:$BY$57="X")*(H47:X47=TRUE))&lt;SUMPRODUCT((Cert_Matrix!$A$44:$A$57=E47)*(Cert_Matrix!$BI$44:$BY$57="X")),"Thiếu chứng nhận","Đủ điều kiện")</f>
        <v>Đủ điều kiện</v>
      </c>
      <c r="AB47" s="287"/>
      <c r="AC47" s="290"/>
      <c r="AD47" s="283" t="str">
        <f>VLOOKUP(B47,'HC Arrow'!C:G,5,0)</f>
        <v>S1</v>
      </c>
    </row>
    <row r="48" spans="1:30">
      <c r="A48" s="256">
        <f>ROWS($B$5:B46)</f>
        <v>42</v>
      </c>
      <c r="B48" s="256" t="s">
        <v>241</v>
      </c>
      <c r="C48" s="256" t="s">
        <v>242</v>
      </c>
      <c r="D48" s="256" t="s">
        <v>1799</v>
      </c>
      <c r="E48" s="256" t="s">
        <v>1151</v>
      </c>
      <c r="F48" s="256" t="s">
        <v>225</v>
      </c>
      <c r="G48" s="290">
        <v>46178</v>
      </c>
      <c r="H48" s="236" t="b">
        <v>0</v>
      </c>
      <c r="I48" s="236" t="b">
        <v>0</v>
      </c>
      <c r="J48" s="236" t="b">
        <v>0</v>
      </c>
      <c r="K48" s="236" t="b">
        <v>0</v>
      </c>
      <c r="L48" s="236" t="b">
        <v>0</v>
      </c>
      <c r="M48" s="236" t="b">
        <v>0</v>
      </c>
      <c r="N48" s="236" t="b">
        <v>0</v>
      </c>
      <c r="O48" s="236" t="b">
        <v>0</v>
      </c>
      <c r="P48" s="236" t="b">
        <v>1</v>
      </c>
      <c r="Q48" s="236" t="b">
        <v>0</v>
      </c>
      <c r="R48" s="236" t="b">
        <v>1</v>
      </c>
      <c r="S48" s="236" t="b">
        <v>0</v>
      </c>
      <c r="T48" s="236" t="b">
        <v>0</v>
      </c>
      <c r="U48" s="236" t="b">
        <v>0</v>
      </c>
      <c r="V48" s="236" t="b">
        <v>0</v>
      </c>
      <c r="W48" s="236" t="b">
        <v>0</v>
      </c>
      <c r="X48" s="236" t="b">
        <v>0</v>
      </c>
      <c r="Y48" s="236" t="b">
        <v>1</v>
      </c>
      <c r="Z48" s="236" t="b">
        <v>0</v>
      </c>
      <c r="AA48" s="256" t="str" cm="1">
        <f t="array" ref="AA48">IF(SUMPRODUCT((Cert_Matrix!$A$44:$A$57=E48)*(Cert_Matrix!$BI$44:$BY$57="X")*(H48:X48=TRUE))&lt;SUMPRODUCT((Cert_Matrix!$A$44:$A$57=E48)*(Cert_Matrix!$BI$44:$BY$57="X")),"Thiếu chứng nhận","Đủ điều kiện")</f>
        <v>Đủ điều kiện</v>
      </c>
      <c r="AB48" s="287"/>
      <c r="AC48" s="290"/>
      <c r="AD48" s="283" t="str">
        <f>VLOOKUP(B48,'HC Arrow'!C:G,5,0)</f>
        <v>S2</v>
      </c>
    </row>
    <row r="49" spans="1:30">
      <c r="A49" s="256">
        <f>ROWS($B$5:B47)</f>
        <v>43</v>
      </c>
      <c r="B49" s="256" t="s">
        <v>1800</v>
      </c>
      <c r="C49" s="256" t="s">
        <v>1801</v>
      </c>
      <c r="D49" s="256" t="s">
        <v>1796</v>
      </c>
      <c r="E49" s="256" t="s">
        <v>1182</v>
      </c>
      <c r="F49" s="256" t="s">
        <v>225</v>
      </c>
      <c r="G49" s="290">
        <v>46158</v>
      </c>
      <c r="H49" s="236" t="b">
        <v>0</v>
      </c>
      <c r="I49" s="236" t="b">
        <v>0</v>
      </c>
      <c r="J49" s="236" t="b">
        <v>0</v>
      </c>
      <c r="K49" s="236" t="b">
        <v>0</v>
      </c>
      <c r="L49" s="236" t="b">
        <v>0</v>
      </c>
      <c r="M49" s="236" t="b">
        <v>1</v>
      </c>
      <c r="N49" s="236" t="b">
        <v>1</v>
      </c>
      <c r="O49" s="236" t="b">
        <v>0</v>
      </c>
      <c r="P49" s="236" t="b">
        <v>0</v>
      </c>
      <c r="Q49" s="236" t="b">
        <v>0</v>
      </c>
      <c r="R49" s="236" t="b">
        <v>0</v>
      </c>
      <c r="S49" s="236" t="b">
        <v>0</v>
      </c>
      <c r="T49" s="236" t="b">
        <v>0</v>
      </c>
      <c r="U49" s="236" t="b">
        <v>0</v>
      </c>
      <c r="V49" s="236" t="b">
        <v>0</v>
      </c>
      <c r="W49" s="236" t="b">
        <v>0</v>
      </c>
      <c r="X49" s="236" t="b">
        <v>0</v>
      </c>
      <c r="Y49" s="236" t="b">
        <v>1</v>
      </c>
      <c r="Z49" s="236" t="b">
        <v>0</v>
      </c>
      <c r="AA49" s="256" t="str" cm="1">
        <f t="array" ref="AA49">IF(SUMPRODUCT((Cert_Matrix!$A$44:$A$57=E49)*(Cert_Matrix!$BI$44:$BY$57="X")*(H49:X49=TRUE))&lt;SUMPRODUCT((Cert_Matrix!$A$44:$A$57=E49)*(Cert_Matrix!$BI$44:$BY$57="X")),"Thiếu chứng nhận","Đủ điều kiện")</f>
        <v>Đủ điều kiện</v>
      </c>
      <c r="AB49" s="287"/>
      <c r="AC49" s="290"/>
      <c r="AD49" s="283" t="str">
        <f>VLOOKUP(B49,'HC Arrow'!C:G,5,0)</f>
        <v>S2</v>
      </c>
    </row>
    <row r="50" spans="1:30">
      <c r="A50" s="256">
        <f>ROWS($B$5:B48)</f>
        <v>44</v>
      </c>
      <c r="B50" s="256" t="s">
        <v>1802</v>
      </c>
      <c r="C50" s="256" t="s">
        <v>1803</v>
      </c>
      <c r="D50" s="256" t="s">
        <v>1423</v>
      </c>
      <c r="E50" s="256" t="s">
        <v>1156</v>
      </c>
      <c r="F50" s="256" t="s">
        <v>225</v>
      </c>
      <c r="G50" s="290"/>
      <c r="H50" s="236" t="b">
        <v>0</v>
      </c>
      <c r="I50" s="236" t="b">
        <v>0</v>
      </c>
      <c r="J50" s="236" t="b">
        <v>0</v>
      </c>
      <c r="K50" s="236" t="b">
        <v>0</v>
      </c>
      <c r="L50" s="236" t="b">
        <v>0</v>
      </c>
      <c r="M50" s="236" t="b">
        <v>0</v>
      </c>
      <c r="N50" s="236" t="b">
        <v>0</v>
      </c>
      <c r="O50" s="236" t="b">
        <v>1</v>
      </c>
      <c r="P50" s="236" t="b">
        <v>0</v>
      </c>
      <c r="Q50" s="236" t="b">
        <v>0</v>
      </c>
      <c r="R50" s="236" t="b">
        <v>1</v>
      </c>
      <c r="S50" s="236" t="b">
        <v>0</v>
      </c>
      <c r="T50" s="236" t="b">
        <v>0</v>
      </c>
      <c r="U50" s="236" t="b">
        <v>1</v>
      </c>
      <c r="V50" s="236" t="b">
        <v>0</v>
      </c>
      <c r="W50" s="236" t="b">
        <v>0</v>
      </c>
      <c r="X50" s="236" t="b">
        <v>0</v>
      </c>
      <c r="Y50" s="236" t="b">
        <v>1</v>
      </c>
      <c r="Z50" s="236" t="b">
        <v>0</v>
      </c>
      <c r="AA50" s="256" t="str" cm="1">
        <f t="array" ref="AA50">IF(SUMPRODUCT((Cert_Matrix!$A$44:$A$57=E50)*(Cert_Matrix!$BI$44:$BY$57="X")*(H50:X50=TRUE))&lt;SUMPRODUCT((Cert_Matrix!$A$44:$A$57=E50)*(Cert_Matrix!$BI$44:$BY$57="X")),"Thiếu chứng nhận","Đủ điều kiện")</f>
        <v>Đủ điều kiện</v>
      </c>
      <c r="AB50" s="287"/>
      <c r="AC50" s="290"/>
      <c r="AD50" s="283" t="str">
        <f>VLOOKUP(B50,'HC Arrow'!C:G,5,0)</f>
        <v>S2</v>
      </c>
    </row>
    <row r="51" spans="1:30">
      <c r="A51" s="256">
        <f>ROWS($B$5:B49)</f>
        <v>45</v>
      </c>
      <c r="B51" s="256" t="s">
        <v>1804</v>
      </c>
      <c r="C51" s="256" t="s">
        <v>1805</v>
      </c>
      <c r="D51" s="256" t="s">
        <v>1225</v>
      </c>
      <c r="E51" s="256" t="s">
        <v>1181</v>
      </c>
      <c r="F51" s="256" t="s">
        <v>225</v>
      </c>
      <c r="G51" s="290">
        <v>46134</v>
      </c>
      <c r="H51" s="236" t="b">
        <v>0</v>
      </c>
      <c r="I51" s="236" t="b">
        <v>0</v>
      </c>
      <c r="J51" s="236" t="b">
        <v>0</v>
      </c>
      <c r="K51" s="236" t="b">
        <v>0</v>
      </c>
      <c r="L51" s="236" t="b">
        <v>0</v>
      </c>
      <c r="M51" s="236" t="b">
        <v>0</v>
      </c>
      <c r="N51" s="236" t="b">
        <v>0</v>
      </c>
      <c r="O51" s="236" t="b">
        <v>0</v>
      </c>
      <c r="P51" s="236" t="b">
        <v>0</v>
      </c>
      <c r="Q51" s="236" t="b">
        <v>0</v>
      </c>
      <c r="R51" s="236" t="b">
        <v>0</v>
      </c>
      <c r="S51" s="236" t="b">
        <v>0</v>
      </c>
      <c r="T51" s="236" t="b">
        <v>0</v>
      </c>
      <c r="U51" s="236" t="b">
        <v>0</v>
      </c>
      <c r="V51" s="236" t="b">
        <v>0</v>
      </c>
      <c r="W51" s="236" t="b">
        <v>1</v>
      </c>
      <c r="X51" s="236" t="b">
        <v>0</v>
      </c>
      <c r="Y51" s="236" t="b">
        <v>0</v>
      </c>
      <c r="Z51" s="236" t="b">
        <v>0</v>
      </c>
      <c r="AA51" s="256" t="str" cm="1">
        <f t="array" ref="AA51">IF(SUMPRODUCT((Cert_Matrix!$A$44:$A$57=E51)*(Cert_Matrix!$BI$44:$BY$57="X")*(H51:X51=TRUE))&lt;SUMPRODUCT((Cert_Matrix!$A$44:$A$57=E51)*(Cert_Matrix!$BI$44:$BY$57="X")),"Thiếu chứng nhận","Đủ điều kiện")</f>
        <v>Đủ điều kiện</v>
      </c>
      <c r="AB51" s="287"/>
      <c r="AC51" s="290"/>
      <c r="AD51" s="283" t="str">
        <f>VLOOKUP(B51,'HC Arrow'!C:G,5,0)</f>
        <v>S2</v>
      </c>
    </row>
    <row r="52" spans="1:30">
      <c r="A52" s="256">
        <f>ROWS($B$5:B50)</f>
        <v>46</v>
      </c>
      <c r="B52" s="256" t="s">
        <v>1806</v>
      </c>
      <c r="C52" s="256" t="s">
        <v>1807</v>
      </c>
      <c r="D52" s="256" t="s">
        <v>1225</v>
      </c>
      <c r="E52" s="256" t="s">
        <v>1176</v>
      </c>
      <c r="F52" s="256" t="s">
        <v>225</v>
      </c>
      <c r="G52" s="290">
        <v>46134</v>
      </c>
      <c r="H52" s="236" t="b">
        <v>1</v>
      </c>
      <c r="I52" s="236" t="b">
        <v>0</v>
      </c>
      <c r="J52" s="236" t="b">
        <v>1</v>
      </c>
      <c r="K52" s="236" t="b">
        <v>0</v>
      </c>
      <c r="L52" s="236" t="b">
        <v>0</v>
      </c>
      <c r="M52" s="236" t="b">
        <v>0</v>
      </c>
      <c r="N52" s="236" t="b">
        <v>0</v>
      </c>
      <c r="O52" s="236" t="b">
        <v>0</v>
      </c>
      <c r="P52" s="236" t="b">
        <v>0</v>
      </c>
      <c r="Q52" s="236" t="b">
        <v>0</v>
      </c>
      <c r="R52" s="236" t="b">
        <v>0</v>
      </c>
      <c r="S52" s="236" t="b">
        <v>0</v>
      </c>
      <c r="T52" s="236" t="b">
        <v>0</v>
      </c>
      <c r="U52" s="236" t="b">
        <v>0</v>
      </c>
      <c r="V52" s="236" t="b">
        <v>0</v>
      </c>
      <c r="W52" s="236" t="b">
        <v>0</v>
      </c>
      <c r="X52" s="236" t="b">
        <v>0</v>
      </c>
      <c r="Y52" s="236" t="b">
        <v>0</v>
      </c>
      <c r="Z52" s="236" t="b">
        <v>0</v>
      </c>
      <c r="AA52" s="256" t="str" cm="1">
        <f t="array" ref="AA52">IF(SUMPRODUCT((Cert_Matrix!$A$44:$A$57=E52)*(Cert_Matrix!$BI$44:$BY$57="X")*(H52:X52=TRUE))&lt;SUMPRODUCT((Cert_Matrix!$A$44:$A$57=E52)*(Cert_Matrix!$BI$44:$BY$57="X")),"Thiếu chứng nhận","Đủ điều kiện")</f>
        <v>Đủ điều kiện</v>
      </c>
      <c r="AB52" s="287"/>
      <c r="AC52" s="290"/>
      <c r="AD52" s="283" t="str">
        <f>VLOOKUP(B52,'HC Arrow'!C:G,5,0)</f>
        <v>S2</v>
      </c>
    </row>
    <row r="53" spans="1:30">
      <c r="A53" s="256">
        <f>ROWS($B$5:B52)</f>
        <v>48</v>
      </c>
      <c r="B53" s="256" t="s">
        <v>1808</v>
      </c>
      <c r="C53" s="256" t="s">
        <v>1809</v>
      </c>
      <c r="D53" s="256" t="s">
        <v>1225</v>
      </c>
      <c r="E53" s="256" t="s">
        <v>1797</v>
      </c>
      <c r="F53" s="256" t="s">
        <v>225</v>
      </c>
      <c r="G53" s="290"/>
      <c r="H53" s="236" t="b">
        <v>0</v>
      </c>
      <c r="I53" s="236" t="b">
        <v>0</v>
      </c>
      <c r="J53" s="236" t="b">
        <v>0</v>
      </c>
      <c r="K53" s="236" t="b">
        <v>0</v>
      </c>
      <c r="L53" s="236" t="b">
        <v>0</v>
      </c>
      <c r="M53" s="236" t="b">
        <v>0</v>
      </c>
      <c r="N53" s="236" t="b">
        <v>0</v>
      </c>
      <c r="O53" s="236" t="b">
        <v>0</v>
      </c>
      <c r="P53" s="236" t="b">
        <v>0</v>
      </c>
      <c r="Q53" s="236" t="b">
        <v>0</v>
      </c>
      <c r="R53" s="236" t="b">
        <v>0</v>
      </c>
      <c r="S53" s="236" t="b">
        <v>0</v>
      </c>
      <c r="T53" s="236" t="b">
        <v>0</v>
      </c>
      <c r="U53" s="236" t="b">
        <v>0</v>
      </c>
      <c r="V53" s="236" t="b">
        <v>0</v>
      </c>
      <c r="W53" s="236" t="b">
        <v>0</v>
      </c>
      <c r="X53" s="236" t="b">
        <v>0</v>
      </c>
      <c r="Y53" s="236" t="b">
        <v>0</v>
      </c>
      <c r="Z53" s="236" t="b">
        <v>0</v>
      </c>
      <c r="AA53" s="256" t="str" cm="1">
        <f t="array" ref="AA53">IF(SUMPRODUCT((Cert_Matrix!$A$44:$A$57=E53)*(Cert_Matrix!$BI$44:$BY$57="X")*(H53:X53=TRUE))&lt;SUMPRODUCT((Cert_Matrix!$A$44:$A$57=E53)*(Cert_Matrix!$BI$44:$BY$57="X")),"Thiếu chứng nhận","Đủ điều kiện")</f>
        <v>Đủ điều kiện</v>
      </c>
      <c r="AB53" s="287"/>
      <c r="AC53" s="290"/>
      <c r="AD53" s="283" t="str">
        <f>VLOOKUP(B53,'HC Arrow'!C:G,5,0)</f>
        <v>S1</v>
      </c>
    </row>
    <row r="54" spans="1:30">
      <c r="A54" s="256">
        <f>ROWS($B$5:B52)</f>
        <v>48</v>
      </c>
      <c r="B54" s="256" t="s">
        <v>1810</v>
      </c>
      <c r="C54" s="256" t="s">
        <v>1811</v>
      </c>
      <c r="D54" s="256" t="s">
        <v>1225</v>
      </c>
      <c r="E54" s="256" t="s">
        <v>1182</v>
      </c>
      <c r="F54" s="256" t="s">
        <v>225</v>
      </c>
      <c r="G54" s="290">
        <v>46152</v>
      </c>
      <c r="H54" s="236" t="b">
        <v>0</v>
      </c>
      <c r="I54" s="236" t="b">
        <v>0</v>
      </c>
      <c r="J54" s="236" t="b">
        <v>0</v>
      </c>
      <c r="K54" s="236" t="b">
        <v>0</v>
      </c>
      <c r="L54" s="236" t="b">
        <v>0</v>
      </c>
      <c r="M54" s="236" t="b">
        <v>1</v>
      </c>
      <c r="N54" s="236" t="b">
        <v>1</v>
      </c>
      <c r="O54" s="236" t="b">
        <v>0</v>
      </c>
      <c r="P54" s="236" t="b">
        <v>0</v>
      </c>
      <c r="Q54" s="236" t="b">
        <v>0</v>
      </c>
      <c r="R54" s="236" t="b">
        <v>0</v>
      </c>
      <c r="S54" s="236" t="b">
        <v>0</v>
      </c>
      <c r="T54" s="236" t="b">
        <v>0</v>
      </c>
      <c r="U54" s="236" t="b">
        <v>0</v>
      </c>
      <c r="V54" s="236" t="b">
        <v>0</v>
      </c>
      <c r="W54" s="236" t="b">
        <v>0</v>
      </c>
      <c r="X54" s="236" t="b">
        <v>0</v>
      </c>
      <c r="Y54" s="236" t="b">
        <v>1</v>
      </c>
      <c r="Z54" s="236" t="b">
        <v>0</v>
      </c>
      <c r="AA54" s="256" t="str" cm="1">
        <f t="array" ref="AA54">IF(SUMPRODUCT((Cert_Matrix!$A$44:$A$57=E54)*(Cert_Matrix!$BI$44:$BY$57="X")*(H54:X54=TRUE))&lt;SUMPRODUCT((Cert_Matrix!$A$44:$A$57=E54)*(Cert_Matrix!$BI$44:$BY$57="X")),"Thiếu chứng nhận","Đủ điều kiện")</f>
        <v>Đủ điều kiện</v>
      </c>
      <c r="AB54" s="287"/>
      <c r="AC54" s="290"/>
      <c r="AD54" s="283" t="str">
        <f>VLOOKUP(B54,'HC Arrow'!C:G,5,0)</f>
        <v>S1</v>
      </c>
    </row>
    <row r="55" spans="1:30">
      <c r="A55" s="256">
        <f>ROWS($B$5:B53)</f>
        <v>49</v>
      </c>
      <c r="B55" s="256" t="s">
        <v>1812</v>
      </c>
      <c r="C55" s="256" t="s">
        <v>965</v>
      </c>
      <c r="D55" s="256" t="s">
        <v>1225</v>
      </c>
      <c r="E55" s="256" t="s">
        <v>1178</v>
      </c>
      <c r="F55" s="256" t="s">
        <v>225</v>
      </c>
      <c r="G55" s="290">
        <v>46133</v>
      </c>
      <c r="H55" s="236" t="b">
        <v>0</v>
      </c>
      <c r="I55" s="236" t="b">
        <v>0</v>
      </c>
      <c r="J55" s="236" t="b">
        <v>0</v>
      </c>
      <c r="K55" s="236" t="b">
        <v>1</v>
      </c>
      <c r="L55" s="236" t="b">
        <v>0</v>
      </c>
      <c r="M55" s="236" t="b">
        <v>0</v>
      </c>
      <c r="N55" s="236" t="b">
        <v>0</v>
      </c>
      <c r="O55" s="236" t="b">
        <v>0</v>
      </c>
      <c r="P55" s="236" t="b">
        <v>0</v>
      </c>
      <c r="Q55" s="236" t="b">
        <v>0</v>
      </c>
      <c r="R55" s="236" t="b">
        <v>0</v>
      </c>
      <c r="S55" s="236" t="b">
        <v>0</v>
      </c>
      <c r="T55" s="236" t="b">
        <v>0</v>
      </c>
      <c r="U55" s="236" t="b">
        <v>0</v>
      </c>
      <c r="V55" s="236" t="b">
        <v>0</v>
      </c>
      <c r="W55" s="236" t="b">
        <v>0</v>
      </c>
      <c r="X55" s="236" t="b">
        <v>0</v>
      </c>
      <c r="Y55" s="236" t="b">
        <v>0</v>
      </c>
      <c r="Z55" s="236" t="b">
        <v>0</v>
      </c>
      <c r="AA55" s="256" t="str" cm="1">
        <f t="array" ref="AA55">IF(SUMPRODUCT((Cert_Matrix!$A$44:$A$57=E55)*(Cert_Matrix!$BI$44:$BY$57="X")*(H55:X55=TRUE))&lt;SUMPRODUCT((Cert_Matrix!$A$44:$A$57=E55)*(Cert_Matrix!$BI$44:$BY$57="X")),"Thiếu chứng nhận","Đủ điều kiện")</f>
        <v>Đủ điều kiện</v>
      </c>
      <c r="AB55" s="287"/>
      <c r="AC55" s="290"/>
      <c r="AD55" s="283" t="str">
        <f>VLOOKUP(B55,'HC Arrow'!C:G,5,0)</f>
        <v>S2</v>
      </c>
    </row>
  </sheetData>
  <autoFilter ref="A6:AD55" xr:uid="{B56EF687-C55D-4F50-B11F-1C61E9FF679B}"/>
  <mergeCells count="9">
    <mergeCell ref="G5:G6"/>
    <mergeCell ref="H5:Z5"/>
    <mergeCell ref="A2:G3"/>
    <mergeCell ref="A5:A6"/>
    <mergeCell ref="B5:B6"/>
    <mergeCell ref="C5:C6"/>
    <mergeCell ref="D5:D6"/>
    <mergeCell ref="F5:F6"/>
    <mergeCell ref="E5:E6"/>
  </mergeCells>
  <conditionalFormatting sqref="B1:C1048576">
    <cfRule type="duplicateValues" dxfId="36" priority="2"/>
  </conditionalFormatting>
  <conditionalFormatting sqref="H7:Z55">
    <cfRule type="containsText" dxfId="35" priority="3" operator="containsText" text="false">
      <formula>NOT(ISERROR(SEARCH("false",H7)))</formula>
    </cfRule>
  </conditionalFormatting>
  <conditionalFormatting sqref="AA1:AA1048576">
    <cfRule type="containsText" dxfId="34" priority="1" operator="containsText" text="THIẾU CHỨNG NHẬN">
      <formula>NOT(ISERROR(SEARCH("THIẾU CHỨNG NHẬN",AA1)))</formula>
    </cfRule>
  </conditionalFormatting>
  <dataValidations count="1">
    <dataValidation type="list" allowBlank="1" showInputMessage="1" showErrorMessage="1" sqref="AB7:AB55" xr:uid="{25E059E2-FA5B-4FEF-AE4F-BF3D0B8D3F5F}">
      <formula1>"CHƯA ĐÀO TẠO,ĐANG ĐÀO TẠO,CHỜ ĐÁNH GIÁ,CHỜ CẤP THẺ CNVH,ĐÁNH GIÁ LẠI"</formula1>
    </dataValidation>
  </dataValidations>
  <pageMargins left="0.16" right="0.16" top="0.16" bottom="0.16" header="0.16" footer="0.16"/>
  <pageSetup paperSize="9" scale="4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0E54-C365-4E23-8C06-E793B87FDF62}">
  <sheetPr>
    <tabColor theme="0" tint="-0.14999847407452621"/>
  </sheetPr>
  <dimension ref="A1:R39"/>
  <sheetViews>
    <sheetView showGridLines="0" zoomScale="90" zoomScaleNormal="90" workbookViewId="0">
      <pane xSplit="7" ySplit="7" topLeftCell="H8" activePane="bottomRight" state="frozen"/>
      <selection pane="bottomRight" activeCell="G28" sqref="G28"/>
      <selection pane="bottomLeft" activeCell="A8" sqref="A8"/>
      <selection pane="topRight" activeCell="H1" sqref="H1"/>
    </sheetView>
  </sheetViews>
  <sheetFormatPr defaultRowHeight="15"/>
  <cols>
    <col min="1" max="1" width="4.85546875" style="257" customWidth="1"/>
    <col min="2" max="2" width="6.5703125" style="257" bestFit="1" customWidth="1"/>
    <col min="3" max="3" width="23.5703125" style="257" bestFit="1" customWidth="1"/>
    <col min="4" max="4" width="18" style="257" customWidth="1"/>
    <col min="5" max="5" width="21.28515625" style="257" bestFit="1" customWidth="1"/>
    <col min="6" max="6" width="15.140625" style="257" hidden="1" customWidth="1"/>
    <col min="7" max="7" width="15.28515625" style="288" bestFit="1" customWidth="1"/>
    <col min="8" max="12" width="8.7109375" style="237" customWidth="1"/>
    <col min="13" max="13" width="11.85546875" style="237" bestFit="1" customWidth="1"/>
    <col min="14" max="14" width="12.140625" style="237" bestFit="1" customWidth="1"/>
    <col min="15" max="15" width="17" style="257" customWidth="1"/>
    <col min="16" max="16" width="15" style="257" bestFit="1" customWidth="1"/>
    <col min="17" max="17" width="14.28515625" style="257" bestFit="1" customWidth="1"/>
    <col min="18" max="16384" width="9.140625" style="257"/>
  </cols>
  <sheetData>
    <row r="1" spans="1:18" ht="15" customHeight="1">
      <c r="H1" s="257"/>
      <c r="I1" s="257"/>
      <c r="J1" s="308"/>
      <c r="K1" s="291" t="s">
        <v>1</v>
      </c>
      <c r="L1" s="292"/>
      <c r="M1" s="292"/>
      <c r="N1" s="293"/>
    </row>
    <row r="2" spans="1:18" ht="15" customHeight="1">
      <c r="A2" s="367" t="s">
        <v>0</v>
      </c>
      <c r="B2" s="367"/>
      <c r="C2" s="367"/>
      <c r="D2" s="367"/>
      <c r="E2" s="367"/>
      <c r="F2" s="367"/>
      <c r="G2" s="367"/>
      <c r="H2" s="257"/>
      <c r="I2" s="257"/>
      <c r="J2" s="308"/>
      <c r="K2" s="291" t="s">
        <v>2</v>
      </c>
      <c r="L2" s="292"/>
      <c r="M2" s="292"/>
      <c r="N2" s="293"/>
    </row>
    <row r="3" spans="1:18" ht="15" customHeight="1">
      <c r="A3" s="367"/>
      <c r="B3" s="367"/>
      <c r="C3" s="367"/>
      <c r="D3" s="367"/>
      <c r="E3" s="367"/>
      <c r="F3" s="367"/>
      <c r="G3" s="367"/>
      <c r="H3" s="257"/>
      <c r="I3" s="257"/>
      <c r="J3" s="308"/>
      <c r="K3" s="291" t="s">
        <v>3</v>
      </c>
      <c r="L3" s="292"/>
      <c r="M3" s="292"/>
      <c r="N3" s="293"/>
    </row>
    <row r="4" spans="1:18" s="295" customFormat="1" ht="15" customHeight="1">
      <c r="G4" s="296"/>
      <c r="J4" s="309"/>
      <c r="K4" s="291" t="s">
        <v>4</v>
      </c>
      <c r="L4" s="292"/>
      <c r="M4" s="292"/>
      <c r="N4" s="293"/>
    </row>
    <row r="5" spans="1:18" s="285" customFormat="1" ht="15" customHeight="1">
      <c r="A5" s="374" t="s">
        <v>5</v>
      </c>
      <c r="B5" s="374" t="s">
        <v>6</v>
      </c>
      <c r="C5" s="374" t="s">
        <v>1190</v>
      </c>
      <c r="D5" s="374" t="s">
        <v>1191</v>
      </c>
      <c r="E5" s="368" t="s">
        <v>1528</v>
      </c>
      <c r="F5" s="374" t="s">
        <v>8</v>
      </c>
      <c r="G5" s="370" t="s">
        <v>1193</v>
      </c>
      <c r="H5" s="364" t="s">
        <v>10</v>
      </c>
      <c r="I5" s="365"/>
      <c r="J5" s="365"/>
      <c r="K5" s="365"/>
      <c r="L5" s="365"/>
      <c r="M5" s="365"/>
      <c r="N5" s="366"/>
    </row>
    <row r="6" spans="1:18" s="284" customFormat="1" ht="30">
      <c r="A6" s="374"/>
      <c r="B6" s="374"/>
      <c r="C6" s="374"/>
      <c r="D6" s="374"/>
      <c r="E6" s="369"/>
      <c r="F6" s="374"/>
      <c r="G6" s="371"/>
      <c r="H6" s="294" t="s">
        <v>1110</v>
      </c>
      <c r="I6" s="294" t="s">
        <v>1093</v>
      </c>
      <c r="J6" s="294" t="s">
        <v>1090</v>
      </c>
      <c r="K6" s="294" t="s">
        <v>82</v>
      </c>
      <c r="L6" s="294" t="s">
        <v>83</v>
      </c>
      <c r="M6" s="289" t="s">
        <v>1644</v>
      </c>
      <c r="N6" s="294" t="s">
        <v>1200</v>
      </c>
      <c r="O6" s="286" t="s">
        <v>1201</v>
      </c>
      <c r="P6" s="286" t="s">
        <v>1202</v>
      </c>
      <c r="Q6" s="294" t="s">
        <v>1203</v>
      </c>
    </row>
    <row r="7" spans="1:18">
      <c r="A7" s="256">
        <f>ROWS($B$5:B5)</f>
        <v>1</v>
      </c>
      <c r="B7" s="256" t="s">
        <v>245</v>
      </c>
      <c r="C7" s="256" t="s">
        <v>246</v>
      </c>
      <c r="D7" s="256" t="s">
        <v>1292</v>
      </c>
      <c r="E7" s="256" t="s">
        <v>1173</v>
      </c>
      <c r="F7" s="256" t="s">
        <v>120</v>
      </c>
      <c r="G7" s="290"/>
      <c r="H7" s="236" t="b">
        <v>1</v>
      </c>
      <c r="I7" s="236" t="b">
        <v>1</v>
      </c>
      <c r="J7" s="236" t="b">
        <v>1</v>
      </c>
      <c r="K7" s="236" t="b">
        <v>1</v>
      </c>
      <c r="L7" s="236" t="b">
        <v>1</v>
      </c>
      <c r="M7" s="236" t="b">
        <v>0</v>
      </c>
      <c r="N7" s="236" t="b">
        <v>0</v>
      </c>
      <c r="O7" s="256" t="str" cm="1">
        <f t="array" ref="O7">IF(SUMPRODUCT((Cert_Matrix!$A$58:$A$62=E7)*(Cert_Matrix!$BZ$58:$CD$62="X")*(H7:L7=TRUE))&lt;SUMPRODUCT((Cert_Matrix!$A$58:$A$62=E7)*(Cert_Matrix!$BZ$58:$CD$62="X")),"Thiếu chứng nhận","Đủ điều kiện")</f>
        <v>Đủ điều kiện</v>
      </c>
      <c r="P7" s="287"/>
      <c r="Q7" s="256"/>
      <c r="R7" s="257" t="str">
        <f>VLOOKUP(B7,'HC Arrow'!C:G,5,0)</f>
        <v>S1</v>
      </c>
    </row>
    <row r="8" spans="1:18">
      <c r="A8" s="256">
        <f>ROWS($B$5:B6)</f>
        <v>2</v>
      </c>
      <c r="B8" s="256" t="s">
        <v>253</v>
      </c>
      <c r="C8" s="256" t="s">
        <v>254</v>
      </c>
      <c r="D8" s="256" t="s">
        <v>1297</v>
      </c>
      <c r="E8" s="256" t="s">
        <v>1173</v>
      </c>
      <c r="F8" s="256" t="s">
        <v>120</v>
      </c>
      <c r="G8" s="290"/>
      <c r="H8" s="236" t="b">
        <v>0</v>
      </c>
      <c r="I8" s="236" t="b">
        <v>1</v>
      </c>
      <c r="J8" s="236" t="b">
        <v>1</v>
      </c>
      <c r="K8" s="236" t="b">
        <v>1</v>
      </c>
      <c r="L8" s="236" t="b">
        <v>1</v>
      </c>
      <c r="M8" s="236" t="b">
        <v>0</v>
      </c>
      <c r="N8" s="236" t="b">
        <v>0</v>
      </c>
      <c r="O8" s="256" t="str" cm="1">
        <f t="array" ref="O8">IF(SUMPRODUCT((Cert_Matrix!$A$58:$A$62=E8)*(Cert_Matrix!$BZ$58:$CD$62="X")*(H8:L8=TRUE))&lt;SUMPRODUCT((Cert_Matrix!$A$58:$A$62=E8)*(Cert_Matrix!$BZ$58:$CD$62="X")),"Thiếu chứng nhận","Đủ điều kiện")</f>
        <v>Đủ điều kiện</v>
      </c>
      <c r="P8" s="287"/>
      <c r="Q8" s="256"/>
      <c r="R8" s="257" t="str">
        <f>VLOOKUP(B8,'HC Arrow'!C:G,5,0)</f>
        <v>S1</v>
      </c>
    </row>
    <row r="9" spans="1:18">
      <c r="A9" s="256">
        <f>ROWS($B$5:B7)</f>
        <v>3</v>
      </c>
      <c r="B9" s="256" t="s">
        <v>1813</v>
      </c>
      <c r="C9" s="256" t="s">
        <v>813</v>
      </c>
      <c r="D9" s="256" t="s">
        <v>1655</v>
      </c>
      <c r="E9" s="256" t="s">
        <v>1173</v>
      </c>
      <c r="F9" s="256" t="s">
        <v>120</v>
      </c>
      <c r="G9" s="290">
        <v>46126</v>
      </c>
      <c r="H9" s="236" t="b">
        <v>0</v>
      </c>
      <c r="I9" s="236" t="b">
        <v>1</v>
      </c>
      <c r="J9" s="236" t="b">
        <v>0</v>
      </c>
      <c r="K9" s="236" t="b">
        <v>0</v>
      </c>
      <c r="L9" s="236" t="b">
        <v>0</v>
      </c>
      <c r="M9" s="236" t="b">
        <v>0</v>
      </c>
      <c r="N9" s="236" t="b">
        <v>0</v>
      </c>
      <c r="O9" s="256" t="str" cm="1">
        <f t="array" ref="O9">IF(SUMPRODUCT((Cert_Matrix!$A$58:$A$62=E9)*(Cert_Matrix!$BZ$58:$CD$62="X")*(H9:L9=TRUE))&lt;SUMPRODUCT((Cert_Matrix!$A$58:$A$62=E9)*(Cert_Matrix!$BZ$58:$CD$62="X")),"Thiếu chứng nhận","Đủ điều kiện")</f>
        <v>Đủ điều kiện</v>
      </c>
      <c r="P9" s="287"/>
      <c r="Q9" s="256"/>
      <c r="R9" s="257" t="str">
        <f>VLOOKUP(B9,'HC Arrow'!C:G,5,0)</f>
        <v>S1</v>
      </c>
    </row>
    <row r="10" spans="1:18">
      <c r="A10" s="256">
        <f>ROWS($B$5:B8)</f>
        <v>4</v>
      </c>
      <c r="B10" s="256" t="s">
        <v>817</v>
      </c>
      <c r="C10" s="256" t="s">
        <v>818</v>
      </c>
      <c r="D10" s="256" t="s">
        <v>1814</v>
      </c>
      <c r="E10" s="256" t="s">
        <v>1183</v>
      </c>
      <c r="F10" s="256" t="s">
        <v>120</v>
      </c>
      <c r="G10" s="290"/>
      <c r="H10" s="236" t="b">
        <v>0</v>
      </c>
      <c r="I10" s="236" t="b">
        <v>0</v>
      </c>
      <c r="J10" s="236" t="b">
        <v>1</v>
      </c>
      <c r="K10" s="236" t="b">
        <v>0</v>
      </c>
      <c r="L10" s="236" t="b">
        <v>1</v>
      </c>
      <c r="M10" s="236" t="b">
        <v>0</v>
      </c>
      <c r="N10" s="236" t="b">
        <v>0</v>
      </c>
      <c r="O10" s="256" t="str" cm="1">
        <f t="array" ref="O10">IF(SUMPRODUCT((Cert_Matrix!$A$58:$A$62=E10)*(Cert_Matrix!$BZ$58:$CD$62="X")*(H10:L10=TRUE))&lt;SUMPRODUCT((Cert_Matrix!$A$58:$A$62=E10)*(Cert_Matrix!$BZ$58:$CD$62="X")),"Thiếu chứng nhận","Đủ điều kiện")</f>
        <v>Đủ điều kiện</v>
      </c>
      <c r="P10" s="287"/>
      <c r="Q10" s="256"/>
      <c r="R10" s="257" t="str">
        <f>VLOOKUP(B10,'HC Arrow'!C:G,5,0)</f>
        <v>S1</v>
      </c>
    </row>
    <row r="11" spans="1:18">
      <c r="A11" s="256">
        <f>ROWS($B$5:B9)</f>
        <v>5</v>
      </c>
      <c r="B11" s="256" t="s">
        <v>1815</v>
      </c>
      <c r="C11" s="256" t="s">
        <v>812</v>
      </c>
      <c r="D11" s="256" t="s">
        <v>1650</v>
      </c>
      <c r="E11" s="256" t="s">
        <v>1173</v>
      </c>
      <c r="F11" s="256" t="s">
        <v>120</v>
      </c>
      <c r="G11" s="290">
        <v>46126</v>
      </c>
      <c r="H11" s="236" t="b">
        <v>1</v>
      </c>
      <c r="I11" s="236" t="b">
        <v>1</v>
      </c>
      <c r="J11" s="236" t="b">
        <v>1</v>
      </c>
      <c r="K11" s="236" t="b">
        <v>1</v>
      </c>
      <c r="L11" s="236" t="b">
        <v>1</v>
      </c>
      <c r="M11" s="236" t="b">
        <v>0</v>
      </c>
      <c r="N11" s="236" t="b">
        <v>0</v>
      </c>
      <c r="O11" s="256" t="str" cm="1">
        <f t="array" ref="O11">IF(SUMPRODUCT((Cert_Matrix!$A$58:$A$62=E11)*(Cert_Matrix!$BZ$58:$CD$62="X")*(H11:L11=TRUE))&lt;SUMPRODUCT((Cert_Matrix!$A$58:$A$62=E11)*(Cert_Matrix!$BZ$58:$CD$62="X")),"Thiếu chứng nhận","Đủ điều kiện")</f>
        <v>Đủ điều kiện</v>
      </c>
      <c r="P11" s="287"/>
      <c r="Q11" s="256"/>
      <c r="R11" s="257" t="str">
        <f>VLOOKUP(B11,'HC Arrow'!C:G,5,0)</f>
        <v>S1</v>
      </c>
    </row>
    <row r="12" spans="1:18">
      <c r="A12" s="256">
        <f>ROWS($B$5:B10)</f>
        <v>6</v>
      </c>
      <c r="B12" s="256" t="s">
        <v>1816</v>
      </c>
      <c r="C12" s="256" t="s">
        <v>814</v>
      </c>
      <c r="D12" s="256" t="s">
        <v>1814</v>
      </c>
      <c r="E12" s="256" t="s">
        <v>1183</v>
      </c>
      <c r="F12" s="256" t="s">
        <v>120</v>
      </c>
      <c r="G12" s="290"/>
      <c r="H12" s="236" t="b">
        <v>0</v>
      </c>
      <c r="I12" s="236" t="b">
        <v>0</v>
      </c>
      <c r="J12" s="236" t="b">
        <v>0</v>
      </c>
      <c r="K12" s="236" t="b">
        <v>1</v>
      </c>
      <c r="L12" s="236" t="b">
        <v>1</v>
      </c>
      <c r="M12" s="236" t="b">
        <v>0</v>
      </c>
      <c r="N12" s="236" t="b">
        <v>0</v>
      </c>
      <c r="O12" s="256" t="str" cm="1">
        <f t="array" ref="O12">IF(SUMPRODUCT((Cert_Matrix!$A$58:$A$62=E12)*(Cert_Matrix!$BZ$58:$CD$62="X")*(H12:L12=TRUE))&lt;SUMPRODUCT((Cert_Matrix!$A$58:$A$62=E12)*(Cert_Matrix!$BZ$58:$CD$62="X")),"Thiếu chứng nhận","Đủ điều kiện")</f>
        <v>Đủ điều kiện</v>
      </c>
      <c r="P12" s="287"/>
      <c r="Q12" s="256"/>
      <c r="R12" s="257" t="str">
        <f>VLOOKUP(B12,'HC Arrow'!C:G,5,0)</f>
        <v>S1</v>
      </c>
    </row>
    <row r="13" spans="1:18">
      <c r="A13" s="256">
        <f>ROWS($B$5:B11)</f>
        <v>7</v>
      </c>
      <c r="B13" s="256" t="s">
        <v>990</v>
      </c>
      <c r="C13" s="256" t="s">
        <v>991</v>
      </c>
      <c r="D13" s="256" t="s">
        <v>1655</v>
      </c>
      <c r="E13" s="256" t="s">
        <v>1173</v>
      </c>
      <c r="F13" s="256" t="s">
        <v>120</v>
      </c>
      <c r="G13" s="290"/>
      <c r="H13" s="236" t="b">
        <v>0</v>
      </c>
      <c r="I13" s="236" t="b">
        <v>1</v>
      </c>
      <c r="J13" s="236" t="b">
        <v>0</v>
      </c>
      <c r="K13" s="236" t="b">
        <v>0</v>
      </c>
      <c r="L13" s="236" t="b">
        <v>0</v>
      </c>
      <c r="M13" s="236" t="b">
        <v>0</v>
      </c>
      <c r="N13" s="236" t="b">
        <v>0</v>
      </c>
      <c r="O13" s="256" t="str" cm="1">
        <f t="array" ref="O13">IF(SUMPRODUCT((Cert_Matrix!$A$58:$A$62=E13)*(Cert_Matrix!$BZ$58:$CD$62="X")*(H13:L13=TRUE))&lt;SUMPRODUCT((Cert_Matrix!$A$58:$A$62=E13)*(Cert_Matrix!$BZ$58:$CD$62="X")),"Thiếu chứng nhận","Đủ điều kiện")</f>
        <v>Đủ điều kiện</v>
      </c>
      <c r="P13" s="287"/>
      <c r="Q13" s="256"/>
      <c r="R13" s="257" t="str">
        <f>VLOOKUP(B13,'HC Arrow'!C:G,5,0)</f>
        <v>S1</v>
      </c>
    </row>
    <row r="14" spans="1:18">
      <c r="A14" s="256">
        <f>ROWS($B$5:B12)</f>
        <v>8</v>
      </c>
      <c r="B14" s="256" t="s">
        <v>864</v>
      </c>
      <c r="C14" s="256" t="s">
        <v>865</v>
      </c>
      <c r="D14" s="256" t="s">
        <v>1655</v>
      </c>
      <c r="E14" s="256" t="s">
        <v>1173</v>
      </c>
      <c r="F14" s="256" t="s">
        <v>120</v>
      </c>
      <c r="G14" s="290"/>
      <c r="H14" s="236" t="b">
        <v>0</v>
      </c>
      <c r="I14" s="236" t="b">
        <v>1</v>
      </c>
      <c r="J14" s="236" t="b">
        <v>0</v>
      </c>
      <c r="K14" s="236" t="b">
        <v>0</v>
      </c>
      <c r="L14" s="236" t="b">
        <v>0</v>
      </c>
      <c r="M14" s="236" t="b">
        <v>0</v>
      </c>
      <c r="N14" s="236" t="b">
        <v>0</v>
      </c>
      <c r="O14" s="256" t="str" cm="1">
        <f t="array" ref="O14">IF(SUMPRODUCT((Cert_Matrix!$A$58:$A$62=E14)*(Cert_Matrix!$BZ$58:$CD$62="X")*(H14:L14=TRUE))&lt;SUMPRODUCT((Cert_Matrix!$A$58:$A$62=E14)*(Cert_Matrix!$BZ$58:$CD$62="X")),"Thiếu chứng nhận","Đủ điều kiện")</f>
        <v>Đủ điều kiện</v>
      </c>
      <c r="P14" s="287"/>
      <c r="Q14" s="256"/>
      <c r="R14" s="257" t="str">
        <f>VLOOKUP(B14,'HC Arrow'!C:G,5,0)</f>
        <v>S1</v>
      </c>
    </row>
    <row r="15" spans="1:18">
      <c r="A15" s="256">
        <f>ROWS($B$5:B13)</f>
        <v>9</v>
      </c>
      <c r="B15" s="256" t="s">
        <v>1817</v>
      </c>
      <c r="C15" s="256" t="s">
        <v>1818</v>
      </c>
      <c r="D15" s="256" t="s">
        <v>1655</v>
      </c>
      <c r="E15" s="256" t="s">
        <v>1173</v>
      </c>
      <c r="F15" s="256" t="s">
        <v>120</v>
      </c>
      <c r="G15" s="290"/>
      <c r="H15" s="236" t="b">
        <v>0</v>
      </c>
      <c r="I15" s="236" t="b">
        <v>1</v>
      </c>
      <c r="J15" s="236" t="b">
        <v>0</v>
      </c>
      <c r="K15" s="236" t="b">
        <v>0</v>
      </c>
      <c r="L15" s="236" t="b">
        <v>0</v>
      </c>
      <c r="M15" s="236" t="b">
        <v>0</v>
      </c>
      <c r="N15" s="236" t="b">
        <v>0</v>
      </c>
      <c r="O15" s="256" t="str" cm="1">
        <f t="array" ref="O15">IF(SUMPRODUCT((Cert_Matrix!$A$58:$A$62=E15)*(Cert_Matrix!$BZ$58:$CD$62="X")*(H15:L15=TRUE))&lt;SUMPRODUCT((Cert_Matrix!$A$58:$A$62=E15)*(Cert_Matrix!$BZ$58:$CD$62="X")),"Thiếu chứng nhận","Đủ điều kiện")</f>
        <v>Đủ điều kiện</v>
      </c>
      <c r="P15" s="287"/>
      <c r="Q15" s="256"/>
      <c r="R15" s="257" t="str">
        <f>VLOOKUP(B15,'HC Arrow'!C:G,5,0)</f>
        <v>S1</v>
      </c>
    </row>
    <row r="16" spans="1:18">
      <c r="A16" s="256">
        <f>ROWS($B$5:B14)</f>
        <v>10</v>
      </c>
      <c r="B16" s="256" t="s">
        <v>1819</v>
      </c>
      <c r="C16" s="256" t="s">
        <v>1820</v>
      </c>
      <c r="D16" s="256" t="s">
        <v>1814</v>
      </c>
      <c r="E16" s="256" t="s">
        <v>1183</v>
      </c>
      <c r="F16" s="256" t="s">
        <v>120</v>
      </c>
      <c r="G16" s="290"/>
      <c r="H16" s="236" t="b">
        <v>0</v>
      </c>
      <c r="I16" s="236" t="b">
        <v>0</v>
      </c>
      <c r="J16" s="236" t="b">
        <v>0</v>
      </c>
      <c r="K16" s="236" t="b">
        <v>0</v>
      </c>
      <c r="L16" s="236" t="b">
        <v>0</v>
      </c>
      <c r="M16" s="236" t="b">
        <v>0</v>
      </c>
      <c r="N16" s="236" t="b">
        <v>0</v>
      </c>
      <c r="O16" s="256" t="str" cm="1">
        <f t="array" ref="O16">IF(SUMPRODUCT((Cert_Matrix!$A$58:$A$62=E16)*(Cert_Matrix!$BZ$58:$CD$62="X")*(H16:L16=TRUE))&lt;SUMPRODUCT((Cert_Matrix!$A$58:$A$62=E16)*(Cert_Matrix!$BZ$58:$CD$62="X")),"Thiếu chứng nhận","Đủ điều kiện")</f>
        <v>Đủ điều kiện</v>
      </c>
      <c r="P16" s="287"/>
      <c r="Q16" s="256"/>
      <c r="R16" s="257" t="str">
        <f>VLOOKUP(B16,'HC Arrow'!C:G,5,0)</f>
        <v>S1</v>
      </c>
    </row>
    <row r="17" spans="1:18">
      <c r="A17" s="256">
        <f>ROWS($B$5:B15)</f>
        <v>11</v>
      </c>
      <c r="B17" s="256" t="s">
        <v>1821</v>
      </c>
      <c r="C17" s="256" t="s">
        <v>1822</v>
      </c>
      <c r="D17" s="256" t="s">
        <v>1225</v>
      </c>
      <c r="E17" s="256" t="s">
        <v>1657</v>
      </c>
      <c r="F17" s="256" t="s">
        <v>120</v>
      </c>
      <c r="G17" s="290"/>
      <c r="H17" s="236" t="b">
        <v>1</v>
      </c>
      <c r="I17" s="236" t="b">
        <v>0</v>
      </c>
      <c r="J17" s="236" t="b">
        <v>0</v>
      </c>
      <c r="K17" s="236" t="b">
        <v>0</v>
      </c>
      <c r="L17" s="236" t="b">
        <v>0</v>
      </c>
      <c r="M17" s="236" t="b">
        <v>0</v>
      </c>
      <c r="N17" s="236" t="b">
        <v>0</v>
      </c>
      <c r="O17" s="256" t="str" cm="1">
        <f t="array" ref="O17">IF(SUMPRODUCT((Cert_Matrix!$A$58:$A$62=E17)*(Cert_Matrix!$BZ$58:$CD$62="X")*(H17:L17=TRUE))&lt;SUMPRODUCT((Cert_Matrix!$A$58:$A$62=E17)*(Cert_Matrix!$BZ$58:$CD$62="X")),"Thiếu chứng nhận","Đủ điều kiện")</f>
        <v>Đủ điều kiện</v>
      </c>
      <c r="P17" s="287"/>
      <c r="Q17" s="256"/>
      <c r="R17" s="257" t="str">
        <f>VLOOKUP(B17,'HC Arrow'!C:G,5,0)</f>
        <v>S1</v>
      </c>
    </row>
    <row r="18" spans="1:18">
      <c r="A18" s="256">
        <f>ROWS($B$5:B16)</f>
        <v>12</v>
      </c>
      <c r="B18" s="256" t="s">
        <v>1823</v>
      </c>
      <c r="C18" s="256" t="s">
        <v>1824</v>
      </c>
      <c r="D18" s="256" t="s">
        <v>1225</v>
      </c>
      <c r="E18" s="256" t="s">
        <v>1173</v>
      </c>
      <c r="F18" s="256" t="s">
        <v>120</v>
      </c>
      <c r="G18" s="290">
        <v>46123</v>
      </c>
      <c r="H18" s="236" t="b">
        <v>0</v>
      </c>
      <c r="I18" s="236" t="b">
        <v>1</v>
      </c>
      <c r="J18" s="236" t="b">
        <v>0</v>
      </c>
      <c r="K18" s="236" t="b">
        <v>0</v>
      </c>
      <c r="L18" s="236" t="b">
        <v>0</v>
      </c>
      <c r="M18" s="236" t="b">
        <v>0</v>
      </c>
      <c r="N18" s="236" t="b">
        <v>0</v>
      </c>
      <c r="O18" s="256" t="str" cm="1">
        <f t="array" ref="O18">IF(SUMPRODUCT((Cert_Matrix!$A$58:$A$62=E18)*(Cert_Matrix!$BZ$58:$CD$62="X")*(H18:L18=TRUE))&lt;SUMPRODUCT((Cert_Matrix!$A$58:$A$62=E18)*(Cert_Matrix!$BZ$58:$CD$62="X")),"Thiếu chứng nhận","Đủ điều kiện")</f>
        <v>Đủ điều kiện</v>
      </c>
      <c r="P18" s="287"/>
      <c r="Q18" s="256"/>
      <c r="R18" s="257" t="str">
        <f>VLOOKUP(B18,'HC Arrow'!C:G,5,0)</f>
        <v>S1</v>
      </c>
    </row>
    <row r="19" spans="1:18">
      <c r="A19" s="256">
        <f>ROWS($B$5:B17)</f>
        <v>13</v>
      </c>
      <c r="B19" s="256" t="s">
        <v>1825</v>
      </c>
      <c r="C19" s="256" t="s">
        <v>1826</v>
      </c>
      <c r="D19" s="256" t="s">
        <v>1292</v>
      </c>
      <c r="E19" s="256" t="s">
        <v>1173</v>
      </c>
      <c r="F19" s="256" t="s">
        <v>120</v>
      </c>
      <c r="G19" s="290">
        <v>46127</v>
      </c>
      <c r="H19" s="236" t="b">
        <v>1</v>
      </c>
      <c r="I19" s="236" t="b">
        <v>1</v>
      </c>
      <c r="J19" s="236" t="b">
        <v>1</v>
      </c>
      <c r="K19" s="236" t="b">
        <v>1</v>
      </c>
      <c r="L19" s="236" t="b">
        <v>1</v>
      </c>
      <c r="M19" s="236" t="b">
        <v>1</v>
      </c>
      <c r="N19" s="236" t="b">
        <v>0</v>
      </c>
      <c r="O19" s="256" t="str" cm="1">
        <f t="array" ref="O19">IF(SUMPRODUCT((Cert_Matrix!$A$58:$A$62=E19)*(Cert_Matrix!$BZ$58:$CD$62="X")*(H19:L19=TRUE))&lt;SUMPRODUCT((Cert_Matrix!$A$58:$A$62=E19)*(Cert_Matrix!$BZ$58:$CD$62="X")),"Thiếu chứng nhận","Đủ điều kiện")</f>
        <v>Đủ điều kiện</v>
      </c>
      <c r="P19" s="287"/>
      <c r="Q19" s="256"/>
      <c r="R19" s="257" t="str">
        <f>VLOOKUP(B19,'HC Arrow'!C:G,5,0)</f>
        <v>S2</v>
      </c>
    </row>
    <row r="20" spans="1:18">
      <c r="A20" s="256">
        <f>ROWS($B$5:B18)</f>
        <v>14</v>
      </c>
      <c r="B20" s="256" t="s">
        <v>247</v>
      </c>
      <c r="C20" s="256" t="s">
        <v>248</v>
      </c>
      <c r="D20" s="256" t="s">
        <v>1650</v>
      </c>
      <c r="E20" s="256" t="s">
        <v>1173</v>
      </c>
      <c r="F20" s="256" t="s">
        <v>120</v>
      </c>
      <c r="G20" s="290">
        <v>46175</v>
      </c>
      <c r="H20" s="236" t="b">
        <v>1</v>
      </c>
      <c r="I20" s="236" t="b">
        <v>1</v>
      </c>
      <c r="J20" s="236" t="b">
        <v>1</v>
      </c>
      <c r="K20" s="236" t="b">
        <v>1</v>
      </c>
      <c r="L20" s="236" t="b">
        <v>1</v>
      </c>
      <c r="M20" s="236" t="b">
        <v>1</v>
      </c>
      <c r="N20" s="236" t="b">
        <v>0</v>
      </c>
      <c r="O20" s="256" t="str" cm="1">
        <f t="array" ref="O20">IF(SUMPRODUCT((Cert_Matrix!$A$58:$A$62=E20)*(Cert_Matrix!$BZ$58:$CD$62="X")*(H20:L20=TRUE))&lt;SUMPRODUCT((Cert_Matrix!$A$58:$A$62=E20)*(Cert_Matrix!$BZ$58:$CD$62="X")),"Thiếu chứng nhận","Đủ điều kiện")</f>
        <v>Đủ điều kiện</v>
      </c>
      <c r="P20" s="287"/>
      <c r="Q20" s="256"/>
      <c r="R20" s="257" t="str">
        <f>VLOOKUP(B20,'HC Arrow'!C:G,5,0)</f>
        <v>S2</v>
      </c>
    </row>
    <row r="21" spans="1:18">
      <c r="A21" s="256">
        <f>ROWS($B$5:B19)</f>
        <v>15</v>
      </c>
      <c r="B21" s="256" t="s">
        <v>1827</v>
      </c>
      <c r="C21" s="256" t="s">
        <v>1828</v>
      </c>
      <c r="D21" s="256" t="s">
        <v>1814</v>
      </c>
      <c r="E21" s="256" t="s">
        <v>1183</v>
      </c>
      <c r="F21" s="256" t="s">
        <v>120</v>
      </c>
      <c r="G21" s="290"/>
      <c r="H21" s="236" t="b">
        <v>1</v>
      </c>
      <c r="I21" s="236" t="b">
        <v>0</v>
      </c>
      <c r="J21" s="236" t="b">
        <v>1</v>
      </c>
      <c r="K21" s="236" t="b">
        <v>1</v>
      </c>
      <c r="L21" s="236" t="b">
        <v>1</v>
      </c>
      <c r="M21" s="236" t="b">
        <v>0</v>
      </c>
      <c r="N21" s="236" t="b">
        <v>0</v>
      </c>
      <c r="O21" s="256" t="str" cm="1">
        <f t="array" ref="O21">IF(SUMPRODUCT((Cert_Matrix!$A$58:$A$62=E21)*(Cert_Matrix!$BZ$58:$CD$62="X")*(H21:L21=TRUE))&lt;SUMPRODUCT((Cert_Matrix!$A$58:$A$62=E21)*(Cert_Matrix!$BZ$58:$CD$62="X")),"Thiếu chứng nhận","Đủ điều kiện")</f>
        <v>Đủ điều kiện</v>
      </c>
      <c r="P21" s="287"/>
      <c r="Q21" s="256"/>
      <c r="R21" s="257" t="str">
        <f>VLOOKUP(B21,'HC Arrow'!C:G,5,0)</f>
        <v>S2</v>
      </c>
    </row>
    <row r="22" spans="1:18">
      <c r="A22" s="256">
        <f>ROWS($B$5:B20)</f>
        <v>16</v>
      </c>
      <c r="B22" s="256" t="s">
        <v>1829</v>
      </c>
      <c r="C22" s="256" t="s">
        <v>807</v>
      </c>
      <c r="D22" s="256" t="s">
        <v>1655</v>
      </c>
      <c r="E22" s="256" t="s">
        <v>1173</v>
      </c>
      <c r="F22" s="256" t="s">
        <v>120</v>
      </c>
      <c r="G22" s="290"/>
      <c r="H22" s="236" t="b">
        <v>0</v>
      </c>
      <c r="I22" s="236" t="b">
        <v>1</v>
      </c>
      <c r="J22" s="236" t="b">
        <v>0</v>
      </c>
      <c r="K22" s="236" t="b">
        <v>0</v>
      </c>
      <c r="L22" s="236" t="b">
        <v>0</v>
      </c>
      <c r="M22" s="236" t="b">
        <v>0</v>
      </c>
      <c r="N22" s="236" t="b">
        <v>0</v>
      </c>
      <c r="O22" s="256" t="str" cm="1">
        <f t="array" ref="O22">IF(SUMPRODUCT((Cert_Matrix!$A$58:$A$62=E22)*(Cert_Matrix!$BZ$58:$CD$62="X")*(H22:L22=TRUE))&lt;SUMPRODUCT((Cert_Matrix!$A$58:$A$62=E22)*(Cert_Matrix!$BZ$58:$CD$62="X")),"Thiếu chứng nhận","Đủ điều kiện")</f>
        <v>Đủ điều kiện</v>
      </c>
      <c r="P22" s="287"/>
      <c r="Q22" s="256"/>
      <c r="R22" s="257" t="str">
        <f>VLOOKUP(B22,'HC Arrow'!C:G,5,0)</f>
        <v>S2</v>
      </c>
    </row>
    <row r="23" spans="1:18">
      <c r="A23" s="256">
        <f>ROWS($B$5:B21)</f>
        <v>17</v>
      </c>
      <c r="B23" s="256" t="s">
        <v>251</v>
      </c>
      <c r="C23" s="256" t="s">
        <v>252</v>
      </c>
      <c r="D23" s="256" t="s">
        <v>1650</v>
      </c>
      <c r="E23" s="256" t="s">
        <v>1173</v>
      </c>
      <c r="F23" s="256" t="s">
        <v>120</v>
      </c>
      <c r="G23" s="290"/>
      <c r="H23" s="236" t="b">
        <v>0</v>
      </c>
      <c r="I23" s="236" t="b">
        <v>1</v>
      </c>
      <c r="J23" s="236" t="b">
        <v>0</v>
      </c>
      <c r="K23" s="236" t="b">
        <v>0</v>
      </c>
      <c r="L23" s="236" t="b">
        <v>0</v>
      </c>
      <c r="M23" s="236" t="b">
        <v>0</v>
      </c>
      <c r="N23" s="236" t="b">
        <v>0</v>
      </c>
      <c r="O23" s="256" t="str" cm="1">
        <f t="array" ref="O23">IF(SUMPRODUCT((Cert_Matrix!$A$58:$A$62=E23)*(Cert_Matrix!$BZ$58:$CD$62="X")*(H23:L23=TRUE))&lt;SUMPRODUCT((Cert_Matrix!$A$58:$A$62=E23)*(Cert_Matrix!$BZ$58:$CD$62="X")),"Thiếu chứng nhận","Đủ điều kiện")</f>
        <v>Đủ điều kiện</v>
      </c>
      <c r="P23" s="287"/>
      <c r="Q23" s="256"/>
      <c r="R23" s="257" t="str">
        <f>VLOOKUP(B23,'HC Arrow'!C:G,5,0)</f>
        <v>S2</v>
      </c>
    </row>
    <row r="24" spans="1:18">
      <c r="A24" s="256">
        <f>ROWS($B$5:B22)</f>
        <v>18</v>
      </c>
      <c r="B24" s="256" t="s">
        <v>866</v>
      </c>
      <c r="C24" s="256" t="s">
        <v>867</v>
      </c>
      <c r="D24" s="256" t="s">
        <v>1655</v>
      </c>
      <c r="E24" s="256" t="s">
        <v>1173</v>
      </c>
      <c r="F24" s="256" t="s">
        <v>120</v>
      </c>
      <c r="G24" s="290">
        <v>46168</v>
      </c>
      <c r="H24" s="236" t="b">
        <v>1</v>
      </c>
      <c r="I24" s="236" t="b">
        <v>1</v>
      </c>
      <c r="J24" s="236" t="b">
        <v>0</v>
      </c>
      <c r="K24" s="236" t="b">
        <v>1</v>
      </c>
      <c r="L24" s="236" t="b">
        <v>1</v>
      </c>
      <c r="M24" s="236" t="b">
        <v>0</v>
      </c>
      <c r="N24" s="236" t="b">
        <v>0</v>
      </c>
      <c r="O24" s="256" t="str" cm="1">
        <f t="array" ref="O24">IF(SUMPRODUCT((Cert_Matrix!$A$58:$A$62=E24)*(Cert_Matrix!$BZ$58:$CD$62="X")*(H24:L24=TRUE))&lt;SUMPRODUCT((Cert_Matrix!$A$58:$A$62=E24)*(Cert_Matrix!$BZ$58:$CD$62="X")),"Thiếu chứng nhận","Đủ điều kiện")</f>
        <v>Đủ điều kiện</v>
      </c>
      <c r="P24" s="287"/>
      <c r="Q24" s="256"/>
      <c r="R24" s="257" t="str">
        <f>VLOOKUP(B24,'HC Arrow'!C:G,5,0)</f>
        <v>S2</v>
      </c>
    </row>
    <row r="25" spans="1:18">
      <c r="A25" s="256">
        <f>ROWS($B$5:B23)</f>
        <v>19</v>
      </c>
      <c r="B25" s="256" t="s">
        <v>1830</v>
      </c>
      <c r="C25" s="256" t="s">
        <v>1831</v>
      </c>
      <c r="D25" s="256" t="s">
        <v>1814</v>
      </c>
      <c r="E25" s="256" t="s">
        <v>1183</v>
      </c>
      <c r="F25" s="256" t="s">
        <v>120</v>
      </c>
      <c r="G25" s="290"/>
      <c r="H25" s="236" t="b">
        <v>0</v>
      </c>
      <c r="I25" s="236" t="b">
        <v>0</v>
      </c>
      <c r="J25" s="236" t="b">
        <v>0</v>
      </c>
      <c r="K25" s="236" t="b">
        <v>1</v>
      </c>
      <c r="L25" s="236" t="b">
        <v>1</v>
      </c>
      <c r="M25" s="236" t="b">
        <v>0</v>
      </c>
      <c r="N25" s="236" t="b">
        <v>0</v>
      </c>
      <c r="O25" s="256" t="str" cm="1">
        <f t="array" ref="O25">IF(SUMPRODUCT((Cert_Matrix!$A$58:$A$62=E25)*(Cert_Matrix!$BZ$58:$CD$62="X")*(H25:L25=TRUE))&lt;SUMPRODUCT((Cert_Matrix!$A$58:$A$62=E25)*(Cert_Matrix!$BZ$58:$CD$62="X")),"Thiếu chứng nhận","Đủ điều kiện")</f>
        <v>Đủ điều kiện</v>
      </c>
      <c r="P25" s="287"/>
      <c r="Q25" s="256"/>
      <c r="R25" s="257" t="str">
        <f>VLOOKUP(B25,'HC Arrow'!C:G,5,0)</f>
        <v>S2</v>
      </c>
    </row>
    <row r="26" spans="1:18">
      <c r="A26" s="256">
        <f>ROWS($B$5:B24)</f>
        <v>20</v>
      </c>
      <c r="B26" s="256" t="s">
        <v>1832</v>
      </c>
      <c r="C26" s="256" t="s">
        <v>1833</v>
      </c>
      <c r="D26" s="256" t="s">
        <v>1814</v>
      </c>
      <c r="E26" s="256" t="s">
        <v>1183</v>
      </c>
      <c r="F26" s="256" t="s">
        <v>120</v>
      </c>
      <c r="G26" s="290"/>
      <c r="H26" s="236" t="b">
        <v>1</v>
      </c>
      <c r="I26" s="236" t="b">
        <v>0</v>
      </c>
      <c r="J26" s="236" t="b">
        <v>1</v>
      </c>
      <c r="K26" s="236" t="b">
        <v>1</v>
      </c>
      <c r="L26" s="236" t="b">
        <v>1</v>
      </c>
      <c r="M26" s="236" t="b">
        <v>0</v>
      </c>
      <c r="N26" s="236" t="b">
        <v>0</v>
      </c>
      <c r="O26" s="256" t="str" cm="1">
        <f t="array" ref="O26">IF(SUMPRODUCT((Cert_Matrix!$A$58:$A$62=E26)*(Cert_Matrix!$BZ$58:$CD$62="X")*(H26:L26=TRUE))&lt;SUMPRODUCT((Cert_Matrix!$A$58:$A$62=E26)*(Cert_Matrix!$BZ$58:$CD$62="X")),"Thiếu chứng nhận","Đủ điều kiện")</f>
        <v>Đủ điều kiện</v>
      </c>
      <c r="P26" s="287"/>
      <c r="Q26" s="256"/>
      <c r="R26" s="257" t="str">
        <f>VLOOKUP(B26,'HC Arrow'!C:G,5,0)</f>
        <v>S2</v>
      </c>
    </row>
    <row r="27" spans="1:18">
      <c r="A27" s="256">
        <f>ROWS($B$5:B25)</f>
        <v>21</v>
      </c>
      <c r="B27" s="256" t="s">
        <v>1834</v>
      </c>
      <c r="C27" s="256" t="s">
        <v>1835</v>
      </c>
      <c r="D27" s="256" t="s">
        <v>1661</v>
      </c>
      <c r="E27" s="256" t="s">
        <v>1657</v>
      </c>
      <c r="F27" s="256" t="s">
        <v>120</v>
      </c>
      <c r="G27" s="290">
        <v>46168</v>
      </c>
      <c r="H27" s="236" t="b">
        <v>1</v>
      </c>
      <c r="I27" s="236" t="b">
        <v>0</v>
      </c>
      <c r="J27" s="236" t="b">
        <v>1</v>
      </c>
      <c r="K27" s="236" t="b">
        <v>1</v>
      </c>
      <c r="L27" s="236" t="b">
        <v>1</v>
      </c>
      <c r="M27" s="236" t="b">
        <v>0</v>
      </c>
      <c r="N27" s="236" t="b">
        <v>0</v>
      </c>
      <c r="O27" s="256" t="str" cm="1">
        <f t="array" ref="O27">IF(SUMPRODUCT((Cert_Matrix!$A$58:$A$62=E27)*(Cert_Matrix!$BZ$58:$CD$62="X")*(H27:L27=TRUE))&lt;SUMPRODUCT((Cert_Matrix!$A$58:$A$62=E27)*(Cert_Matrix!$BZ$58:$CD$62="X")),"Thiếu chứng nhận","Đủ điều kiện")</f>
        <v>Đủ điều kiện</v>
      </c>
      <c r="P27" s="287"/>
      <c r="Q27" s="256"/>
      <c r="R27" s="257" t="str">
        <f>VLOOKUP(B27,'HC Arrow'!C:G,5,0)</f>
        <v>S2</v>
      </c>
    </row>
    <row r="28" spans="1:18">
      <c r="A28" s="256">
        <f>ROWS($B$5:B26)</f>
        <v>22</v>
      </c>
      <c r="B28" s="256" t="s">
        <v>1836</v>
      </c>
      <c r="C28" s="256" t="s">
        <v>975</v>
      </c>
      <c r="D28" s="256" t="s">
        <v>1655</v>
      </c>
      <c r="E28" s="256" t="s">
        <v>1173</v>
      </c>
      <c r="F28" s="256" t="s">
        <v>120</v>
      </c>
      <c r="G28" s="290">
        <v>46168</v>
      </c>
      <c r="H28" s="236" t="b">
        <v>1</v>
      </c>
      <c r="I28" s="236" t="b">
        <v>1</v>
      </c>
      <c r="J28" s="236" t="b">
        <v>0</v>
      </c>
      <c r="K28" s="236" t="b">
        <v>0</v>
      </c>
      <c r="L28" s="236" t="b">
        <v>1</v>
      </c>
      <c r="M28" s="236" t="b">
        <v>0</v>
      </c>
      <c r="N28" s="236" t="b">
        <v>0</v>
      </c>
      <c r="O28" s="256" t="str" cm="1">
        <f t="array" ref="O28">IF(SUMPRODUCT((Cert_Matrix!$A$58:$A$62=E28)*(Cert_Matrix!$BZ$58:$CD$62="X")*(H28:L28=TRUE))&lt;SUMPRODUCT((Cert_Matrix!$A$58:$A$62=E28)*(Cert_Matrix!$BZ$58:$CD$62="X")),"Thiếu chứng nhận","Đủ điều kiện")</f>
        <v>Đủ điều kiện</v>
      </c>
      <c r="P28" s="287"/>
      <c r="Q28" s="256"/>
      <c r="R28" s="257" t="str">
        <f>VLOOKUP(B28,'HC Arrow'!C:G,5,0)</f>
        <v>S2</v>
      </c>
    </row>
    <row r="29" spans="1:18">
      <c r="A29" s="256">
        <f>ROWS($B$5:B27)</f>
        <v>23</v>
      </c>
      <c r="B29" s="256" t="s">
        <v>1837</v>
      </c>
      <c r="C29" s="256" t="s">
        <v>1838</v>
      </c>
      <c r="D29" s="256" t="s">
        <v>1225</v>
      </c>
      <c r="E29" s="256" t="s">
        <v>1839</v>
      </c>
      <c r="F29" s="256" t="s">
        <v>120</v>
      </c>
      <c r="G29" s="290"/>
      <c r="H29" s="236" t="b">
        <v>0</v>
      </c>
      <c r="I29" s="236" t="b">
        <v>0</v>
      </c>
      <c r="J29" s="236" t="b">
        <v>0</v>
      </c>
      <c r="K29" s="236" t="b">
        <v>0</v>
      </c>
      <c r="L29" s="236" t="b">
        <v>0</v>
      </c>
      <c r="M29" s="236" t="b">
        <v>0</v>
      </c>
      <c r="N29" s="236" t="b">
        <v>0</v>
      </c>
      <c r="O29" s="256" t="str" cm="1">
        <f t="array" ref="O29">IF(SUMPRODUCT((Cert_Matrix!$A$58:$A$62=E29)*(Cert_Matrix!$BZ$58:$CD$62="X")*(H29:L29=TRUE))&lt;SUMPRODUCT((Cert_Matrix!$A$58:$A$62=E29)*(Cert_Matrix!$BZ$58:$CD$62="X")),"Thiếu chứng nhận","Đủ điều kiện")</f>
        <v>Đủ điều kiện</v>
      </c>
      <c r="P29" s="287"/>
      <c r="Q29" s="256"/>
      <c r="R29" s="257" t="str">
        <f>VLOOKUP(B29,'HC Arrow'!C:G,5,0)</f>
        <v>S2</v>
      </c>
    </row>
    <row r="30" spans="1:18">
      <c r="A30" s="256">
        <f>ROWS($B$5:B28)</f>
        <v>24</v>
      </c>
      <c r="B30" s="256" t="s">
        <v>1840</v>
      </c>
      <c r="C30" s="256" t="s">
        <v>450</v>
      </c>
      <c r="D30" s="256" t="s">
        <v>1225</v>
      </c>
      <c r="E30" s="256" t="s">
        <v>1173</v>
      </c>
      <c r="F30" s="256" t="s">
        <v>120</v>
      </c>
      <c r="G30" s="290">
        <v>46127</v>
      </c>
      <c r="H30" s="236" t="b">
        <v>1</v>
      </c>
      <c r="I30" s="236" t="b">
        <v>1</v>
      </c>
      <c r="J30" s="236" t="b">
        <v>0</v>
      </c>
      <c r="K30" s="236" t="b">
        <v>0</v>
      </c>
      <c r="L30" s="236" t="b">
        <v>0</v>
      </c>
      <c r="M30" s="236" t="b">
        <v>0</v>
      </c>
      <c r="N30" s="236" t="b">
        <v>0</v>
      </c>
      <c r="O30" s="256" t="str" cm="1">
        <f t="array" ref="O30">IF(SUMPRODUCT((Cert_Matrix!$A$58:$A$62=E30)*(Cert_Matrix!$BZ$58:$CD$62="X")*(H30:L30=TRUE))&lt;SUMPRODUCT((Cert_Matrix!$A$58:$A$62=E30)*(Cert_Matrix!$BZ$58:$CD$62="X")),"Thiếu chứng nhận","Đủ điều kiện")</f>
        <v>Đủ điều kiện</v>
      </c>
      <c r="P30" s="287"/>
      <c r="Q30" s="256"/>
      <c r="R30" s="257" t="str">
        <f>VLOOKUP(B30,'HC Arrow'!C:G,5,0)</f>
        <v>S2</v>
      </c>
    </row>
    <row r="31" spans="1:18">
      <c r="A31" s="256">
        <f>ROWS($B$5:B29)</f>
        <v>25</v>
      </c>
      <c r="B31" s="256" t="s">
        <v>1841</v>
      </c>
      <c r="C31" s="256" t="s">
        <v>478</v>
      </c>
      <c r="D31" s="256" t="s">
        <v>1225</v>
      </c>
      <c r="E31" s="256" t="s">
        <v>1842</v>
      </c>
      <c r="F31" s="256" t="s">
        <v>120</v>
      </c>
      <c r="G31" s="290"/>
      <c r="H31" s="236" t="b">
        <v>0</v>
      </c>
      <c r="I31" s="236" t="b">
        <v>0</v>
      </c>
      <c r="J31" s="236" t="b">
        <v>0</v>
      </c>
      <c r="K31" s="236" t="b">
        <v>0</v>
      </c>
      <c r="L31" s="236" t="b">
        <v>0</v>
      </c>
      <c r="M31" s="236" t="b">
        <v>0</v>
      </c>
      <c r="N31" s="236" t="b">
        <v>0</v>
      </c>
      <c r="O31" s="256" t="str" cm="1">
        <f t="array" ref="O31">IF(SUMPRODUCT((Cert_Matrix!$A$58:$A$62=E31)*(Cert_Matrix!$BZ$58:$CD$62="X")*(H31:L31=TRUE))&lt;SUMPRODUCT((Cert_Matrix!$A$58:$A$62=E31)*(Cert_Matrix!$BZ$58:$CD$62="X")),"Thiếu chứng nhận","Đủ điều kiện")</f>
        <v>Đủ điều kiện</v>
      </c>
      <c r="P31" s="287"/>
      <c r="Q31" s="256"/>
      <c r="R31" s="257" t="str">
        <f>VLOOKUP(B31,'HC Arrow'!C:G,5,0)</f>
        <v>S1</v>
      </c>
    </row>
    <row r="32" spans="1:18">
      <c r="A32" s="256">
        <f>ROWS($B$5:B30)</f>
        <v>26</v>
      </c>
      <c r="B32" s="256" t="s">
        <v>1843</v>
      </c>
      <c r="C32" s="256" t="s">
        <v>1844</v>
      </c>
      <c r="D32" s="256" t="s">
        <v>1661</v>
      </c>
      <c r="E32" s="256" t="s">
        <v>1657</v>
      </c>
      <c r="F32" s="256" t="s">
        <v>120</v>
      </c>
      <c r="G32" s="290"/>
      <c r="H32" s="236" t="b">
        <v>1</v>
      </c>
      <c r="I32" s="236" t="b">
        <v>1</v>
      </c>
      <c r="J32" s="236" t="b">
        <v>1</v>
      </c>
      <c r="K32" s="236" t="b">
        <v>1</v>
      </c>
      <c r="L32" s="236" t="b">
        <v>1</v>
      </c>
      <c r="M32" s="236" t="b">
        <v>0</v>
      </c>
      <c r="N32" s="236" t="b">
        <v>0</v>
      </c>
      <c r="O32" s="256" t="str" cm="1">
        <f t="array" ref="O32">IF(SUMPRODUCT((Cert_Matrix!$A$58:$A$62=E32)*(Cert_Matrix!$BZ$58:$CD$62="X")*(H32:L32=TRUE))&lt;SUMPRODUCT((Cert_Matrix!$A$58:$A$62=E32)*(Cert_Matrix!$BZ$58:$CD$62="X")),"Thiếu chứng nhận","Đủ điều kiện")</f>
        <v>Đủ điều kiện</v>
      </c>
      <c r="P32" s="287"/>
      <c r="Q32" s="256"/>
      <c r="R32" s="257" t="str">
        <f>VLOOKUP(B32,'HC Arrow'!C:G,5,0)</f>
        <v>S2</v>
      </c>
    </row>
    <row r="33" spans="1:18">
      <c r="A33" s="256">
        <f>ROWS($B$5:B31)</f>
        <v>27</v>
      </c>
      <c r="B33" s="256" t="s">
        <v>1845</v>
      </c>
      <c r="C33" s="256" t="s">
        <v>1846</v>
      </c>
      <c r="D33" s="256" t="s">
        <v>1225</v>
      </c>
      <c r="E33" s="256" t="s">
        <v>1183</v>
      </c>
      <c r="F33" s="256" t="s">
        <v>120</v>
      </c>
      <c r="G33" s="290"/>
      <c r="H33" s="236" t="b">
        <v>0</v>
      </c>
      <c r="I33" s="236" t="b">
        <v>0</v>
      </c>
      <c r="J33" s="236" t="b">
        <v>0</v>
      </c>
      <c r="K33" s="236" t="b">
        <v>0</v>
      </c>
      <c r="L33" s="236" t="b">
        <v>0</v>
      </c>
      <c r="M33" s="236" t="b">
        <v>0</v>
      </c>
      <c r="N33" s="236" t="b">
        <v>0</v>
      </c>
      <c r="O33" s="256" t="str" cm="1">
        <f t="array" ref="O33">IF(SUMPRODUCT((Cert_Matrix!$A$58:$A$62=E33)*(Cert_Matrix!$BZ$58:$CD$62="X")*(H33:L33=TRUE))&lt;SUMPRODUCT((Cert_Matrix!$A$58:$A$62=E33)*(Cert_Matrix!$BZ$58:$CD$62="X")),"Thiếu chứng nhận","Đủ điều kiện")</f>
        <v>Đủ điều kiện</v>
      </c>
      <c r="P33" s="287"/>
      <c r="Q33" s="256"/>
      <c r="R33" s="257" t="str">
        <f>VLOOKUP(B33,'HC Arrow'!C:G,5,0)</f>
        <v>S2</v>
      </c>
    </row>
    <row r="34" spans="1:18">
      <c r="A34" s="256">
        <f>ROWS($B$5:B32)</f>
        <v>28</v>
      </c>
      <c r="B34" s="256" t="s">
        <v>1847</v>
      </c>
      <c r="C34" s="256" t="s">
        <v>1848</v>
      </c>
      <c r="D34" s="256" t="s">
        <v>1661</v>
      </c>
      <c r="E34" s="256" t="s">
        <v>1657</v>
      </c>
      <c r="F34" s="256" t="s">
        <v>120</v>
      </c>
      <c r="G34" s="290"/>
      <c r="H34" s="236" t="b">
        <v>1</v>
      </c>
      <c r="I34" s="236" t="b">
        <v>0</v>
      </c>
      <c r="J34" s="236" t="b">
        <v>0</v>
      </c>
      <c r="K34" s="236" t="b">
        <v>0</v>
      </c>
      <c r="L34" s="236" t="b">
        <v>0</v>
      </c>
      <c r="M34" s="236" t="b">
        <v>0</v>
      </c>
      <c r="N34" s="236" t="b">
        <v>0</v>
      </c>
      <c r="O34" s="256" t="str" cm="1">
        <f t="array" ref="O34">IF(SUMPRODUCT((Cert_Matrix!$A$58:$A$62=E34)*(Cert_Matrix!$BZ$58:$CD$62="X")*(H34:L34=TRUE))&lt;SUMPRODUCT((Cert_Matrix!$A$58:$A$62=E34)*(Cert_Matrix!$BZ$58:$CD$62="X")),"Thiếu chứng nhận","Đủ điều kiện")</f>
        <v>Đủ điều kiện</v>
      </c>
      <c r="P34" s="287"/>
      <c r="Q34" s="256"/>
      <c r="R34" s="257" t="str">
        <f>VLOOKUP(B34,'HC Arrow'!C:G,5,0)</f>
        <v>S3</v>
      </c>
    </row>
    <row r="35" spans="1:18">
      <c r="A35" s="256">
        <f>ROWS($B$5:B33)</f>
        <v>29</v>
      </c>
      <c r="B35" s="256" t="s">
        <v>1849</v>
      </c>
      <c r="C35" s="256" t="s">
        <v>968</v>
      </c>
      <c r="D35" s="256" t="s">
        <v>1655</v>
      </c>
      <c r="E35" s="256" t="s">
        <v>1173</v>
      </c>
      <c r="F35" s="256" t="s">
        <v>120</v>
      </c>
      <c r="G35" s="290">
        <v>46168</v>
      </c>
      <c r="H35" s="236" t="b">
        <v>1</v>
      </c>
      <c r="I35" s="236" t="b">
        <v>1</v>
      </c>
      <c r="J35" s="236" t="b">
        <v>1</v>
      </c>
      <c r="K35" s="236" t="b">
        <v>1</v>
      </c>
      <c r="L35" s="236" t="b">
        <v>1</v>
      </c>
      <c r="M35" s="236" t="b">
        <v>0</v>
      </c>
      <c r="N35" s="236" t="b">
        <v>0</v>
      </c>
      <c r="O35" s="256" t="str" cm="1">
        <f t="array" ref="O35">IF(SUMPRODUCT((Cert_Matrix!$A$58:$A$62=E35)*(Cert_Matrix!$BZ$58:$CD$62="X")*(H35:L35=TRUE))&lt;SUMPRODUCT((Cert_Matrix!$A$58:$A$62=E35)*(Cert_Matrix!$BZ$58:$CD$62="X")),"Thiếu chứng nhận","Đủ điều kiện")</f>
        <v>Đủ điều kiện</v>
      </c>
      <c r="P35" s="287"/>
      <c r="Q35" s="256"/>
      <c r="R35" s="257" t="str">
        <f>VLOOKUP(B35,'HC Arrow'!C:G,5,0)</f>
        <v>S2</v>
      </c>
    </row>
    <row r="36" spans="1:18">
      <c r="A36" s="256">
        <f>ROWS($B$5:B34)</f>
        <v>30</v>
      </c>
      <c r="B36" s="256" t="s">
        <v>1850</v>
      </c>
      <c r="C36" s="256" t="s">
        <v>1851</v>
      </c>
      <c r="D36" s="256" t="s">
        <v>1225</v>
      </c>
      <c r="E36" s="256" t="s">
        <v>1173</v>
      </c>
      <c r="F36" s="256" t="s">
        <v>120</v>
      </c>
      <c r="G36" s="290">
        <v>46123</v>
      </c>
      <c r="H36" s="236" t="b">
        <v>0</v>
      </c>
      <c r="I36" s="236" t="b">
        <v>1</v>
      </c>
      <c r="J36" s="236" t="b">
        <v>0</v>
      </c>
      <c r="K36" s="236" t="b">
        <v>0</v>
      </c>
      <c r="L36" s="236" t="b">
        <v>0</v>
      </c>
      <c r="M36" s="236" t="b">
        <v>0</v>
      </c>
      <c r="N36" s="236" t="b">
        <v>0</v>
      </c>
      <c r="O36" s="256" t="str" cm="1">
        <f t="array" ref="O36">IF(SUMPRODUCT((Cert_Matrix!$A$58:$A$62=E36)*(Cert_Matrix!$BZ$58:$CD$62="X")*(H36:L36=TRUE))&lt;SUMPRODUCT((Cert_Matrix!$A$58:$A$62=E36)*(Cert_Matrix!$BZ$58:$CD$62="X")),"Thiếu chứng nhận","Đủ điều kiện")</f>
        <v>Đủ điều kiện</v>
      </c>
      <c r="P36" s="287"/>
      <c r="Q36" s="256"/>
      <c r="R36" s="257" t="str">
        <f>VLOOKUP(B36,'HC Arrow'!C:G,5,0)</f>
        <v>S1</v>
      </c>
    </row>
    <row r="37" spans="1:18">
      <c r="A37" s="256">
        <f>ROWS($B$5:B35)</f>
        <v>31</v>
      </c>
      <c r="B37" s="256" t="s">
        <v>1852</v>
      </c>
      <c r="C37" s="256" t="s">
        <v>1853</v>
      </c>
      <c r="D37" s="256" t="s">
        <v>1225</v>
      </c>
      <c r="E37" s="256" t="s">
        <v>1183</v>
      </c>
      <c r="F37" s="256" t="s">
        <v>120</v>
      </c>
      <c r="G37" s="290"/>
      <c r="H37" s="236" t="b">
        <v>0</v>
      </c>
      <c r="I37" s="236" t="b">
        <v>0</v>
      </c>
      <c r="J37" s="236" t="b">
        <v>0</v>
      </c>
      <c r="K37" s="236" t="b">
        <v>0</v>
      </c>
      <c r="L37" s="236" t="b">
        <v>0</v>
      </c>
      <c r="M37" s="236" t="b">
        <v>0</v>
      </c>
      <c r="N37" s="236" t="b">
        <v>0</v>
      </c>
      <c r="O37" s="256" t="str" cm="1">
        <f t="array" ref="O37">IF(SUMPRODUCT((Cert_Matrix!$A$58:$A$62=E37)*(Cert_Matrix!$BZ$58:$CD$62="X")*(H37:L37=TRUE))&lt;SUMPRODUCT((Cert_Matrix!$A$58:$A$62=E37)*(Cert_Matrix!$BZ$58:$CD$62="X")),"Thiếu chứng nhận","Đủ điều kiện")</f>
        <v>Đủ điều kiện</v>
      </c>
      <c r="P37" s="287"/>
      <c r="Q37" s="256"/>
      <c r="R37" s="257" t="str">
        <f>VLOOKUP(B37,'HC Arrow'!C:G,5,0)</f>
        <v>S1</v>
      </c>
    </row>
    <row r="38" spans="1:18">
      <c r="A38" s="256">
        <f>ROWS($B$5:B36)</f>
        <v>32</v>
      </c>
      <c r="B38" s="256" t="s">
        <v>597</v>
      </c>
      <c r="C38" s="256" t="s">
        <v>598</v>
      </c>
      <c r="D38" s="256" t="s">
        <v>1655</v>
      </c>
      <c r="E38" s="256" t="s">
        <v>1173</v>
      </c>
      <c r="F38" s="256"/>
      <c r="G38" s="290"/>
      <c r="H38" s="236" t="b">
        <v>0</v>
      </c>
      <c r="I38" s="236" t="b">
        <v>1</v>
      </c>
      <c r="J38" s="236" t="b">
        <v>1</v>
      </c>
      <c r="K38" s="236" t="b">
        <v>0</v>
      </c>
      <c r="L38" s="236" t="b">
        <v>0</v>
      </c>
      <c r="M38" s="236" t="b">
        <v>0</v>
      </c>
      <c r="N38" s="236" t="b">
        <v>0</v>
      </c>
      <c r="O38" s="256" t="str" cm="1">
        <f t="array" ref="O38">IF(SUMPRODUCT((Cert_Matrix!$A$58:$A$62=E38)*(Cert_Matrix!$BZ$58:$CD$62="X")*(H38:L38=TRUE))&lt;SUMPRODUCT((Cert_Matrix!$A$58:$A$62=E38)*(Cert_Matrix!$BZ$58:$CD$62="X")),"Thiếu chứng nhận","Đủ điều kiện")</f>
        <v>Đủ điều kiện</v>
      </c>
      <c r="P38" s="287"/>
      <c r="Q38" s="256"/>
      <c r="R38" s="257" t="str">
        <f>VLOOKUP(B38,'HC Arrow'!C:G,5,0)</f>
        <v>S1</v>
      </c>
    </row>
    <row r="39" spans="1:18">
      <c r="A39" s="256">
        <f>ROWS($B$5:B37)</f>
        <v>33</v>
      </c>
      <c r="B39" s="256" t="s">
        <v>1854</v>
      </c>
      <c r="C39" s="256" t="s">
        <v>906</v>
      </c>
      <c r="D39" s="256" t="s">
        <v>1225</v>
      </c>
      <c r="E39" s="256" t="s">
        <v>1183</v>
      </c>
      <c r="F39" s="256" t="s">
        <v>120</v>
      </c>
      <c r="G39" s="290"/>
      <c r="H39" s="236" t="b">
        <v>0</v>
      </c>
      <c r="I39" s="236" t="b">
        <v>0</v>
      </c>
      <c r="J39" s="236" t="b">
        <v>0</v>
      </c>
      <c r="K39" s="236" t="b">
        <v>0</v>
      </c>
      <c r="L39" s="236" t="b">
        <v>0</v>
      </c>
      <c r="M39" s="236" t="b">
        <v>0</v>
      </c>
      <c r="N39" s="236" t="b">
        <v>0</v>
      </c>
      <c r="O39" s="256" t="str" cm="1">
        <f t="array" ref="O39">IF(SUMPRODUCT((Cert_Matrix!$A$58:$A$62=E39)*(Cert_Matrix!$BZ$58:$CD$62="X")*(H39:L39=TRUE))&lt;SUMPRODUCT((Cert_Matrix!$A$58:$A$62=E39)*(Cert_Matrix!$BZ$58:$CD$62="X")),"Thiếu chứng nhận","Đủ điều kiện")</f>
        <v>Đủ điều kiện</v>
      </c>
      <c r="P39" s="287"/>
      <c r="Q39" s="256"/>
      <c r="R39" s="257" t="str">
        <f>VLOOKUP(B39,'HC Arrow'!C:G,5,0)</f>
        <v>S1</v>
      </c>
    </row>
  </sheetData>
  <autoFilter ref="A5:G36" xr:uid="{14F30E54-C365-4E23-8C06-E793B87FDF62}"/>
  <mergeCells count="9">
    <mergeCell ref="H5:N5"/>
    <mergeCell ref="A2:G3"/>
    <mergeCell ref="A5:A6"/>
    <mergeCell ref="B5:B6"/>
    <mergeCell ref="C5:C6"/>
    <mergeCell ref="D5:D6"/>
    <mergeCell ref="F5:F6"/>
    <mergeCell ref="G5:G6"/>
    <mergeCell ref="E5:E6"/>
  </mergeCells>
  <conditionalFormatting sqref="B1:C37 B39:C1048576">
    <cfRule type="duplicateValues" dxfId="33" priority="7"/>
  </conditionalFormatting>
  <conditionalFormatting sqref="B38:C38">
    <cfRule type="duplicateValues" dxfId="32" priority="1"/>
    <cfRule type="duplicateValues" dxfId="31" priority="2"/>
    <cfRule type="duplicateValues" dxfId="30" priority="3"/>
  </conditionalFormatting>
  <conditionalFormatting sqref="H7:N39">
    <cfRule type="containsText" dxfId="29" priority="5" operator="containsText" text="false">
      <formula>NOT(ISERROR(SEARCH("false",H7)))</formula>
    </cfRule>
  </conditionalFormatting>
  <conditionalFormatting sqref="O1:O1048576">
    <cfRule type="containsText" dxfId="28" priority="4" operator="containsText" text="THIẾU CHỨNG NHẬN">
      <formula>NOT(ISERROR(SEARCH("THIẾU CHỨNG NHẬN",O1)))</formula>
    </cfRule>
  </conditionalFormatting>
  <dataValidations count="1">
    <dataValidation type="list" allowBlank="1" showInputMessage="1" showErrorMessage="1" sqref="P7:P39" xr:uid="{3C6D1964-3D2E-405B-9C7C-3882648AFB27}">
      <formula1>"CHƯA ĐÀO TẠO,ĐANG ĐÀO TẠO,CHỜ ĐÁNH GIÁ,CHỜ CẤP THẺ CNVH,ĐÁNH GIÁ LẠI"</formula1>
    </dataValidation>
  </dataValidations>
  <pageMargins left="0.16" right="0.16" top="0.16" bottom="0.16" header="0.16" footer="0.16"/>
  <pageSetup paperSize="9"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8F65-7BBC-411A-B522-3A596EB5272B}">
  <sheetPr>
    <tabColor theme="0" tint="-0.14999847407452621"/>
    <pageSetUpPr fitToPage="1"/>
  </sheetPr>
  <dimension ref="A1:AD22"/>
  <sheetViews>
    <sheetView showGridLines="0" zoomScale="90" zoomScaleNormal="90" workbookViewId="0">
      <pane xSplit="7" ySplit="7" topLeftCell="H8" activePane="bottomRight" state="frozen"/>
      <selection pane="bottomRight" activeCell="C9" sqref="C9"/>
      <selection pane="bottomLeft" activeCell="A8" sqref="A8"/>
      <selection pane="topRight" activeCell="G1" sqref="G1"/>
    </sheetView>
  </sheetViews>
  <sheetFormatPr defaultRowHeight="15"/>
  <cols>
    <col min="1" max="1" width="4" style="257" bestFit="1" customWidth="1"/>
    <col min="2" max="2" width="6.5703125" style="257" bestFit="1" customWidth="1"/>
    <col min="3" max="3" width="23.28515625" style="310" bestFit="1" customWidth="1"/>
    <col min="4" max="4" width="24.28515625" style="257" customWidth="1"/>
    <col min="5" max="5" width="17.140625" style="257" customWidth="1"/>
    <col min="6" max="6" width="17.140625" style="257" hidden="1" customWidth="1"/>
    <col min="7" max="7" width="15.28515625" style="257" bestFit="1" customWidth="1"/>
    <col min="8" max="8" width="6.28515625" customWidth="1"/>
    <col min="9" max="9" width="6" bestFit="1" customWidth="1"/>
    <col min="10" max="10" width="8" bestFit="1" customWidth="1"/>
    <col min="11" max="11" width="7.42578125" bestFit="1" customWidth="1"/>
    <col min="12" max="12" width="8.5703125" bestFit="1" customWidth="1"/>
    <col min="13" max="13" width="4.85546875" bestFit="1" customWidth="1"/>
    <col min="14" max="14" width="9.85546875" bestFit="1" customWidth="1"/>
    <col min="15" max="15" width="4.140625" bestFit="1" customWidth="1"/>
    <col min="16" max="16" width="8.5703125" bestFit="1" customWidth="1"/>
    <col min="17" max="17" width="7.85546875" bestFit="1" customWidth="1"/>
    <col min="18" max="18" width="4.85546875" bestFit="1" customWidth="1"/>
    <col min="19" max="19" width="9.7109375" bestFit="1" customWidth="1"/>
    <col min="20" max="20" width="8.140625" customWidth="1"/>
    <col min="21" max="21" width="10.5703125" bestFit="1" customWidth="1"/>
    <col min="22" max="22" width="4.85546875" bestFit="1" customWidth="1"/>
    <col min="23" max="23" width="10.5703125" bestFit="1" customWidth="1"/>
    <col min="24" max="24" width="9.85546875" bestFit="1" customWidth="1"/>
    <col min="25" max="25" width="12.5703125" bestFit="1" customWidth="1"/>
    <col min="26" max="26" width="12.140625" bestFit="1" customWidth="1"/>
    <col min="27" max="27" width="17.85546875" style="310" bestFit="1" customWidth="1"/>
    <col min="28" max="28" width="15" style="310" bestFit="1" customWidth="1"/>
    <col min="29" max="29" width="14.28515625" style="316" bestFit="1" customWidth="1"/>
    <col min="30" max="16384" width="9.140625" style="310"/>
  </cols>
  <sheetData>
    <row r="1" spans="1:30" ht="15" customHeight="1"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291" t="s">
        <v>1</v>
      </c>
      <c r="X1" s="292"/>
      <c r="Y1" s="292"/>
      <c r="Z1" s="293"/>
    </row>
    <row r="2" spans="1:30" ht="15" customHeight="1">
      <c r="A2" s="367" t="s">
        <v>0</v>
      </c>
      <c r="B2" s="367"/>
      <c r="C2" s="367"/>
      <c r="D2" s="367"/>
      <c r="E2" s="367"/>
      <c r="F2" s="367"/>
      <c r="G2" s="367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291" t="s">
        <v>2</v>
      </c>
      <c r="X2" s="292"/>
      <c r="Y2" s="292"/>
      <c r="Z2" s="293"/>
    </row>
    <row r="3" spans="1:30" ht="15" customHeight="1">
      <c r="A3" s="367"/>
      <c r="B3" s="367"/>
      <c r="C3" s="367"/>
      <c r="D3" s="367"/>
      <c r="E3" s="367"/>
      <c r="F3" s="367"/>
      <c r="G3" s="367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291" t="s">
        <v>3</v>
      </c>
      <c r="X3" s="292"/>
      <c r="Y3" s="292"/>
      <c r="Z3" s="293"/>
    </row>
    <row r="4" spans="1:30" s="295" customFormat="1" ht="15" customHeight="1">
      <c r="W4" s="311" t="s">
        <v>4</v>
      </c>
      <c r="X4" s="312"/>
      <c r="Y4" s="312"/>
      <c r="Z4" s="313"/>
      <c r="AC4" s="296"/>
    </row>
    <row r="5" spans="1:30" s="285" customFormat="1" ht="15" customHeight="1">
      <c r="A5" s="374" t="s">
        <v>5</v>
      </c>
      <c r="B5" s="374" t="s">
        <v>6</v>
      </c>
      <c r="C5" s="374" t="s">
        <v>1190</v>
      </c>
      <c r="D5" s="374" t="s">
        <v>1191</v>
      </c>
      <c r="E5" s="374" t="s">
        <v>8</v>
      </c>
      <c r="F5" s="368" t="s">
        <v>1528</v>
      </c>
      <c r="G5" s="370" t="s">
        <v>1193</v>
      </c>
      <c r="H5" s="364" t="s">
        <v>10</v>
      </c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  <c r="Z5" s="366"/>
      <c r="AC5" s="305"/>
    </row>
    <row r="6" spans="1:30" s="284" customFormat="1" ht="45" customHeight="1">
      <c r="A6" s="374"/>
      <c r="B6" s="374"/>
      <c r="C6" s="374"/>
      <c r="D6" s="374"/>
      <c r="E6" s="374"/>
      <c r="F6" s="369"/>
      <c r="G6" s="371"/>
      <c r="H6" s="289" t="s">
        <v>1111</v>
      </c>
      <c r="I6" s="289" t="s">
        <v>1051</v>
      </c>
      <c r="J6" s="289" t="s">
        <v>1855</v>
      </c>
      <c r="K6" s="289" t="s">
        <v>1052</v>
      </c>
      <c r="L6" s="289" t="s">
        <v>40</v>
      </c>
      <c r="M6" s="289" t="s">
        <v>1113</v>
      </c>
      <c r="N6" s="289" t="s">
        <v>1101</v>
      </c>
      <c r="O6" s="289" t="s">
        <v>1090</v>
      </c>
      <c r="P6" s="289" t="s">
        <v>75</v>
      </c>
      <c r="Q6" s="289" t="s">
        <v>1114</v>
      </c>
      <c r="R6" s="289" t="s">
        <v>1115</v>
      </c>
      <c r="S6" s="289" t="s">
        <v>1116</v>
      </c>
      <c r="T6" s="289" t="s">
        <v>56</v>
      </c>
      <c r="U6" s="289" t="s">
        <v>1078</v>
      </c>
      <c r="V6" s="289" t="s">
        <v>1117</v>
      </c>
      <c r="W6" s="289" t="s">
        <v>1080</v>
      </c>
      <c r="X6" s="289" t="s">
        <v>1088</v>
      </c>
      <c r="Y6" s="289" t="s">
        <v>1199</v>
      </c>
      <c r="Z6" s="289" t="s">
        <v>1200</v>
      </c>
      <c r="AA6" s="286" t="s">
        <v>1201</v>
      </c>
      <c r="AB6" s="286" t="s">
        <v>1202</v>
      </c>
      <c r="AC6" s="315" t="s">
        <v>1203</v>
      </c>
    </row>
    <row r="7" spans="1:30">
      <c r="A7" s="256">
        <f>ROWS($B$5:B5)</f>
        <v>1</v>
      </c>
      <c r="B7" s="256" t="s">
        <v>1856</v>
      </c>
      <c r="C7" s="256" t="s">
        <v>767</v>
      </c>
      <c r="D7" s="256" t="s">
        <v>1296</v>
      </c>
      <c r="E7" s="256" t="s">
        <v>1185</v>
      </c>
      <c r="F7" s="256"/>
      <c r="G7" s="290">
        <v>46128</v>
      </c>
      <c r="H7" s="236" t="b">
        <v>1</v>
      </c>
      <c r="I7" s="236" t="b">
        <v>1</v>
      </c>
      <c r="J7" s="236" t="b">
        <v>1</v>
      </c>
      <c r="K7" s="236" t="b">
        <v>1</v>
      </c>
      <c r="L7" s="236" t="b">
        <v>1</v>
      </c>
      <c r="M7" s="236" t="b">
        <v>1</v>
      </c>
      <c r="N7" s="236" t="b">
        <v>1</v>
      </c>
      <c r="O7" s="236" t="b">
        <v>1</v>
      </c>
      <c r="P7" s="236" t="b">
        <v>1</v>
      </c>
      <c r="Q7" s="236" t="b">
        <v>1</v>
      </c>
      <c r="R7" s="236" t="b">
        <v>1</v>
      </c>
      <c r="S7" s="236" t="b">
        <v>1</v>
      </c>
      <c r="T7" s="236" t="b">
        <v>1</v>
      </c>
      <c r="U7" s="236" t="b">
        <v>1</v>
      </c>
      <c r="V7" s="236" t="b">
        <v>1</v>
      </c>
      <c r="W7" s="236" t="b">
        <v>1</v>
      </c>
      <c r="X7" s="236" t="b">
        <v>0</v>
      </c>
      <c r="Y7" s="236" t="b">
        <v>1</v>
      </c>
      <c r="Z7" s="236" t="b">
        <v>0</v>
      </c>
      <c r="AA7" s="256" t="str">
        <f>IF(COUNTIF(H7:X7,"TRUE")=0,"Thiếu chứng nhận","Đủ điều kiện")</f>
        <v>Đủ điều kiện</v>
      </c>
      <c r="AB7" s="287"/>
      <c r="AC7" s="317"/>
      <c r="AD7" s="310" t="str">
        <f>VLOOKUP(B7,'HC Arrow'!C:G,5,0)</f>
        <v>S1</v>
      </c>
    </row>
    <row r="8" spans="1:30">
      <c r="A8" s="256">
        <f>ROWS($B$5:B6)</f>
        <v>2</v>
      </c>
      <c r="B8" s="256" t="s">
        <v>1857</v>
      </c>
      <c r="C8" s="256" t="s">
        <v>766</v>
      </c>
      <c r="D8" s="256" t="s">
        <v>1206</v>
      </c>
      <c r="E8" s="256" t="s">
        <v>1185</v>
      </c>
      <c r="F8" s="256"/>
      <c r="G8" s="290">
        <v>46120</v>
      </c>
      <c r="H8" s="236" t="b">
        <v>0</v>
      </c>
      <c r="I8" s="236" t="b">
        <v>0</v>
      </c>
      <c r="J8" s="236" t="b">
        <v>0</v>
      </c>
      <c r="K8" s="236" t="b">
        <v>1</v>
      </c>
      <c r="L8" s="236" t="b">
        <v>1</v>
      </c>
      <c r="M8" s="236" t="b">
        <v>1</v>
      </c>
      <c r="N8" s="236" t="b">
        <v>0</v>
      </c>
      <c r="O8" s="236" t="b">
        <v>0</v>
      </c>
      <c r="P8" s="236" t="b">
        <v>0</v>
      </c>
      <c r="Q8" s="236" t="b">
        <v>1</v>
      </c>
      <c r="R8" s="236" t="b">
        <v>1</v>
      </c>
      <c r="S8" s="236" t="b">
        <v>1</v>
      </c>
      <c r="T8" s="236" t="b">
        <v>0</v>
      </c>
      <c r="U8" s="236" t="b">
        <v>0</v>
      </c>
      <c r="V8" s="236" t="b">
        <v>0</v>
      </c>
      <c r="W8" s="236" t="b">
        <v>0</v>
      </c>
      <c r="X8" s="236" t="b">
        <v>0</v>
      </c>
      <c r="Y8" s="236" t="b">
        <v>1</v>
      </c>
      <c r="Z8" s="236" t="b">
        <v>0</v>
      </c>
      <c r="AA8" s="256" t="str">
        <f t="shared" ref="AA8:AA22" si="0">IF(COUNTIF(H8:X8,"TRUE")=0,"Thiếu chứng nhận","Đủ điều kiện")</f>
        <v>Đủ điều kiện</v>
      </c>
      <c r="AB8" s="287"/>
      <c r="AC8" s="317"/>
      <c r="AD8" s="310" t="str">
        <f>VLOOKUP(B8,'HC Arrow'!C:G,5,0)</f>
        <v>S1</v>
      </c>
    </row>
    <row r="9" spans="1:30">
      <c r="A9" s="256">
        <f>ROWS($B$5:B7)</f>
        <v>3</v>
      </c>
      <c r="B9" s="256" t="s">
        <v>1858</v>
      </c>
      <c r="C9" s="256" t="s">
        <v>1859</v>
      </c>
      <c r="D9" s="256" t="s">
        <v>1225</v>
      </c>
      <c r="E9" s="256" t="s">
        <v>1185</v>
      </c>
      <c r="F9" s="256"/>
      <c r="G9" s="290">
        <v>46135</v>
      </c>
      <c r="H9" s="236" t="b">
        <v>0</v>
      </c>
      <c r="I9" s="236" t="b">
        <v>0</v>
      </c>
      <c r="J9" s="236" t="b">
        <v>0</v>
      </c>
      <c r="K9" s="236" t="b">
        <v>1</v>
      </c>
      <c r="L9" s="236" t="b">
        <v>1</v>
      </c>
      <c r="M9" s="236" t="b">
        <v>1</v>
      </c>
      <c r="N9" s="236" t="b">
        <v>1</v>
      </c>
      <c r="O9" s="236" t="b">
        <v>1</v>
      </c>
      <c r="P9" s="236" t="b">
        <v>1</v>
      </c>
      <c r="Q9" s="236" t="b">
        <v>1</v>
      </c>
      <c r="R9" s="236" t="b">
        <v>1</v>
      </c>
      <c r="S9" s="236" t="b">
        <v>1</v>
      </c>
      <c r="T9" s="236" t="b">
        <v>1</v>
      </c>
      <c r="U9" s="236" t="b">
        <v>1</v>
      </c>
      <c r="V9" s="236" t="b">
        <v>1</v>
      </c>
      <c r="W9" s="236" t="b">
        <v>1</v>
      </c>
      <c r="X9" s="236" t="b">
        <v>0</v>
      </c>
      <c r="Y9" s="236" t="b">
        <v>1</v>
      </c>
      <c r="Z9" s="236" t="b">
        <v>1</v>
      </c>
      <c r="AA9" s="256" t="str">
        <f t="shared" si="0"/>
        <v>Đủ điều kiện</v>
      </c>
      <c r="AB9" s="287"/>
      <c r="AC9" s="317"/>
      <c r="AD9" s="310" t="str">
        <f>VLOOKUP(B9,'HC Arrow'!C:G,5,0)</f>
        <v>S2</v>
      </c>
    </row>
    <row r="10" spans="1:30">
      <c r="A10" s="256">
        <f>ROWS($B$5:B8)</f>
        <v>4</v>
      </c>
      <c r="B10" s="256" t="s">
        <v>255</v>
      </c>
      <c r="C10" s="256" t="s">
        <v>256</v>
      </c>
      <c r="D10" s="256" t="s">
        <v>1303</v>
      </c>
      <c r="E10" s="256" t="s">
        <v>1185</v>
      </c>
      <c r="F10" s="256"/>
      <c r="G10" s="290">
        <v>46129</v>
      </c>
      <c r="H10" s="236" t="b">
        <v>1</v>
      </c>
      <c r="I10" s="236" t="b">
        <v>1</v>
      </c>
      <c r="J10" s="236" t="b">
        <v>0</v>
      </c>
      <c r="K10" s="236" t="b">
        <v>1</v>
      </c>
      <c r="L10" s="236" t="b">
        <v>1</v>
      </c>
      <c r="M10" s="236" t="b">
        <v>1</v>
      </c>
      <c r="N10" s="236" t="b">
        <v>1</v>
      </c>
      <c r="O10" s="236" t="b">
        <v>1</v>
      </c>
      <c r="P10" s="236" t="b">
        <v>1</v>
      </c>
      <c r="Q10" s="236" t="b">
        <v>1</v>
      </c>
      <c r="R10" s="236" t="b">
        <v>1</v>
      </c>
      <c r="S10" s="236" t="b">
        <v>1</v>
      </c>
      <c r="T10" s="236" t="b">
        <v>1</v>
      </c>
      <c r="U10" s="236" t="b">
        <v>1</v>
      </c>
      <c r="V10" s="236" t="b">
        <v>0</v>
      </c>
      <c r="W10" s="236" t="b">
        <v>1</v>
      </c>
      <c r="X10" s="236" t="b">
        <v>1</v>
      </c>
      <c r="Y10" s="236" t="b">
        <v>1</v>
      </c>
      <c r="Z10" s="236" t="b">
        <v>0</v>
      </c>
      <c r="AA10" s="256" t="str">
        <f t="shared" si="0"/>
        <v>Đủ điều kiện</v>
      </c>
      <c r="AB10" s="287"/>
      <c r="AC10" s="317"/>
      <c r="AD10" s="310" t="str">
        <f>VLOOKUP(B10,'HC Arrow'!C:G,5,0)</f>
        <v>S1</v>
      </c>
    </row>
    <row r="11" spans="1:30">
      <c r="A11" s="256">
        <f>ROWS($B$5:B9)</f>
        <v>5</v>
      </c>
      <c r="B11" s="256" t="s">
        <v>1860</v>
      </c>
      <c r="C11" s="256" t="s">
        <v>1861</v>
      </c>
      <c r="D11" s="256" t="s">
        <v>1225</v>
      </c>
      <c r="E11" s="256" t="s">
        <v>1185</v>
      </c>
      <c r="F11" s="256"/>
      <c r="G11" s="290"/>
      <c r="H11" s="236" t="b">
        <v>0</v>
      </c>
      <c r="I11" s="236" t="b">
        <v>0</v>
      </c>
      <c r="J11" s="236" t="b">
        <v>0</v>
      </c>
      <c r="K11" s="236" t="b">
        <v>1</v>
      </c>
      <c r="L11" s="236" t="b">
        <v>1</v>
      </c>
      <c r="M11" s="236" t="b">
        <v>1</v>
      </c>
      <c r="N11" s="236" t="b">
        <v>1</v>
      </c>
      <c r="O11" s="236" t="b">
        <v>0</v>
      </c>
      <c r="P11" s="236" t="b">
        <v>1</v>
      </c>
      <c r="Q11" s="236" t="b">
        <v>1</v>
      </c>
      <c r="R11" s="236" t="b">
        <v>1</v>
      </c>
      <c r="S11" s="236" t="b">
        <v>1</v>
      </c>
      <c r="T11" s="236" t="b">
        <v>1</v>
      </c>
      <c r="U11" s="236" t="b">
        <v>1</v>
      </c>
      <c r="V11" s="236" t="b">
        <v>0</v>
      </c>
      <c r="W11" s="236" t="b">
        <v>0</v>
      </c>
      <c r="X11" s="236" t="b">
        <v>0</v>
      </c>
      <c r="Y11" s="236" t="b">
        <v>1</v>
      </c>
      <c r="Z11" s="236" t="b">
        <v>0</v>
      </c>
      <c r="AA11" s="256" t="str">
        <f t="shared" si="0"/>
        <v>Đủ điều kiện</v>
      </c>
      <c r="AB11" s="287"/>
      <c r="AC11" s="317"/>
      <c r="AD11" s="310" t="str">
        <f>VLOOKUP(B11,'HC Arrow'!C:G,5,0)</f>
        <v>S3</v>
      </c>
    </row>
    <row r="12" spans="1:30">
      <c r="A12" s="256">
        <f>ROWS($B$5:B10)</f>
        <v>6</v>
      </c>
      <c r="B12" s="256" t="s">
        <v>1862</v>
      </c>
      <c r="C12" s="256" t="s">
        <v>1863</v>
      </c>
      <c r="D12" s="256" t="s">
        <v>1225</v>
      </c>
      <c r="E12" s="256" t="s">
        <v>1185</v>
      </c>
      <c r="F12" s="256"/>
      <c r="G12" s="290">
        <v>46098</v>
      </c>
      <c r="H12" s="236" t="b">
        <v>0</v>
      </c>
      <c r="I12" s="236" t="b">
        <v>0</v>
      </c>
      <c r="J12" s="236" t="b">
        <v>0</v>
      </c>
      <c r="K12" s="236" t="b">
        <v>0</v>
      </c>
      <c r="L12" s="236" t="b">
        <v>0</v>
      </c>
      <c r="M12" s="236" t="b">
        <v>1</v>
      </c>
      <c r="N12" s="236" t="b">
        <v>1</v>
      </c>
      <c r="O12" s="236" t="b">
        <v>1</v>
      </c>
      <c r="P12" s="236" t="b">
        <v>1</v>
      </c>
      <c r="Q12" s="236" t="b">
        <v>1</v>
      </c>
      <c r="R12" s="236" t="b">
        <v>1</v>
      </c>
      <c r="S12" s="236" t="b">
        <v>1</v>
      </c>
      <c r="T12" s="236" t="b">
        <v>1</v>
      </c>
      <c r="U12" s="236" t="b">
        <v>0</v>
      </c>
      <c r="V12" s="236" t="b">
        <v>0</v>
      </c>
      <c r="W12" s="236" t="b">
        <v>0</v>
      </c>
      <c r="X12" s="236" t="b">
        <v>0</v>
      </c>
      <c r="Y12" s="236" t="b">
        <v>1</v>
      </c>
      <c r="Z12" s="236" t="b">
        <v>0</v>
      </c>
      <c r="AA12" s="256" t="str">
        <f t="shared" si="0"/>
        <v>Đủ điều kiện</v>
      </c>
      <c r="AB12" s="287"/>
      <c r="AC12" s="317"/>
      <c r="AD12" s="310" t="str">
        <f>VLOOKUP(B12,'HC Arrow'!C:G,5,0)</f>
        <v>S1</v>
      </c>
    </row>
    <row r="13" spans="1:30">
      <c r="A13" s="256">
        <f>ROWS($B$5:B11)</f>
        <v>7</v>
      </c>
      <c r="B13" s="256" t="s">
        <v>1864</v>
      </c>
      <c r="C13" s="256" t="s">
        <v>1865</v>
      </c>
      <c r="D13" s="256" t="s">
        <v>1296</v>
      </c>
      <c r="E13" s="256" t="s">
        <v>1185</v>
      </c>
      <c r="F13" s="256"/>
      <c r="G13" s="290">
        <v>46128</v>
      </c>
      <c r="H13" s="236" t="b">
        <v>1</v>
      </c>
      <c r="I13" s="236" t="b">
        <v>0</v>
      </c>
      <c r="J13" s="236" t="b">
        <v>0</v>
      </c>
      <c r="K13" s="236" t="b">
        <v>1</v>
      </c>
      <c r="L13" s="236" t="b">
        <v>1</v>
      </c>
      <c r="M13" s="236" t="b">
        <v>1</v>
      </c>
      <c r="N13" s="236" t="b">
        <v>1</v>
      </c>
      <c r="O13" s="236" t="b">
        <v>1</v>
      </c>
      <c r="P13" s="236" t="b">
        <v>1</v>
      </c>
      <c r="Q13" s="236" t="b">
        <v>1</v>
      </c>
      <c r="R13" s="236" t="b">
        <v>1</v>
      </c>
      <c r="S13" s="236" t="b">
        <v>1</v>
      </c>
      <c r="T13" s="236" t="b">
        <v>1</v>
      </c>
      <c r="U13" s="236" t="b">
        <v>1</v>
      </c>
      <c r="V13" s="236" t="b">
        <v>1</v>
      </c>
      <c r="W13" s="236" t="b">
        <v>0</v>
      </c>
      <c r="X13" s="236" t="b">
        <v>0</v>
      </c>
      <c r="Y13" s="236" t="b">
        <v>1</v>
      </c>
      <c r="Z13" s="236" t="b">
        <v>0</v>
      </c>
      <c r="AA13" s="256" t="str">
        <f t="shared" si="0"/>
        <v>Đủ điều kiện</v>
      </c>
      <c r="AB13" s="287"/>
      <c r="AC13" s="317"/>
      <c r="AD13" s="310" t="str">
        <f>VLOOKUP(B13,'HC Arrow'!C:G,5,0)</f>
        <v>S3</v>
      </c>
    </row>
    <row r="14" spans="1:30">
      <c r="A14" s="256">
        <f>ROWS($B$5:B12)</f>
        <v>8</v>
      </c>
      <c r="B14" s="256" t="s">
        <v>1866</v>
      </c>
      <c r="C14" s="256" t="s">
        <v>1867</v>
      </c>
      <c r="D14" s="256" t="s">
        <v>1225</v>
      </c>
      <c r="E14" s="256" t="s">
        <v>1185</v>
      </c>
      <c r="F14" s="256"/>
      <c r="G14" s="290">
        <v>46128</v>
      </c>
      <c r="H14" s="236" t="b">
        <v>0</v>
      </c>
      <c r="I14" s="236" t="b">
        <v>0</v>
      </c>
      <c r="J14" s="236" t="b">
        <v>0</v>
      </c>
      <c r="K14" s="236" t="b">
        <v>1</v>
      </c>
      <c r="L14" s="236" t="b">
        <v>1</v>
      </c>
      <c r="M14" s="236" t="b">
        <v>1</v>
      </c>
      <c r="N14" s="236" t="b">
        <v>1</v>
      </c>
      <c r="O14" s="236" t="b">
        <v>0</v>
      </c>
      <c r="P14" s="236" t="b">
        <v>1</v>
      </c>
      <c r="Q14" s="236" t="b">
        <v>1</v>
      </c>
      <c r="R14" s="236" t="b">
        <v>1</v>
      </c>
      <c r="S14" s="236" t="b">
        <v>1</v>
      </c>
      <c r="T14" s="236" t="b">
        <v>1</v>
      </c>
      <c r="U14" s="236" t="b">
        <v>0</v>
      </c>
      <c r="V14" s="236" t="b">
        <v>1</v>
      </c>
      <c r="W14" s="236" t="b">
        <v>0</v>
      </c>
      <c r="X14" s="236" t="b">
        <v>0</v>
      </c>
      <c r="Y14" s="236" t="b">
        <v>1</v>
      </c>
      <c r="Z14" s="236" t="b">
        <v>0</v>
      </c>
      <c r="AA14" s="256" t="str">
        <f t="shared" si="0"/>
        <v>Đủ điều kiện</v>
      </c>
      <c r="AB14" s="287"/>
      <c r="AC14" s="317"/>
      <c r="AD14" s="310" t="str">
        <f>VLOOKUP(B14,'HC Arrow'!C:G,5,0)</f>
        <v>S1</v>
      </c>
    </row>
    <row r="15" spans="1:30">
      <c r="A15" s="256">
        <f>ROWS($B$5:B13)</f>
        <v>9</v>
      </c>
      <c r="B15" s="256" t="s">
        <v>118</v>
      </c>
      <c r="C15" s="256" t="s">
        <v>1868</v>
      </c>
      <c r="D15" s="256" t="s">
        <v>1292</v>
      </c>
      <c r="E15" s="256" t="s">
        <v>853</v>
      </c>
      <c r="F15" s="256"/>
      <c r="G15" s="290">
        <v>46129</v>
      </c>
      <c r="H15" s="236" t="b">
        <v>1</v>
      </c>
      <c r="I15" s="236" t="b">
        <v>1</v>
      </c>
      <c r="J15" s="236" t="b">
        <v>0</v>
      </c>
      <c r="K15" s="236" t="b">
        <v>1</v>
      </c>
      <c r="L15" s="236" t="b">
        <v>1</v>
      </c>
      <c r="M15" s="236" t="b">
        <v>1</v>
      </c>
      <c r="N15" s="236" t="b">
        <v>1</v>
      </c>
      <c r="O15" s="236" t="b">
        <v>1</v>
      </c>
      <c r="P15" s="236" t="b">
        <v>1</v>
      </c>
      <c r="Q15" s="236" t="b">
        <v>1</v>
      </c>
      <c r="R15" s="236" t="b">
        <v>1</v>
      </c>
      <c r="S15" s="236" t="b">
        <v>1</v>
      </c>
      <c r="T15" s="236" t="b">
        <v>1</v>
      </c>
      <c r="U15" s="236" t="b">
        <v>1</v>
      </c>
      <c r="V15" s="236" t="b">
        <v>0</v>
      </c>
      <c r="W15" s="236" t="b">
        <v>1</v>
      </c>
      <c r="X15" s="236" t="b">
        <v>0</v>
      </c>
      <c r="Y15" s="236" t="b">
        <v>1</v>
      </c>
      <c r="Z15" s="236" t="b">
        <v>1</v>
      </c>
      <c r="AA15" s="256" t="str">
        <f t="shared" si="0"/>
        <v>Đủ điều kiện</v>
      </c>
      <c r="AB15" s="287"/>
      <c r="AC15" s="317"/>
      <c r="AD15" s="310" t="str">
        <f>VLOOKUP(B15,'HC Arrow'!C:G,5,0)</f>
        <v>S1</v>
      </c>
    </row>
    <row r="16" spans="1:30">
      <c r="A16" s="256">
        <f>ROWS($B$5:B14)</f>
        <v>10</v>
      </c>
      <c r="B16" s="256" t="s">
        <v>1000</v>
      </c>
      <c r="C16" s="256" t="s">
        <v>1001</v>
      </c>
      <c r="D16" s="256" t="s">
        <v>1545</v>
      </c>
      <c r="E16" s="256" t="s">
        <v>853</v>
      </c>
      <c r="F16" s="256"/>
      <c r="G16" s="290"/>
      <c r="H16" s="236" t="b">
        <v>0</v>
      </c>
      <c r="I16" s="236" t="b">
        <v>0</v>
      </c>
      <c r="J16" s="236" t="b">
        <v>0</v>
      </c>
      <c r="K16" s="236" t="b">
        <v>0</v>
      </c>
      <c r="L16" s="236" t="b">
        <v>0</v>
      </c>
      <c r="M16" s="236" t="b">
        <v>1</v>
      </c>
      <c r="N16" s="236" t="b">
        <v>0</v>
      </c>
      <c r="O16" s="236" t="b">
        <v>1</v>
      </c>
      <c r="P16" s="236" t="b">
        <v>0</v>
      </c>
      <c r="Q16" s="236" t="b">
        <v>0</v>
      </c>
      <c r="R16" s="236" t="b">
        <v>0</v>
      </c>
      <c r="S16" s="236" t="b">
        <v>0</v>
      </c>
      <c r="T16" s="236" t="b">
        <v>1</v>
      </c>
      <c r="U16" s="236" t="b">
        <v>0</v>
      </c>
      <c r="V16" s="236" t="b">
        <v>0</v>
      </c>
      <c r="W16" s="236" t="b">
        <v>1</v>
      </c>
      <c r="X16" s="236" t="b">
        <v>1</v>
      </c>
      <c r="Y16" s="236" t="b">
        <v>1</v>
      </c>
      <c r="Z16" s="236" t="b">
        <v>0</v>
      </c>
      <c r="AA16" s="256" t="str">
        <f t="shared" si="0"/>
        <v>Đủ điều kiện</v>
      </c>
      <c r="AB16" s="287"/>
      <c r="AC16" s="317"/>
      <c r="AD16" s="310" t="str">
        <f>VLOOKUP(B16,'HC Arrow'!C:G,5,0)</f>
        <v>S1</v>
      </c>
    </row>
    <row r="17" spans="1:30">
      <c r="A17" s="256">
        <f>ROWS($B$5:B15)</f>
        <v>11</v>
      </c>
      <c r="B17" s="256" t="s">
        <v>1869</v>
      </c>
      <c r="C17" s="256" t="s">
        <v>1870</v>
      </c>
      <c r="D17" s="256" t="s">
        <v>1225</v>
      </c>
      <c r="E17" s="256" t="s">
        <v>853</v>
      </c>
      <c r="F17" s="256"/>
      <c r="G17" s="290">
        <v>46164</v>
      </c>
      <c r="H17" s="236" t="b">
        <v>0</v>
      </c>
      <c r="I17" s="236" t="b">
        <v>0</v>
      </c>
      <c r="J17" s="236" t="b">
        <v>0</v>
      </c>
      <c r="K17" s="236" t="b">
        <v>1</v>
      </c>
      <c r="L17" s="236" t="b">
        <v>1</v>
      </c>
      <c r="M17" s="236" t="b">
        <v>0</v>
      </c>
      <c r="N17" s="236" t="b">
        <v>1</v>
      </c>
      <c r="O17" s="236" t="b">
        <v>1</v>
      </c>
      <c r="P17" s="236" t="b">
        <v>1</v>
      </c>
      <c r="Q17" s="236" t="b">
        <v>1</v>
      </c>
      <c r="R17" s="236" t="b">
        <v>1</v>
      </c>
      <c r="S17" s="236" t="b">
        <v>1</v>
      </c>
      <c r="T17" s="236" t="b">
        <v>0</v>
      </c>
      <c r="U17" s="236" t="b">
        <v>0</v>
      </c>
      <c r="V17" s="236" t="b">
        <v>0</v>
      </c>
      <c r="W17" s="236" t="b">
        <v>0</v>
      </c>
      <c r="X17" s="236" t="b">
        <v>0</v>
      </c>
      <c r="Y17" s="236" t="b">
        <v>0</v>
      </c>
      <c r="Z17" s="236" t="b">
        <v>0</v>
      </c>
      <c r="AA17" s="256" t="str">
        <f t="shared" si="0"/>
        <v>Đủ điều kiện</v>
      </c>
      <c r="AB17" s="287"/>
      <c r="AC17" s="317"/>
      <c r="AD17" s="310" t="str">
        <f>VLOOKUP(B17,'HC Arrow'!C:G,5,0)</f>
        <v>S2</v>
      </c>
    </row>
    <row r="18" spans="1:30">
      <c r="A18" s="256">
        <f>ROWS($B$5:B16)</f>
        <v>12</v>
      </c>
      <c r="B18" s="256" t="s">
        <v>1871</v>
      </c>
      <c r="C18" s="256" t="s">
        <v>1872</v>
      </c>
      <c r="D18" s="256" t="s">
        <v>1225</v>
      </c>
      <c r="E18" s="256" t="s">
        <v>853</v>
      </c>
      <c r="F18" s="256"/>
      <c r="G18" s="290"/>
      <c r="H18" s="236" t="b">
        <v>0</v>
      </c>
      <c r="I18" s="236" t="b">
        <v>0</v>
      </c>
      <c r="J18" s="236" t="b">
        <v>1</v>
      </c>
      <c r="K18" s="236" t="b">
        <v>1</v>
      </c>
      <c r="L18" s="236" t="b">
        <v>1</v>
      </c>
      <c r="M18" s="236" t="b">
        <v>1</v>
      </c>
      <c r="N18" s="236" t="b">
        <v>1</v>
      </c>
      <c r="O18" s="236" t="b">
        <v>1</v>
      </c>
      <c r="P18" s="236" t="b">
        <v>1</v>
      </c>
      <c r="Q18" s="236" t="b">
        <v>1</v>
      </c>
      <c r="R18" s="236" t="b">
        <v>1</v>
      </c>
      <c r="S18" s="236" t="b">
        <v>1</v>
      </c>
      <c r="T18" s="236" t="b">
        <v>1</v>
      </c>
      <c r="U18" s="236" t="b">
        <v>1</v>
      </c>
      <c r="V18" s="236" t="b">
        <v>0</v>
      </c>
      <c r="W18" s="236" t="b">
        <v>0</v>
      </c>
      <c r="X18" s="236" t="b">
        <v>0</v>
      </c>
      <c r="Y18" s="236" t="b">
        <v>1</v>
      </c>
      <c r="Z18" s="236" t="b">
        <v>0</v>
      </c>
      <c r="AA18" s="256" t="str">
        <f t="shared" si="0"/>
        <v>Đủ điều kiện</v>
      </c>
      <c r="AB18" s="287"/>
      <c r="AC18" s="317"/>
      <c r="AD18" s="310" t="str">
        <f>VLOOKUP(B18,'HC Arrow'!C:G,5,0)</f>
        <v>S1</v>
      </c>
    </row>
    <row r="19" spans="1:30">
      <c r="A19" s="256">
        <f>ROWS($B$5:B17)</f>
        <v>13</v>
      </c>
      <c r="B19" s="256" t="s">
        <v>1873</v>
      </c>
      <c r="C19" s="256" t="s">
        <v>1874</v>
      </c>
      <c r="D19" s="256" t="s">
        <v>1225</v>
      </c>
      <c r="E19" s="256" t="s">
        <v>853</v>
      </c>
      <c r="F19" s="256"/>
      <c r="G19" s="290">
        <v>46154</v>
      </c>
      <c r="H19" s="236" t="b">
        <v>0</v>
      </c>
      <c r="I19" s="236" t="b">
        <v>0</v>
      </c>
      <c r="J19" s="236" t="b">
        <v>1</v>
      </c>
      <c r="K19" s="236" t="b">
        <v>0</v>
      </c>
      <c r="L19" s="236" t="b">
        <v>0</v>
      </c>
      <c r="M19" s="236" t="b">
        <v>1</v>
      </c>
      <c r="N19" s="236" t="b">
        <v>1</v>
      </c>
      <c r="O19" s="236" t="b">
        <v>1</v>
      </c>
      <c r="P19" s="236" t="b">
        <v>1</v>
      </c>
      <c r="Q19" s="236" t="b">
        <v>0</v>
      </c>
      <c r="R19" s="236" t="b">
        <v>1</v>
      </c>
      <c r="S19" s="236" t="b">
        <v>1</v>
      </c>
      <c r="T19" s="236" t="b">
        <v>1</v>
      </c>
      <c r="U19" s="236" t="b">
        <v>0</v>
      </c>
      <c r="V19" s="236" t="b">
        <v>0</v>
      </c>
      <c r="W19" s="236" t="b">
        <v>0</v>
      </c>
      <c r="X19" s="236" t="b">
        <v>0</v>
      </c>
      <c r="Y19" s="236" t="b">
        <v>1</v>
      </c>
      <c r="Z19" s="236" t="b">
        <v>0</v>
      </c>
      <c r="AA19" s="256" t="str">
        <f t="shared" si="0"/>
        <v>Đủ điều kiện</v>
      </c>
      <c r="AB19" s="287"/>
      <c r="AC19" s="317"/>
      <c r="AD19" s="310" t="str">
        <f>VLOOKUP(B19,'HC Arrow'!C:G,5,0)</f>
        <v>S2</v>
      </c>
    </row>
    <row r="20" spans="1:30">
      <c r="A20" s="256">
        <f>ROWS($B$5:B18)</f>
        <v>14</v>
      </c>
      <c r="B20" s="256" t="s">
        <v>1875</v>
      </c>
      <c r="C20" s="256" t="s">
        <v>1876</v>
      </c>
      <c r="D20" s="256" t="s">
        <v>1225</v>
      </c>
      <c r="E20" s="256" t="s">
        <v>1185</v>
      </c>
      <c r="F20" s="256"/>
      <c r="G20" s="290">
        <v>46135</v>
      </c>
      <c r="H20" s="236" t="b">
        <v>0</v>
      </c>
      <c r="I20" s="236" t="b">
        <v>0</v>
      </c>
      <c r="J20" s="236" t="b">
        <v>0</v>
      </c>
      <c r="K20" s="236" t="b">
        <v>1</v>
      </c>
      <c r="L20" s="236" t="b">
        <v>1</v>
      </c>
      <c r="M20" s="236" t="b">
        <v>1</v>
      </c>
      <c r="N20" s="236" t="b">
        <v>1</v>
      </c>
      <c r="O20" s="236" t="b">
        <v>1</v>
      </c>
      <c r="P20" s="236" t="b">
        <v>1</v>
      </c>
      <c r="Q20" s="236" t="b">
        <v>1</v>
      </c>
      <c r="R20" s="236" t="b">
        <v>1</v>
      </c>
      <c r="S20" s="236" t="b">
        <v>1</v>
      </c>
      <c r="T20" s="236" t="b">
        <v>1</v>
      </c>
      <c r="U20" s="236" t="b">
        <v>0</v>
      </c>
      <c r="V20" s="236" t="b">
        <v>1</v>
      </c>
      <c r="W20" s="236" t="b">
        <v>1</v>
      </c>
      <c r="X20" s="236" t="b">
        <v>0</v>
      </c>
      <c r="Y20" s="236" t="b">
        <v>1</v>
      </c>
      <c r="Z20" s="236" t="b">
        <v>0</v>
      </c>
      <c r="AA20" s="256" t="str">
        <f t="shared" si="0"/>
        <v>Đủ điều kiện</v>
      </c>
      <c r="AB20" s="287"/>
      <c r="AC20" s="317"/>
      <c r="AD20" s="310" t="str">
        <f>VLOOKUP(B20,'HC Arrow'!C:G,5,0)</f>
        <v>S2</v>
      </c>
    </row>
    <row r="21" spans="1:30">
      <c r="A21" s="256">
        <f>ROWS($B$5:B19)</f>
        <v>15</v>
      </c>
      <c r="B21" s="256" t="s">
        <v>1877</v>
      </c>
      <c r="C21" s="345" t="s">
        <v>1878</v>
      </c>
      <c r="D21" s="256" t="s">
        <v>1225</v>
      </c>
      <c r="E21" s="256" t="s">
        <v>1185</v>
      </c>
      <c r="F21" s="256"/>
      <c r="G21" s="290">
        <v>46152</v>
      </c>
      <c r="H21" s="236" t="b">
        <v>0</v>
      </c>
      <c r="I21" s="236" t="b">
        <v>0</v>
      </c>
      <c r="J21" s="236" t="b">
        <v>0</v>
      </c>
      <c r="K21" s="236" t="b">
        <v>0</v>
      </c>
      <c r="L21" s="236" t="b">
        <v>1</v>
      </c>
      <c r="M21" s="236" t="b">
        <v>0</v>
      </c>
      <c r="N21" s="236" t="b">
        <v>1</v>
      </c>
      <c r="O21" s="236" t="b">
        <v>1</v>
      </c>
      <c r="P21" s="236" t="b">
        <v>1</v>
      </c>
      <c r="Q21" s="236" t="b">
        <v>1</v>
      </c>
      <c r="R21" s="236" t="b">
        <v>1</v>
      </c>
      <c r="S21" s="236" t="b">
        <v>1</v>
      </c>
      <c r="T21" s="236" t="b">
        <v>0</v>
      </c>
      <c r="U21" s="236" t="b">
        <v>0</v>
      </c>
      <c r="V21" s="236" t="b">
        <v>0</v>
      </c>
      <c r="W21" s="236" t="b">
        <v>0</v>
      </c>
      <c r="X21" s="236" t="b">
        <v>0</v>
      </c>
      <c r="Y21" s="236" t="b">
        <v>1</v>
      </c>
      <c r="Z21" s="236" t="b">
        <v>0</v>
      </c>
      <c r="AA21" s="256" t="str">
        <f t="shared" si="0"/>
        <v>Đủ điều kiện</v>
      </c>
      <c r="AB21" s="287"/>
      <c r="AC21" s="317"/>
      <c r="AD21" s="310" t="str">
        <f>VLOOKUP(B21,'HC Arrow'!C:G,5,0)</f>
        <v>S1</v>
      </c>
    </row>
    <row r="22" spans="1:30">
      <c r="A22" s="256">
        <f>ROWS($B$5:B21)</f>
        <v>17</v>
      </c>
      <c r="B22" s="256" t="s">
        <v>1879</v>
      </c>
      <c r="C22" s="345" t="s">
        <v>1880</v>
      </c>
      <c r="D22" s="256" t="s">
        <v>1225</v>
      </c>
      <c r="E22" s="256" t="s">
        <v>1185</v>
      </c>
      <c r="F22" s="256"/>
      <c r="G22" s="290">
        <v>46164</v>
      </c>
      <c r="H22" s="236" t="b">
        <v>0</v>
      </c>
      <c r="I22" s="236" t="b">
        <v>0</v>
      </c>
      <c r="J22" s="236" t="b">
        <v>0</v>
      </c>
      <c r="K22" s="236" t="b">
        <v>1</v>
      </c>
      <c r="L22" s="236" t="b">
        <v>1</v>
      </c>
      <c r="M22" s="236" t="b">
        <v>1</v>
      </c>
      <c r="N22" s="236" t="b">
        <v>1</v>
      </c>
      <c r="O22" s="236" t="b">
        <v>1</v>
      </c>
      <c r="P22" s="236" t="b">
        <v>1</v>
      </c>
      <c r="Q22" s="236" t="b">
        <v>1</v>
      </c>
      <c r="R22" s="236" t="b">
        <v>1</v>
      </c>
      <c r="S22" s="236" t="b">
        <v>1</v>
      </c>
      <c r="T22" s="236" t="b">
        <v>0</v>
      </c>
      <c r="U22" s="236" t="b">
        <v>0</v>
      </c>
      <c r="V22" s="236" t="b">
        <v>0</v>
      </c>
      <c r="W22" s="236" t="b">
        <v>0</v>
      </c>
      <c r="X22" s="236" t="b">
        <v>0</v>
      </c>
      <c r="Y22" s="236" t="b">
        <v>1</v>
      </c>
      <c r="Z22" s="236" t="b">
        <v>0</v>
      </c>
      <c r="AA22" s="256" t="str">
        <f t="shared" si="0"/>
        <v>Đủ điều kiện</v>
      </c>
      <c r="AB22" s="287"/>
      <c r="AC22" s="317"/>
      <c r="AD22" s="310" t="str">
        <f>VLOOKUP(B22,'HC Arrow'!C:G,5,0)</f>
        <v>S2</v>
      </c>
    </row>
  </sheetData>
  <autoFilter ref="A5:G6" xr:uid="{9F3A8F65-7BBC-411A-B522-3A596EB5272B}"/>
  <mergeCells count="9">
    <mergeCell ref="H5:Z5"/>
    <mergeCell ref="G5:G6"/>
    <mergeCell ref="A2:G3"/>
    <mergeCell ref="A5:A6"/>
    <mergeCell ref="B5:B6"/>
    <mergeCell ref="C5:C6"/>
    <mergeCell ref="D5:D6"/>
    <mergeCell ref="E5:E6"/>
    <mergeCell ref="F5:F6"/>
  </mergeCells>
  <conditionalFormatting sqref="B1:C1048576">
    <cfRule type="duplicateValues" dxfId="27" priority="4"/>
  </conditionalFormatting>
  <conditionalFormatting sqref="H7:Z22">
    <cfRule type="containsText" dxfId="26" priority="2" operator="containsText" text="false">
      <formula>NOT(ISERROR(SEARCH("false",H7)))</formula>
    </cfRule>
  </conditionalFormatting>
  <conditionalFormatting sqref="AA1:AA1048576">
    <cfRule type="containsText" dxfId="25" priority="3" operator="containsText" text="THIẾU CHỨNG NHẬN">
      <formula>NOT(ISERROR(SEARCH("THIẾU CHỨNG NHẬN",AA1)))</formula>
    </cfRule>
  </conditionalFormatting>
  <dataValidations count="1">
    <dataValidation type="list" allowBlank="1" showInputMessage="1" showErrorMessage="1" sqref="AB7:AB22" xr:uid="{9A2F2E0C-085A-40B1-AF01-DC9AD0BEC862}">
      <formula1>"CHƯA ĐÀO TẠO,ĐANG ĐÀO TẠO,CHỜ ĐÁNH GIÁ,CHỜ CẤP THẺ CNVH,ĐÁNH GIÁ LẠI"</formula1>
    </dataValidation>
  </dataValidations>
  <pageMargins left="0.16" right="0.16" top="0.16" bottom="0.16" header="0.16" footer="0.16"/>
  <pageSetup paperSize="9" scale="60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AC52-6D6A-4044-80C1-23842413D73F}">
  <sheetPr>
    <tabColor theme="0" tint="-0.14999847407452621"/>
  </sheetPr>
  <dimension ref="A1:AF125"/>
  <sheetViews>
    <sheetView showGridLines="0" zoomScale="70" zoomScaleNormal="70" workbookViewId="0">
      <pane xSplit="6" ySplit="6" topLeftCell="G7" activePane="bottomRight" state="frozen"/>
      <selection pane="bottomRight" activeCell="H4" sqref="H4"/>
      <selection pane="bottomLeft" activeCell="A8" sqref="A8"/>
      <selection pane="topRight" activeCell="G1" sqref="G1"/>
    </sheetView>
  </sheetViews>
  <sheetFormatPr defaultRowHeight="15"/>
  <cols>
    <col min="1" max="1" width="5.28515625" style="257" customWidth="1"/>
    <col min="2" max="2" width="8.5703125" style="257" customWidth="1"/>
    <col min="3" max="3" width="24.140625" style="310" bestFit="1" customWidth="1"/>
    <col min="4" max="4" width="32" style="257" bestFit="1" customWidth="1"/>
    <col min="5" max="5" width="22" style="257" bestFit="1" customWidth="1"/>
    <col min="6" max="6" width="15.28515625" style="257" hidden="1" customWidth="1"/>
    <col min="7" max="7" width="14.42578125" bestFit="1" customWidth="1"/>
    <col min="8" max="8" width="21" bestFit="1" customWidth="1"/>
    <col min="9" max="9" width="20.85546875" bestFit="1" customWidth="1"/>
    <col min="10" max="11" width="17.140625" bestFit="1" customWidth="1"/>
    <col min="12" max="12" width="14.28515625" bestFit="1" customWidth="1"/>
    <col min="13" max="13" width="17" bestFit="1" customWidth="1"/>
    <col min="14" max="14" width="18" bestFit="1" customWidth="1"/>
    <col min="15" max="16" width="16.28515625" bestFit="1" customWidth="1"/>
    <col min="17" max="17" width="19.42578125" bestFit="1" customWidth="1"/>
    <col min="18" max="18" width="22" bestFit="1" customWidth="1"/>
    <col min="19" max="20" width="20.7109375" bestFit="1" customWidth="1"/>
    <col min="21" max="21" width="14.28515625" bestFit="1" customWidth="1"/>
    <col min="22" max="22" width="15.28515625" bestFit="1" customWidth="1"/>
    <col min="23" max="23" width="14.85546875" bestFit="1" customWidth="1"/>
    <col min="24" max="25" width="19.42578125" bestFit="1" customWidth="1"/>
    <col min="26" max="26" width="21.7109375" bestFit="1" customWidth="1"/>
    <col min="27" max="27" width="10.7109375" customWidth="1"/>
    <col min="28" max="28" width="14.5703125" bestFit="1" customWidth="1"/>
    <col min="29" max="29" width="16.42578125" bestFit="1" customWidth="1"/>
    <col min="30" max="30" width="17.85546875" style="310" bestFit="1" customWidth="1"/>
    <col min="31" max="31" width="15" style="310" bestFit="1" customWidth="1"/>
    <col min="32" max="32" width="14.28515625" style="316" bestFit="1" customWidth="1"/>
    <col min="33" max="16384" width="9.140625" style="310"/>
  </cols>
  <sheetData>
    <row r="1" spans="1:32"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257"/>
      <c r="W1" s="257"/>
      <c r="X1" s="257"/>
      <c r="Y1" s="257"/>
      <c r="Z1" s="308"/>
      <c r="AA1" s="291" t="s">
        <v>1</v>
      </c>
      <c r="AB1" s="292"/>
      <c r="AC1" s="293"/>
    </row>
    <row r="2" spans="1:32">
      <c r="A2" s="367" t="s">
        <v>0</v>
      </c>
      <c r="B2" s="367"/>
      <c r="C2" s="367"/>
      <c r="D2" s="367"/>
      <c r="E2" s="367"/>
      <c r="F2" s="367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257"/>
      <c r="W2" s="257"/>
      <c r="X2" s="257"/>
      <c r="Y2" s="257"/>
      <c r="Z2" s="308"/>
      <c r="AA2" s="291" t="s">
        <v>2</v>
      </c>
      <c r="AB2" s="292"/>
      <c r="AC2" s="293"/>
    </row>
    <row r="3" spans="1:32">
      <c r="A3" s="367"/>
      <c r="B3" s="367"/>
      <c r="C3" s="367"/>
      <c r="D3" s="367"/>
      <c r="E3" s="367"/>
      <c r="F3" s="367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257"/>
      <c r="W3" s="257"/>
      <c r="X3" s="257"/>
      <c r="Y3" s="257"/>
      <c r="Z3" s="308"/>
      <c r="AA3" s="291" t="s">
        <v>3</v>
      </c>
      <c r="AB3" s="292"/>
      <c r="AC3" s="293"/>
    </row>
    <row r="4" spans="1:32" s="295" customFormat="1" ht="15" customHeight="1">
      <c r="V4" s="257"/>
      <c r="W4" s="257"/>
      <c r="X4" s="257"/>
      <c r="Y4" s="257"/>
      <c r="Z4" s="308"/>
      <c r="AA4" s="311" t="s">
        <v>4</v>
      </c>
      <c r="AB4" s="312"/>
      <c r="AC4" s="313"/>
      <c r="AF4" s="296"/>
    </row>
    <row r="5" spans="1:32" s="285" customFormat="1">
      <c r="A5" s="374" t="s">
        <v>5</v>
      </c>
      <c r="B5" s="374" t="s">
        <v>6</v>
      </c>
      <c r="C5" s="374" t="s">
        <v>1190</v>
      </c>
      <c r="D5" s="374" t="s">
        <v>1191</v>
      </c>
      <c r="E5" s="374" t="s">
        <v>8</v>
      </c>
      <c r="F5" s="370" t="s">
        <v>1193</v>
      </c>
      <c r="G5" s="364" t="s">
        <v>10</v>
      </c>
      <c r="H5" s="365"/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  <c r="Z5" s="365"/>
      <c r="AA5" s="365"/>
      <c r="AB5" s="365"/>
      <c r="AC5" s="366"/>
      <c r="AF5" s="305"/>
    </row>
    <row r="6" spans="1:32" s="284" customFormat="1" ht="45" customHeight="1">
      <c r="A6" s="374"/>
      <c r="B6" s="374"/>
      <c r="C6" s="374"/>
      <c r="D6" s="374"/>
      <c r="E6" s="374"/>
      <c r="F6" s="371"/>
      <c r="G6" s="289" t="s">
        <v>1881</v>
      </c>
      <c r="H6" s="289" t="s">
        <v>1882</v>
      </c>
      <c r="I6" s="289" t="s">
        <v>1883</v>
      </c>
      <c r="J6" s="289" t="s">
        <v>1884</v>
      </c>
      <c r="K6" s="289" t="s">
        <v>1885</v>
      </c>
      <c r="L6" s="289" t="s">
        <v>1886</v>
      </c>
      <c r="M6" s="289" t="s">
        <v>1887</v>
      </c>
      <c r="N6" s="289" t="s">
        <v>1888</v>
      </c>
      <c r="O6" s="289" t="s">
        <v>1889</v>
      </c>
      <c r="P6" s="289" t="s">
        <v>1890</v>
      </c>
      <c r="Q6" s="289" t="s">
        <v>1891</v>
      </c>
      <c r="R6" s="289" t="s">
        <v>1892</v>
      </c>
      <c r="S6" s="289" t="s">
        <v>1893</v>
      </c>
      <c r="T6" s="289" t="s">
        <v>1894</v>
      </c>
      <c r="U6" s="289" t="s">
        <v>1895</v>
      </c>
      <c r="V6" s="289" t="s">
        <v>1896</v>
      </c>
      <c r="W6" s="289" t="s">
        <v>1897</v>
      </c>
      <c r="X6" s="294" t="s">
        <v>1898</v>
      </c>
      <c r="Y6" s="294" t="s">
        <v>1899</v>
      </c>
      <c r="Z6" s="294" t="s">
        <v>1900</v>
      </c>
      <c r="AA6" s="294" t="s">
        <v>1901</v>
      </c>
      <c r="AB6" s="294" t="s">
        <v>73</v>
      </c>
      <c r="AC6" s="294" t="s">
        <v>1138</v>
      </c>
      <c r="AD6" s="286" t="s">
        <v>1201</v>
      </c>
      <c r="AE6" s="286" t="s">
        <v>1202</v>
      </c>
      <c r="AF6" s="315" t="s">
        <v>1203</v>
      </c>
    </row>
    <row r="7" spans="1:32">
      <c r="A7" s="256">
        <f>ROWS($B$5:B5)</f>
        <v>1</v>
      </c>
      <c r="B7" s="256">
        <v>4347</v>
      </c>
      <c r="C7" s="256" t="s">
        <v>156</v>
      </c>
      <c r="D7" s="256" t="s">
        <v>1902</v>
      </c>
      <c r="E7" s="256" t="s">
        <v>136</v>
      </c>
      <c r="F7" s="290"/>
      <c r="G7" s="236" t="b">
        <v>1</v>
      </c>
      <c r="H7" s="236" t="b">
        <v>1</v>
      </c>
      <c r="I7" s="236" t="b">
        <v>1</v>
      </c>
      <c r="J7" s="236" t="b">
        <v>1</v>
      </c>
      <c r="K7" s="236" t="b">
        <v>1</v>
      </c>
      <c r="L7" s="236" t="b">
        <v>1</v>
      </c>
      <c r="M7" s="236" t="b">
        <v>0</v>
      </c>
      <c r="N7" s="236" t="b">
        <v>1</v>
      </c>
      <c r="O7" s="236" t="b">
        <v>0</v>
      </c>
      <c r="P7" s="236" t="b">
        <v>0</v>
      </c>
      <c r="Q7" s="236" t="b">
        <v>1</v>
      </c>
      <c r="R7" s="236" t="b">
        <v>0</v>
      </c>
      <c r="S7" s="236" t="b">
        <v>0</v>
      </c>
      <c r="T7" s="236" t="b">
        <v>0</v>
      </c>
      <c r="U7" s="236" t="b">
        <v>0</v>
      </c>
      <c r="V7" s="236" t="b">
        <v>0</v>
      </c>
      <c r="W7" s="236" t="b">
        <v>0</v>
      </c>
      <c r="X7" s="236" t="b">
        <v>0</v>
      </c>
      <c r="Y7" s="236" t="b">
        <v>0</v>
      </c>
      <c r="Z7" s="236" t="b">
        <v>0</v>
      </c>
      <c r="AA7" s="236" t="b">
        <v>0</v>
      </c>
      <c r="AB7" s="236" t="b">
        <v>0</v>
      </c>
      <c r="AC7" s="236" t="b">
        <v>0</v>
      </c>
      <c r="AD7" s="256" t="str">
        <f>IF(COUNTIF(G7:AC7,"TRUE")=0,"Thiếu chứng nhận","Đủ điều kiện")</f>
        <v>Đủ điều kiện</v>
      </c>
      <c r="AE7" s="287"/>
      <c r="AF7" s="317"/>
    </row>
    <row r="8" spans="1:32">
      <c r="A8" s="256">
        <f>ROWS($B$5:B6)</f>
        <v>2</v>
      </c>
      <c r="B8" s="256">
        <v>4973</v>
      </c>
      <c r="C8" s="256" t="s">
        <v>140</v>
      </c>
      <c r="D8" s="256" t="s">
        <v>1902</v>
      </c>
      <c r="E8" s="256" t="s">
        <v>136</v>
      </c>
      <c r="F8" s="290"/>
      <c r="G8" s="236" t="b">
        <v>1</v>
      </c>
      <c r="H8" s="236" t="b">
        <v>1</v>
      </c>
      <c r="I8" s="236" t="b">
        <v>1</v>
      </c>
      <c r="J8" s="236" t="b">
        <v>1</v>
      </c>
      <c r="K8" s="236" t="b">
        <v>1</v>
      </c>
      <c r="L8" s="236" t="b">
        <v>1</v>
      </c>
      <c r="M8" s="236" t="b">
        <v>0</v>
      </c>
      <c r="N8" s="236" t="b">
        <v>1</v>
      </c>
      <c r="O8" s="236" t="b">
        <v>0</v>
      </c>
      <c r="P8" s="236" t="b">
        <v>0</v>
      </c>
      <c r="Q8" s="236" t="b">
        <v>0</v>
      </c>
      <c r="R8" s="236" t="b">
        <v>0</v>
      </c>
      <c r="S8" s="236" t="b">
        <v>0</v>
      </c>
      <c r="T8" s="236" t="b">
        <v>0</v>
      </c>
      <c r="U8" s="236" t="b">
        <v>0</v>
      </c>
      <c r="V8" s="236" t="b">
        <v>0</v>
      </c>
      <c r="W8" s="236" t="b">
        <v>0</v>
      </c>
      <c r="X8" s="236" t="b">
        <v>0</v>
      </c>
      <c r="Y8" s="236" t="b">
        <v>0</v>
      </c>
      <c r="Z8" s="236" t="b">
        <v>0</v>
      </c>
      <c r="AA8" s="236" t="b">
        <v>0</v>
      </c>
      <c r="AB8" s="236" t="b">
        <v>0</v>
      </c>
      <c r="AC8" s="236" t="b">
        <v>0</v>
      </c>
      <c r="AD8" s="256" t="str">
        <f>IF(COUNTIF(G8:AC8,"TRUE")=0,"Thiếu chứng nhận","Đủ điều kiện")</f>
        <v>Đủ điều kiện</v>
      </c>
      <c r="AE8" s="287"/>
      <c r="AF8" s="317"/>
    </row>
    <row r="9" spans="1:32">
      <c r="A9" s="256">
        <f>ROWS($B$5:B7)</f>
        <v>3</v>
      </c>
      <c r="B9" s="256">
        <v>5059</v>
      </c>
      <c r="C9" s="256" t="s">
        <v>146</v>
      </c>
      <c r="D9" s="256" t="s">
        <v>1903</v>
      </c>
      <c r="E9" s="256" t="s">
        <v>136</v>
      </c>
      <c r="F9" s="290"/>
      <c r="G9" s="236" t="b">
        <v>1</v>
      </c>
      <c r="H9" s="236" t="b">
        <v>1</v>
      </c>
      <c r="I9" s="236" t="b">
        <v>1</v>
      </c>
      <c r="J9" s="236" t="b">
        <v>1</v>
      </c>
      <c r="K9" s="236" t="b">
        <v>0</v>
      </c>
      <c r="L9" s="236" t="b">
        <v>1</v>
      </c>
      <c r="M9" s="236" t="b">
        <v>0</v>
      </c>
      <c r="N9" s="236" t="b">
        <v>1</v>
      </c>
      <c r="O9" s="236" t="b">
        <v>0</v>
      </c>
      <c r="P9" s="236" t="b">
        <v>0</v>
      </c>
      <c r="Q9" s="236" t="b">
        <v>0</v>
      </c>
      <c r="R9" s="236" t="b">
        <v>0</v>
      </c>
      <c r="S9" s="236" t="b">
        <v>0</v>
      </c>
      <c r="T9" s="236" t="b">
        <v>0</v>
      </c>
      <c r="U9" s="236" t="b">
        <v>0</v>
      </c>
      <c r="V9" s="236" t="b">
        <v>0</v>
      </c>
      <c r="W9" s="236" t="b">
        <v>0</v>
      </c>
      <c r="X9" s="236" t="b">
        <v>0</v>
      </c>
      <c r="Y9" s="236" t="b">
        <v>0</v>
      </c>
      <c r="Z9" s="236" t="b">
        <v>0</v>
      </c>
      <c r="AA9" s="236" t="b">
        <v>0</v>
      </c>
      <c r="AB9" s="236" t="b">
        <v>0</v>
      </c>
      <c r="AC9" s="236" t="b">
        <v>0</v>
      </c>
      <c r="AD9" s="256" t="str">
        <f>IF(COUNTIF(G9:AC9,"TRUE")=0,"Thiếu chứng nhận","Đủ điều kiện")</f>
        <v>Đủ điều kiện</v>
      </c>
      <c r="AE9" s="287"/>
      <c r="AF9" s="317"/>
    </row>
    <row r="10" spans="1:32">
      <c r="A10" s="256">
        <f>ROWS($B$5:B8)</f>
        <v>4</v>
      </c>
      <c r="B10" s="256">
        <v>5203</v>
      </c>
      <c r="C10" s="256" t="s">
        <v>838</v>
      </c>
      <c r="D10" s="256" t="s">
        <v>1903</v>
      </c>
      <c r="E10" s="256" t="s">
        <v>136</v>
      </c>
      <c r="F10" s="290"/>
      <c r="G10" s="236" t="b">
        <v>1</v>
      </c>
      <c r="H10" s="236" t="b">
        <v>1</v>
      </c>
      <c r="I10" s="236" t="b">
        <v>1</v>
      </c>
      <c r="J10" s="236" t="b">
        <v>1</v>
      </c>
      <c r="K10" s="236" t="b">
        <v>1</v>
      </c>
      <c r="L10" s="236" t="b">
        <v>1</v>
      </c>
      <c r="M10" s="236" t="b">
        <v>0</v>
      </c>
      <c r="N10" s="236" t="b">
        <v>1</v>
      </c>
      <c r="O10" s="236" t="b">
        <v>0</v>
      </c>
      <c r="P10" s="236" t="b">
        <v>0</v>
      </c>
      <c r="Q10" s="236" t="b">
        <v>0</v>
      </c>
      <c r="R10" s="236" t="b">
        <v>0</v>
      </c>
      <c r="S10" s="236" t="b">
        <v>0</v>
      </c>
      <c r="T10" s="236" t="b">
        <v>0</v>
      </c>
      <c r="U10" s="236" t="b">
        <v>0</v>
      </c>
      <c r="V10" s="236" t="b">
        <v>0</v>
      </c>
      <c r="W10" s="236" t="b">
        <v>0</v>
      </c>
      <c r="X10" s="236" t="b">
        <v>0</v>
      </c>
      <c r="Y10" s="236" t="b">
        <v>0</v>
      </c>
      <c r="Z10" s="236" t="b">
        <v>0</v>
      </c>
      <c r="AA10" s="236" t="b">
        <v>0</v>
      </c>
      <c r="AB10" s="236" t="b">
        <v>0</v>
      </c>
      <c r="AC10" s="236" t="b">
        <v>0</v>
      </c>
      <c r="AD10" s="256" t="str">
        <f>IF(COUNTIF(G10:AC10,"TRUE")=0,"Thiếu chứng nhận","Đủ điều kiện")</f>
        <v>Đủ điều kiện</v>
      </c>
      <c r="AE10" s="287"/>
      <c r="AF10" s="317"/>
    </row>
    <row r="11" spans="1:32">
      <c r="A11" s="256">
        <f>ROWS($B$5:B9)</f>
        <v>5</v>
      </c>
      <c r="B11" s="256">
        <v>5226</v>
      </c>
      <c r="C11" s="256" t="s">
        <v>127</v>
      </c>
      <c r="D11" s="256" t="s">
        <v>1904</v>
      </c>
      <c r="E11" s="256" t="s">
        <v>136</v>
      </c>
      <c r="F11" s="290"/>
      <c r="G11" s="236" t="b">
        <v>1</v>
      </c>
      <c r="H11" s="236" t="b">
        <v>1</v>
      </c>
      <c r="I11" s="236" t="b">
        <v>1</v>
      </c>
      <c r="J11" s="236" t="b">
        <v>1</v>
      </c>
      <c r="K11" s="236" t="b">
        <v>0</v>
      </c>
      <c r="L11" s="236" t="b">
        <v>1</v>
      </c>
      <c r="M11" s="236" t="b">
        <v>0</v>
      </c>
      <c r="N11" s="236" t="b">
        <v>1</v>
      </c>
      <c r="O11" s="236" t="b">
        <v>0</v>
      </c>
      <c r="P11" s="236" t="b">
        <v>0</v>
      </c>
      <c r="Q11" s="236" t="b">
        <v>0</v>
      </c>
      <c r="R11" s="236" t="b">
        <v>0</v>
      </c>
      <c r="S11" s="236" t="b">
        <v>0</v>
      </c>
      <c r="T11" s="236" t="b">
        <v>0</v>
      </c>
      <c r="U11" s="236" t="b">
        <v>0</v>
      </c>
      <c r="V11" s="236" t="b">
        <v>0</v>
      </c>
      <c r="W11" s="236" t="b">
        <v>0</v>
      </c>
      <c r="X11" s="236" t="b">
        <v>0</v>
      </c>
      <c r="Y11" s="236" t="b">
        <v>0</v>
      </c>
      <c r="Z11" s="236" t="b">
        <v>0</v>
      </c>
      <c r="AA11" s="236" t="b">
        <v>0</v>
      </c>
      <c r="AB11" s="236" t="b">
        <v>0</v>
      </c>
      <c r="AC11" s="236" t="b">
        <v>0</v>
      </c>
      <c r="AD11" s="256" t="str">
        <f>IF(COUNTIF(G11:AC11,"TRUE")=0,"Thiếu chứng nhận","Đủ điều kiện")</f>
        <v>Đủ điều kiện</v>
      </c>
      <c r="AE11" s="287"/>
      <c r="AF11" s="317"/>
    </row>
    <row r="12" spans="1:32">
      <c r="A12" s="256">
        <f>ROWS($B$5:B10)</f>
        <v>6</v>
      </c>
      <c r="B12" s="256">
        <v>5228</v>
      </c>
      <c r="C12" s="256" t="s">
        <v>189</v>
      </c>
      <c r="D12" s="256" t="s">
        <v>1903</v>
      </c>
      <c r="E12" s="256" t="s">
        <v>136</v>
      </c>
      <c r="F12" s="290"/>
      <c r="G12" s="236" t="b">
        <v>1</v>
      </c>
      <c r="H12" s="236" t="b">
        <v>1</v>
      </c>
      <c r="I12" s="236" t="b">
        <v>1</v>
      </c>
      <c r="J12" s="236" t="b">
        <v>1</v>
      </c>
      <c r="K12" s="236" t="b">
        <v>0</v>
      </c>
      <c r="L12" s="236" t="b">
        <v>1</v>
      </c>
      <c r="M12" s="236" t="b">
        <v>0</v>
      </c>
      <c r="N12" s="236" t="b">
        <v>1</v>
      </c>
      <c r="O12" s="236" t="b">
        <v>0</v>
      </c>
      <c r="P12" s="236" t="b">
        <v>0</v>
      </c>
      <c r="Q12" s="236" t="b">
        <v>0</v>
      </c>
      <c r="R12" s="236" t="b">
        <v>0</v>
      </c>
      <c r="S12" s="236" t="b">
        <v>0</v>
      </c>
      <c r="T12" s="236" t="b">
        <v>0</v>
      </c>
      <c r="U12" s="236" t="b">
        <v>0</v>
      </c>
      <c r="V12" s="236" t="b">
        <v>0</v>
      </c>
      <c r="W12" s="236" t="b">
        <v>0</v>
      </c>
      <c r="X12" s="236" t="b">
        <v>0</v>
      </c>
      <c r="Y12" s="236" t="b">
        <v>0</v>
      </c>
      <c r="Z12" s="236" t="b">
        <v>0</v>
      </c>
      <c r="AA12" s="236" t="b">
        <v>0</v>
      </c>
      <c r="AB12" s="236" t="b">
        <v>0</v>
      </c>
      <c r="AC12" s="236" t="b">
        <v>0</v>
      </c>
      <c r="AD12" s="256" t="str">
        <f>IF(COUNTIF(G12:AC12,"TRUE")=0,"Thiếu chứng nhận","Đủ điều kiện")</f>
        <v>Đủ điều kiện</v>
      </c>
      <c r="AE12" s="287"/>
      <c r="AF12" s="317"/>
    </row>
    <row r="13" spans="1:32">
      <c r="A13" s="256">
        <f>ROWS($B$5:B11)</f>
        <v>7</v>
      </c>
      <c r="B13" s="256">
        <v>5246</v>
      </c>
      <c r="C13" s="256" t="s">
        <v>1905</v>
      </c>
      <c r="D13" s="256" t="s">
        <v>1903</v>
      </c>
      <c r="E13" s="256" t="s">
        <v>136</v>
      </c>
      <c r="F13" s="290"/>
      <c r="G13" s="236" t="b">
        <v>1</v>
      </c>
      <c r="H13" s="236" t="b">
        <v>1</v>
      </c>
      <c r="I13" s="236" t="b">
        <v>1</v>
      </c>
      <c r="J13" s="236" t="b">
        <v>1</v>
      </c>
      <c r="K13" s="236" t="b">
        <v>0</v>
      </c>
      <c r="L13" s="236" t="b">
        <v>1</v>
      </c>
      <c r="M13" s="236" t="b">
        <v>0</v>
      </c>
      <c r="N13" s="236" t="b">
        <v>1</v>
      </c>
      <c r="O13" s="236" t="b">
        <v>0</v>
      </c>
      <c r="P13" s="236" t="b">
        <v>0</v>
      </c>
      <c r="Q13" s="236" t="b">
        <v>0</v>
      </c>
      <c r="R13" s="236" t="b">
        <v>0</v>
      </c>
      <c r="S13" s="236" t="b">
        <v>0</v>
      </c>
      <c r="T13" s="236" t="b">
        <v>0</v>
      </c>
      <c r="U13" s="236" t="b">
        <v>0</v>
      </c>
      <c r="V13" s="236" t="b">
        <v>0</v>
      </c>
      <c r="W13" s="236" t="b">
        <v>0</v>
      </c>
      <c r="X13" s="236" t="b">
        <v>0</v>
      </c>
      <c r="Y13" s="236" t="b">
        <v>0</v>
      </c>
      <c r="Z13" s="236" t="b">
        <v>0</v>
      </c>
      <c r="AA13" s="236" t="b">
        <v>0</v>
      </c>
      <c r="AB13" s="236" t="b">
        <v>0</v>
      </c>
      <c r="AC13" s="236" t="b">
        <v>0</v>
      </c>
      <c r="AD13" s="256" t="str">
        <f>IF(COUNTIF(G13:AC13,"TRUE")=0,"Thiếu chứng nhận","Đủ điều kiện")</f>
        <v>Đủ điều kiện</v>
      </c>
      <c r="AE13" s="287"/>
      <c r="AF13" s="317"/>
    </row>
    <row r="14" spans="1:32">
      <c r="A14" s="256">
        <f>ROWS($B$5:B12)</f>
        <v>8</v>
      </c>
      <c r="B14" s="256">
        <v>5261</v>
      </c>
      <c r="C14" s="256" t="s">
        <v>142</v>
      </c>
      <c r="D14" s="256" t="s">
        <v>1904</v>
      </c>
      <c r="E14" s="256" t="s">
        <v>136</v>
      </c>
      <c r="F14" s="290"/>
      <c r="G14" s="236" t="b">
        <v>1</v>
      </c>
      <c r="H14" s="236" t="b">
        <v>1</v>
      </c>
      <c r="I14" s="236" t="b">
        <v>1</v>
      </c>
      <c r="J14" s="236" t="b">
        <v>1</v>
      </c>
      <c r="K14" s="236" t="b">
        <v>0</v>
      </c>
      <c r="L14" s="236" t="b">
        <v>1</v>
      </c>
      <c r="M14" s="236" t="b">
        <v>0</v>
      </c>
      <c r="N14" s="236" t="b">
        <v>1</v>
      </c>
      <c r="O14" s="236" t="b">
        <v>0</v>
      </c>
      <c r="P14" s="236" t="b">
        <v>0</v>
      </c>
      <c r="Q14" s="236" t="b">
        <v>0</v>
      </c>
      <c r="R14" s="236" t="b">
        <v>0</v>
      </c>
      <c r="S14" s="236" t="b">
        <v>0</v>
      </c>
      <c r="T14" s="236" t="b">
        <v>0</v>
      </c>
      <c r="U14" s="236" t="b">
        <v>0</v>
      </c>
      <c r="V14" s="236" t="b">
        <v>0</v>
      </c>
      <c r="W14" s="236" t="b">
        <v>0</v>
      </c>
      <c r="X14" s="236" t="b">
        <v>0</v>
      </c>
      <c r="Y14" s="236" t="b">
        <v>0</v>
      </c>
      <c r="Z14" s="236" t="b">
        <v>0</v>
      </c>
      <c r="AA14" s="236" t="b">
        <v>0</v>
      </c>
      <c r="AB14" s="236" t="b">
        <v>0</v>
      </c>
      <c r="AC14" s="236" t="b">
        <v>0</v>
      </c>
      <c r="AD14" s="256" t="str">
        <f>IF(COUNTIF(G14:AC14,"TRUE")=0,"Thiếu chứng nhận","Đủ điều kiện")</f>
        <v>Đủ điều kiện</v>
      </c>
      <c r="AE14" s="287"/>
      <c r="AF14" s="317"/>
    </row>
    <row r="15" spans="1:32">
      <c r="A15" s="256">
        <f>ROWS($B$5:B13)</f>
        <v>9</v>
      </c>
      <c r="B15" s="256">
        <v>39988</v>
      </c>
      <c r="C15" s="256" t="s">
        <v>1906</v>
      </c>
      <c r="D15" s="256" t="s">
        <v>1907</v>
      </c>
      <c r="E15" s="256" t="s">
        <v>136</v>
      </c>
      <c r="F15" s="290"/>
      <c r="G15" s="236" t="b">
        <v>1</v>
      </c>
      <c r="H15" s="236" t="b">
        <v>1</v>
      </c>
      <c r="I15" s="236" t="b">
        <v>1</v>
      </c>
      <c r="J15" s="236" t="b">
        <v>1</v>
      </c>
      <c r="K15" s="236" t="b">
        <v>1</v>
      </c>
      <c r="L15" s="236" t="b">
        <v>1</v>
      </c>
      <c r="M15" s="236" t="b">
        <v>0</v>
      </c>
      <c r="N15" s="236" t="b">
        <v>1</v>
      </c>
      <c r="O15" s="236" t="b">
        <v>0</v>
      </c>
      <c r="P15" s="236" t="b">
        <v>0</v>
      </c>
      <c r="Q15" s="236" t="b">
        <v>0</v>
      </c>
      <c r="R15" s="236" t="b">
        <v>0</v>
      </c>
      <c r="S15" s="236" t="b">
        <v>0</v>
      </c>
      <c r="T15" s="236" t="b">
        <v>0</v>
      </c>
      <c r="U15" s="236" t="b">
        <v>0</v>
      </c>
      <c r="V15" s="236" t="b">
        <v>0</v>
      </c>
      <c r="W15" s="236" t="b">
        <v>0</v>
      </c>
      <c r="X15" s="236" t="b">
        <v>0</v>
      </c>
      <c r="Y15" s="236" t="b">
        <v>0</v>
      </c>
      <c r="Z15" s="236" t="b">
        <v>0</v>
      </c>
      <c r="AA15" s="236" t="b">
        <v>0</v>
      </c>
      <c r="AB15" s="236" t="b">
        <v>0</v>
      </c>
      <c r="AC15" s="236" t="b">
        <v>0</v>
      </c>
      <c r="AD15" s="256" t="str">
        <f>IF(COUNTIF(G15:AC15,"TRUE")=0,"Thiếu chứng nhận","Đủ điều kiện")</f>
        <v>Đủ điều kiện</v>
      </c>
      <c r="AE15" s="287"/>
      <c r="AF15" s="317"/>
    </row>
    <row r="16" spans="1:32">
      <c r="A16" s="256">
        <f>ROWS($B$5:B14)</f>
        <v>10</v>
      </c>
      <c r="B16" s="256">
        <v>5307</v>
      </c>
      <c r="C16" s="256" t="s">
        <v>1908</v>
      </c>
      <c r="D16" s="256" t="s">
        <v>1904</v>
      </c>
      <c r="E16" s="256" t="s">
        <v>1909</v>
      </c>
      <c r="F16" s="290"/>
      <c r="G16" s="236" t="b">
        <v>1</v>
      </c>
      <c r="H16" s="236" t="b">
        <v>1</v>
      </c>
      <c r="I16" s="236" t="b">
        <v>1</v>
      </c>
      <c r="J16" s="236" t="b">
        <v>1</v>
      </c>
      <c r="K16" s="236" t="b">
        <v>1</v>
      </c>
      <c r="L16" s="236" t="b">
        <v>1</v>
      </c>
      <c r="M16" s="236" t="b">
        <v>0</v>
      </c>
      <c r="N16" s="236" t="b">
        <v>1</v>
      </c>
      <c r="O16" s="236" t="b">
        <v>0</v>
      </c>
      <c r="P16" s="236" t="b">
        <v>0</v>
      </c>
      <c r="Q16" s="236" t="b">
        <v>0</v>
      </c>
      <c r="R16" s="236" t="b">
        <v>0</v>
      </c>
      <c r="S16" s="236" t="b">
        <v>0</v>
      </c>
      <c r="T16" s="236" t="b">
        <v>0</v>
      </c>
      <c r="U16" s="236" t="b">
        <v>0</v>
      </c>
      <c r="V16" s="236" t="b">
        <v>0</v>
      </c>
      <c r="W16" s="236" t="b">
        <v>0</v>
      </c>
      <c r="X16" s="236" t="b">
        <v>0</v>
      </c>
      <c r="Y16" s="236" t="b">
        <v>0</v>
      </c>
      <c r="Z16" s="236" t="b">
        <v>0</v>
      </c>
      <c r="AA16" s="236" t="b">
        <v>0</v>
      </c>
      <c r="AB16" s="236" t="b">
        <v>0</v>
      </c>
      <c r="AC16" s="236" t="b">
        <v>0</v>
      </c>
      <c r="AD16" s="256" t="str">
        <f>IF(COUNTIF(G16:AC16,"TRUE")=0,"Thiếu chứng nhận","Đủ điều kiện")</f>
        <v>Đủ điều kiện</v>
      </c>
      <c r="AE16" s="287"/>
      <c r="AF16" s="317"/>
    </row>
    <row r="17" spans="1:32">
      <c r="A17" s="256">
        <f>ROWS($B$5:B15)</f>
        <v>11</v>
      </c>
      <c r="B17" s="256">
        <v>5357</v>
      </c>
      <c r="C17" s="256" t="s">
        <v>1910</v>
      </c>
      <c r="D17" s="256" t="s">
        <v>1903</v>
      </c>
      <c r="E17" s="256" t="s">
        <v>1909</v>
      </c>
      <c r="F17" s="290"/>
      <c r="G17" s="236" t="b">
        <v>1</v>
      </c>
      <c r="H17" s="236" t="b">
        <v>1</v>
      </c>
      <c r="I17" s="236" t="b">
        <v>1</v>
      </c>
      <c r="J17" s="236" t="b">
        <v>1</v>
      </c>
      <c r="K17" s="236" t="b">
        <v>0</v>
      </c>
      <c r="L17" s="236" t="b">
        <v>1</v>
      </c>
      <c r="M17" s="236" t="b">
        <v>0</v>
      </c>
      <c r="N17" s="236" t="b">
        <v>1</v>
      </c>
      <c r="O17" s="236" t="b">
        <v>0</v>
      </c>
      <c r="P17" s="236" t="b">
        <v>0</v>
      </c>
      <c r="Q17" s="236" t="b">
        <v>0</v>
      </c>
      <c r="R17" s="236" t="b">
        <v>0</v>
      </c>
      <c r="S17" s="236" t="b">
        <v>0</v>
      </c>
      <c r="T17" s="236" t="b">
        <v>0</v>
      </c>
      <c r="U17" s="236" t="b">
        <v>0</v>
      </c>
      <c r="V17" s="236" t="b">
        <v>0</v>
      </c>
      <c r="W17" s="236" t="b">
        <v>0</v>
      </c>
      <c r="X17" s="236" t="b">
        <v>0</v>
      </c>
      <c r="Y17" s="236" t="b">
        <v>0</v>
      </c>
      <c r="Z17" s="236" t="b">
        <v>0</v>
      </c>
      <c r="AA17" s="236" t="b">
        <v>0</v>
      </c>
      <c r="AB17" s="236" t="b">
        <v>0</v>
      </c>
      <c r="AC17" s="236" t="b">
        <v>0</v>
      </c>
      <c r="AD17" s="256" t="str">
        <f>IF(COUNTIF(G17:AC17,"TRUE")=0,"Thiếu chứng nhận","Đủ điều kiện")</f>
        <v>Đủ điều kiện</v>
      </c>
      <c r="AE17" s="287"/>
      <c r="AF17" s="317"/>
    </row>
    <row r="18" spans="1:32">
      <c r="A18" s="256">
        <f>ROWS($B$5:B16)</f>
        <v>12</v>
      </c>
      <c r="B18" s="256">
        <v>5359</v>
      </c>
      <c r="C18" s="256" t="s">
        <v>1911</v>
      </c>
      <c r="D18" s="256" t="s">
        <v>1903</v>
      </c>
      <c r="E18" s="256" t="s">
        <v>1909</v>
      </c>
      <c r="F18" s="290"/>
      <c r="G18" s="236" t="b">
        <v>1</v>
      </c>
      <c r="H18" s="236" t="b">
        <v>1</v>
      </c>
      <c r="I18" s="236" t="b">
        <v>1</v>
      </c>
      <c r="J18" s="236" t="b">
        <v>1</v>
      </c>
      <c r="K18" s="236" t="b">
        <v>1</v>
      </c>
      <c r="L18" s="236" t="b">
        <v>1</v>
      </c>
      <c r="M18" s="236" t="b">
        <v>0</v>
      </c>
      <c r="N18" s="236" t="b">
        <v>1</v>
      </c>
      <c r="O18" s="236" t="b">
        <v>0</v>
      </c>
      <c r="P18" s="236" t="b">
        <v>0</v>
      </c>
      <c r="Q18" s="236" t="b">
        <v>0</v>
      </c>
      <c r="R18" s="236" t="b">
        <v>0</v>
      </c>
      <c r="S18" s="236" t="b">
        <v>0</v>
      </c>
      <c r="T18" s="236" t="b">
        <v>0</v>
      </c>
      <c r="U18" s="236" t="b">
        <v>0</v>
      </c>
      <c r="V18" s="236" t="b">
        <v>0</v>
      </c>
      <c r="W18" s="236" t="b">
        <v>0</v>
      </c>
      <c r="X18" s="236" t="b">
        <v>0</v>
      </c>
      <c r="Y18" s="236" t="b">
        <v>0</v>
      </c>
      <c r="Z18" s="236" t="b">
        <v>0</v>
      </c>
      <c r="AA18" s="236" t="b">
        <v>0</v>
      </c>
      <c r="AB18" s="236" t="b">
        <v>0</v>
      </c>
      <c r="AC18" s="236" t="b">
        <v>0</v>
      </c>
      <c r="AD18" s="256" t="str">
        <f>IF(COUNTIF(G18:AC18,"TRUE")=0,"Thiếu chứng nhận","Đủ điều kiện")</f>
        <v>Đủ điều kiện</v>
      </c>
      <c r="AE18" s="287"/>
      <c r="AF18" s="317"/>
    </row>
    <row r="19" spans="1:32">
      <c r="A19" s="256">
        <f>ROWS($B$5:B17)</f>
        <v>13</v>
      </c>
      <c r="B19" s="256">
        <v>5362</v>
      </c>
      <c r="C19" s="256" t="s">
        <v>1912</v>
      </c>
      <c r="D19" s="256" t="s">
        <v>1903</v>
      </c>
      <c r="E19" s="256" t="s">
        <v>1909</v>
      </c>
      <c r="F19" s="290"/>
      <c r="G19" s="236" t="b">
        <v>1</v>
      </c>
      <c r="H19" s="236" t="b">
        <v>1</v>
      </c>
      <c r="I19" s="236" t="b">
        <v>1</v>
      </c>
      <c r="J19" s="236" t="b">
        <v>1</v>
      </c>
      <c r="K19" s="236" t="b">
        <v>0</v>
      </c>
      <c r="L19" s="236" t="b">
        <v>1</v>
      </c>
      <c r="M19" s="236" t="b">
        <v>0</v>
      </c>
      <c r="N19" s="236" t="b">
        <v>1</v>
      </c>
      <c r="O19" s="236" t="b">
        <v>0</v>
      </c>
      <c r="P19" s="236" t="b">
        <v>0</v>
      </c>
      <c r="Q19" s="236" t="b">
        <v>0</v>
      </c>
      <c r="R19" s="236" t="b">
        <v>0</v>
      </c>
      <c r="S19" s="236" t="b">
        <v>0</v>
      </c>
      <c r="T19" s="236" t="b">
        <v>0</v>
      </c>
      <c r="U19" s="236" t="b">
        <v>0</v>
      </c>
      <c r="V19" s="236" t="b">
        <v>0</v>
      </c>
      <c r="W19" s="236" t="b">
        <v>0</v>
      </c>
      <c r="X19" s="236" t="b">
        <v>0</v>
      </c>
      <c r="Y19" s="236" t="b">
        <v>0</v>
      </c>
      <c r="Z19" s="236" t="b">
        <v>0</v>
      </c>
      <c r="AA19" s="236" t="b">
        <v>0</v>
      </c>
      <c r="AB19" s="236" t="b">
        <v>0</v>
      </c>
      <c r="AC19" s="236" t="b">
        <v>0</v>
      </c>
      <c r="AD19" s="256" t="str">
        <f>IF(COUNTIF(G19:AC19,"TRUE")=0,"Thiếu chứng nhận","Đủ điều kiện")</f>
        <v>Đủ điều kiện</v>
      </c>
      <c r="AE19" s="287"/>
      <c r="AF19" s="317"/>
    </row>
    <row r="20" spans="1:32">
      <c r="A20" s="256">
        <f>ROWS($B$5:B18)</f>
        <v>14</v>
      </c>
      <c r="B20" s="256">
        <v>39900</v>
      </c>
      <c r="C20" s="256" t="s">
        <v>1913</v>
      </c>
      <c r="D20" s="256" t="s">
        <v>1907</v>
      </c>
      <c r="E20" s="256" t="s">
        <v>1909</v>
      </c>
      <c r="F20" s="290"/>
      <c r="G20" s="236" t="b">
        <v>1</v>
      </c>
      <c r="H20" s="236" t="b">
        <v>1</v>
      </c>
      <c r="I20" s="236" t="b">
        <v>1</v>
      </c>
      <c r="J20" s="236" t="b">
        <v>1</v>
      </c>
      <c r="K20" s="236" t="b">
        <v>0</v>
      </c>
      <c r="L20" s="236" t="b">
        <v>1</v>
      </c>
      <c r="M20" s="236" t="b">
        <v>0</v>
      </c>
      <c r="N20" s="236" t="b">
        <v>1</v>
      </c>
      <c r="O20" s="236" t="b">
        <v>0</v>
      </c>
      <c r="P20" s="236" t="b">
        <v>0</v>
      </c>
      <c r="Q20" s="236" t="b">
        <v>0</v>
      </c>
      <c r="R20" s="236" t="b">
        <v>0</v>
      </c>
      <c r="S20" s="236" t="b">
        <v>0</v>
      </c>
      <c r="T20" s="236" t="b">
        <v>0</v>
      </c>
      <c r="U20" s="236" t="b">
        <v>0</v>
      </c>
      <c r="V20" s="236" t="b">
        <v>0</v>
      </c>
      <c r="W20" s="236" t="b">
        <v>0</v>
      </c>
      <c r="X20" s="236" t="b">
        <v>0</v>
      </c>
      <c r="Y20" s="236" t="b">
        <v>0</v>
      </c>
      <c r="Z20" s="236" t="b">
        <v>0</v>
      </c>
      <c r="AA20" s="236" t="b">
        <v>0</v>
      </c>
      <c r="AB20" s="236" t="b">
        <v>0</v>
      </c>
      <c r="AC20" s="236" t="b">
        <v>0</v>
      </c>
      <c r="AD20" s="256" t="str">
        <f>IF(COUNTIF(G20:AC20,"TRUE")=0,"Thiếu chứng nhận","Đủ điều kiện")</f>
        <v>Đủ điều kiện</v>
      </c>
      <c r="AE20" s="287"/>
      <c r="AF20" s="317"/>
    </row>
    <row r="21" spans="1:32">
      <c r="A21" s="256">
        <f>ROWS($B$5:B19)</f>
        <v>15</v>
      </c>
      <c r="B21" s="256">
        <v>40657</v>
      </c>
      <c r="C21" s="256" t="s">
        <v>1914</v>
      </c>
      <c r="D21" s="256" t="s">
        <v>1907</v>
      </c>
      <c r="E21" s="256" t="s">
        <v>1909</v>
      </c>
      <c r="F21" s="290"/>
      <c r="G21" s="236" t="b">
        <v>1</v>
      </c>
      <c r="H21" s="236" t="b">
        <v>1</v>
      </c>
      <c r="I21" s="236" t="b">
        <v>0</v>
      </c>
      <c r="J21" s="236" t="b">
        <v>0</v>
      </c>
      <c r="K21" s="236" t="b">
        <v>0</v>
      </c>
      <c r="L21" s="236" t="b">
        <v>1</v>
      </c>
      <c r="M21" s="236" t="b">
        <v>0</v>
      </c>
      <c r="N21" s="236" t="b">
        <v>0</v>
      </c>
      <c r="O21" s="236" t="b">
        <v>0</v>
      </c>
      <c r="P21" s="236" t="b">
        <v>0</v>
      </c>
      <c r="Q21" s="236" t="b">
        <v>0</v>
      </c>
      <c r="R21" s="236" t="b">
        <v>0</v>
      </c>
      <c r="S21" s="236" t="b">
        <v>0</v>
      </c>
      <c r="T21" s="236" t="b">
        <v>0</v>
      </c>
      <c r="U21" s="236" t="b">
        <v>0</v>
      </c>
      <c r="V21" s="236" t="b">
        <v>0</v>
      </c>
      <c r="W21" s="236" t="b">
        <v>0</v>
      </c>
      <c r="X21" s="236" t="b">
        <v>0</v>
      </c>
      <c r="Y21" s="236" t="b">
        <v>0</v>
      </c>
      <c r="Z21" s="236" t="b">
        <v>0</v>
      </c>
      <c r="AA21" s="236" t="b">
        <v>0</v>
      </c>
      <c r="AB21" s="236" t="b">
        <v>0</v>
      </c>
      <c r="AC21" s="236" t="b">
        <v>0</v>
      </c>
      <c r="AD21" s="256" t="str">
        <f>IF(COUNTIF(G21:AC21,"TRUE")=0,"Thiếu chứng nhận","Đủ điều kiện")</f>
        <v>Đủ điều kiện</v>
      </c>
      <c r="AE21" s="287"/>
      <c r="AF21" s="317"/>
    </row>
    <row r="22" spans="1:32">
      <c r="A22" s="256">
        <f>ROWS($B$5:B20)</f>
        <v>16</v>
      </c>
      <c r="B22" s="256">
        <v>4980</v>
      </c>
      <c r="C22" s="256" t="s">
        <v>871</v>
      </c>
      <c r="D22" s="256" t="s">
        <v>1915</v>
      </c>
      <c r="E22" s="256" t="s">
        <v>870</v>
      </c>
      <c r="F22" s="290"/>
      <c r="G22" s="236" t="b">
        <v>1</v>
      </c>
      <c r="H22" s="236" t="b">
        <v>1</v>
      </c>
      <c r="I22" s="236" t="b">
        <v>0</v>
      </c>
      <c r="J22" s="236" t="b">
        <v>1</v>
      </c>
      <c r="K22" s="236" t="b">
        <v>0</v>
      </c>
      <c r="L22" s="236" t="b">
        <v>1</v>
      </c>
      <c r="M22" s="236" t="b">
        <v>0</v>
      </c>
      <c r="N22" s="236" t="b">
        <v>1</v>
      </c>
      <c r="O22" s="236" t="b">
        <v>0</v>
      </c>
      <c r="P22" s="236" t="b">
        <v>0</v>
      </c>
      <c r="Q22" s="236" t="b">
        <v>0</v>
      </c>
      <c r="R22" s="236" t="b">
        <v>0</v>
      </c>
      <c r="S22" s="236" t="b">
        <v>1</v>
      </c>
      <c r="T22" s="236" t="b">
        <v>0</v>
      </c>
      <c r="U22" s="236" t="b">
        <v>1</v>
      </c>
      <c r="V22" s="236" t="b">
        <v>0</v>
      </c>
      <c r="W22" s="236" t="b">
        <v>0</v>
      </c>
      <c r="X22" s="236" t="b">
        <v>0</v>
      </c>
      <c r="Y22" s="236" t="b">
        <v>0</v>
      </c>
      <c r="Z22" s="236" t="b">
        <v>0</v>
      </c>
      <c r="AA22" s="236" t="b">
        <v>0</v>
      </c>
      <c r="AB22" s="236" t="b">
        <v>0</v>
      </c>
      <c r="AC22" s="236" t="b">
        <v>0</v>
      </c>
      <c r="AD22" s="256" t="str">
        <f>IF(COUNTIF(G22:AC22,"TRUE")=0,"Thiếu chứng nhận","Đủ điều kiện")</f>
        <v>Đủ điều kiện</v>
      </c>
      <c r="AE22" s="287"/>
      <c r="AF22" s="317"/>
    </row>
    <row r="23" spans="1:32">
      <c r="A23" s="256">
        <f>ROWS($B$5:B21)</f>
        <v>17</v>
      </c>
      <c r="B23" s="256">
        <v>5364</v>
      </c>
      <c r="C23" s="256" t="s">
        <v>883</v>
      </c>
      <c r="D23" s="256" t="s">
        <v>1916</v>
      </c>
      <c r="E23" s="256" t="s">
        <v>870</v>
      </c>
      <c r="F23" s="290"/>
      <c r="G23" s="236" t="b">
        <v>1</v>
      </c>
      <c r="H23" s="236" t="b">
        <v>1</v>
      </c>
      <c r="I23" s="236" t="b">
        <v>1</v>
      </c>
      <c r="J23" s="236" t="b">
        <v>1</v>
      </c>
      <c r="K23" s="236" t="b">
        <v>1</v>
      </c>
      <c r="L23" s="236" t="b">
        <v>1</v>
      </c>
      <c r="M23" s="236" t="b">
        <v>1</v>
      </c>
      <c r="N23" s="236" t="b">
        <v>1</v>
      </c>
      <c r="O23" s="236" t="b">
        <v>1</v>
      </c>
      <c r="P23" s="236" t="b">
        <v>1</v>
      </c>
      <c r="Q23" s="236" t="b">
        <v>1</v>
      </c>
      <c r="R23" s="236" t="b">
        <v>0</v>
      </c>
      <c r="S23" s="236" t="b">
        <v>1</v>
      </c>
      <c r="T23" s="236" t="b">
        <v>0</v>
      </c>
      <c r="U23" s="236" t="b">
        <v>1</v>
      </c>
      <c r="V23" s="236" t="b">
        <v>0</v>
      </c>
      <c r="W23" s="236" t="b">
        <v>0</v>
      </c>
      <c r="X23" s="236" t="b">
        <v>0</v>
      </c>
      <c r="Y23" s="236" t="b">
        <v>0</v>
      </c>
      <c r="Z23" s="236" t="b">
        <v>0</v>
      </c>
      <c r="AA23" s="236" t="b">
        <v>0</v>
      </c>
      <c r="AB23" s="236" t="b">
        <v>0</v>
      </c>
      <c r="AC23" s="236" t="b">
        <v>0</v>
      </c>
      <c r="AD23" s="256" t="str">
        <f>IF(COUNTIF(G23:AC23,"TRUE")=0,"Thiếu chứng nhận","Đủ điều kiện")</f>
        <v>Đủ điều kiện</v>
      </c>
      <c r="AE23" s="287"/>
      <c r="AF23" s="317"/>
    </row>
    <row r="24" spans="1:32">
      <c r="A24" s="256">
        <f>ROWS($B$5:B22)</f>
        <v>18</v>
      </c>
      <c r="B24" s="256">
        <v>3827</v>
      </c>
      <c r="C24" s="256" t="s">
        <v>1917</v>
      </c>
      <c r="D24" s="256" t="s">
        <v>1903</v>
      </c>
      <c r="E24" s="256" t="s">
        <v>149</v>
      </c>
      <c r="F24" s="290"/>
      <c r="G24" s="236" t="b">
        <v>0</v>
      </c>
      <c r="H24" s="236" t="b">
        <v>0</v>
      </c>
      <c r="I24" s="236" t="b">
        <v>0</v>
      </c>
      <c r="J24" s="236" t="b">
        <v>1</v>
      </c>
      <c r="K24" s="236" t="b">
        <v>0</v>
      </c>
      <c r="L24" s="236" t="b">
        <v>0</v>
      </c>
      <c r="M24" s="236" t="b">
        <v>0</v>
      </c>
      <c r="N24" s="236" t="b">
        <v>1</v>
      </c>
      <c r="O24" s="236" t="b">
        <v>0</v>
      </c>
      <c r="P24" s="236" t="b">
        <v>0</v>
      </c>
      <c r="Q24" s="236" t="b">
        <v>0</v>
      </c>
      <c r="R24" s="236" t="b">
        <v>0</v>
      </c>
      <c r="S24" s="236" t="b">
        <v>0</v>
      </c>
      <c r="T24" s="236" t="b">
        <v>0</v>
      </c>
      <c r="U24" s="236" t="b">
        <v>0</v>
      </c>
      <c r="V24" s="236" t="b">
        <v>0</v>
      </c>
      <c r="W24" s="236" t="b">
        <v>0</v>
      </c>
      <c r="X24" s="236" t="b">
        <v>0</v>
      </c>
      <c r="Y24" s="236" t="b">
        <v>0</v>
      </c>
      <c r="Z24" s="236" t="b">
        <v>0</v>
      </c>
      <c r="AA24" s="236" t="b">
        <v>0</v>
      </c>
      <c r="AB24" s="236" t="b">
        <v>0</v>
      </c>
      <c r="AC24" s="236" t="b">
        <v>0</v>
      </c>
      <c r="AD24" s="256" t="str">
        <f>IF(COUNTIF(G24:AC24,"TRUE")=0,"Thiếu chứng nhận","Đủ điều kiện")</f>
        <v>Đủ điều kiện</v>
      </c>
      <c r="AE24" s="287"/>
      <c r="AF24" s="317"/>
    </row>
    <row r="25" spans="1:32">
      <c r="A25" s="256">
        <f>ROWS($B$5:B23)</f>
        <v>19</v>
      </c>
      <c r="B25" s="256">
        <v>4505</v>
      </c>
      <c r="C25" s="256" t="s">
        <v>187</v>
      </c>
      <c r="D25" s="256" t="s">
        <v>1918</v>
      </c>
      <c r="E25" s="256" t="s">
        <v>149</v>
      </c>
      <c r="F25" s="290"/>
      <c r="G25" s="236" t="b">
        <v>0</v>
      </c>
      <c r="H25" s="236" t="b">
        <v>0</v>
      </c>
      <c r="I25" s="236" t="b">
        <v>0</v>
      </c>
      <c r="J25" s="236" t="b">
        <v>1</v>
      </c>
      <c r="K25" s="236" t="b">
        <v>0</v>
      </c>
      <c r="L25" s="236" t="b">
        <v>0</v>
      </c>
      <c r="M25" s="236" t="b">
        <v>0</v>
      </c>
      <c r="N25" s="236" t="b">
        <v>1</v>
      </c>
      <c r="O25" s="236" t="b">
        <v>1</v>
      </c>
      <c r="P25" s="236" t="b">
        <v>1</v>
      </c>
      <c r="Q25" s="236" t="b">
        <v>1</v>
      </c>
      <c r="R25" s="236" t="b">
        <v>0</v>
      </c>
      <c r="S25" s="236" t="b">
        <v>1</v>
      </c>
      <c r="T25" s="236" t="b">
        <v>1</v>
      </c>
      <c r="U25" s="236" t="b">
        <v>0</v>
      </c>
      <c r="V25" s="236" t="b">
        <v>1</v>
      </c>
      <c r="W25" s="236" t="b">
        <v>1</v>
      </c>
      <c r="X25" s="236" t="b">
        <v>0</v>
      </c>
      <c r="Y25" s="236" t="b">
        <v>0</v>
      </c>
      <c r="Z25" s="236" t="b">
        <v>0</v>
      </c>
      <c r="AA25" s="236" t="b">
        <v>0</v>
      </c>
      <c r="AB25" s="236" t="b">
        <v>0</v>
      </c>
      <c r="AC25" s="236" t="b">
        <v>0</v>
      </c>
      <c r="AD25" s="256" t="str">
        <f>IF(COUNTIF(G25:AC25,"TRUE")=0,"Thiếu chứng nhận","Đủ điều kiện")</f>
        <v>Đủ điều kiện</v>
      </c>
      <c r="AE25" s="287"/>
      <c r="AF25" s="317"/>
    </row>
    <row r="26" spans="1:32">
      <c r="A26" s="256">
        <f>ROWS($B$5:B24)</f>
        <v>20</v>
      </c>
      <c r="B26" s="256">
        <v>4510</v>
      </c>
      <c r="C26" s="256" t="s">
        <v>160</v>
      </c>
      <c r="D26" s="256" t="s">
        <v>1919</v>
      </c>
      <c r="E26" s="256" t="s">
        <v>149</v>
      </c>
      <c r="F26" s="290"/>
      <c r="G26" s="236" t="b">
        <v>0</v>
      </c>
      <c r="H26" s="236" t="b">
        <v>0</v>
      </c>
      <c r="I26" s="236" t="b">
        <v>0</v>
      </c>
      <c r="J26" s="236" t="b">
        <v>1</v>
      </c>
      <c r="K26" s="236" t="b">
        <v>0</v>
      </c>
      <c r="L26" s="236" t="b">
        <v>0</v>
      </c>
      <c r="M26" s="236" t="b">
        <v>0</v>
      </c>
      <c r="N26" s="236" t="b">
        <v>1</v>
      </c>
      <c r="O26" s="236" t="b">
        <v>1</v>
      </c>
      <c r="P26" s="236" t="b">
        <v>1</v>
      </c>
      <c r="Q26" s="236" t="b">
        <v>1</v>
      </c>
      <c r="R26" s="236" t="b">
        <v>1</v>
      </c>
      <c r="S26" s="236" t="b">
        <v>1</v>
      </c>
      <c r="T26" s="236" t="b">
        <v>1</v>
      </c>
      <c r="U26" s="236" t="b">
        <v>1</v>
      </c>
      <c r="V26" s="236" t="b">
        <v>1</v>
      </c>
      <c r="W26" s="236" t="b">
        <v>1</v>
      </c>
      <c r="X26" s="236" t="b">
        <v>0</v>
      </c>
      <c r="Y26" s="236" t="b">
        <v>0</v>
      </c>
      <c r="Z26" s="236" t="b">
        <v>0</v>
      </c>
      <c r="AA26" s="236" t="b">
        <v>0</v>
      </c>
      <c r="AB26" s="236" t="b">
        <v>0</v>
      </c>
      <c r="AC26" s="236" t="b">
        <v>0</v>
      </c>
      <c r="AD26" s="256" t="str">
        <f>IF(COUNTIF(G26:AC26,"TRUE")=0,"Thiếu chứng nhận","Đủ điều kiện")</f>
        <v>Đủ điều kiện</v>
      </c>
      <c r="AE26" s="287"/>
      <c r="AF26" s="317"/>
    </row>
    <row r="27" spans="1:32">
      <c r="A27" s="256">
        <f>ROWS($B$5:B25)</f>
        <v>21</v>
      </c>
      <c r="B27" s="256">
        <v>4600</v>
      </c>
      <c r="C27" s="256" t="s">
        <v>206</v>
      </c>
      <c r="D27" s="256" t="s">
        <v>1903</v>
      </c>
      <c r="E27" s="256" t="s">
        <v>149</v>
      </c>
      <c r="F27" s="290"/>
      <c r="G27" s="236" t="b">
        <v>0</v>
      </c>
      <c r="H27" s="236" t="b">
        <v>0</v>
      </c>
      <c r="I27" s="236" t="b">
        <v>0</v>
      </c>
      <c r="J27" s="236" t="b">
        <v>1</v>
      </c>
      <c r="K27" s="236" t="b">
        <v>0</v>
      </c>
      <c r="L27" s="236" t="b">
        <v>0</v>
      </c>
      <c r="M27" s="236" t="b">
        <v>0</v>
      </c>
      <c r="N27" s="236" t="b">
        <v>1</v>
      </c>
      <c r="O27" s="236" t="b">
        <v>0</v>
      </c>
      <c r="P27" s="236" t="b">
        <v>0</v>
      </c>
      <c r="Q27" s="236" t="b">
        <v>0</v>
      </c>
      <c r="R27" s="236" t="b">
        <v>1</v>
      </c>
      <c r="S27" s="236" t="b">
        <v>0</v>
      </c>
      <c r="T27" s="236" t="b">
        <v>0</v>
      </c>
      <c r="U27" s="236" t="b">
        <v>0</v>
      </c>
      <c r="V27" s="236" t="b">
        <v>1</v>
      </c>
      <c r="W27" s="236" t="b">
        <v>0</v>
      </c>
      <c r="X27" s="236" t="b">
        <v>0</v>
      </c>
      <c r="Y27" s="236" t="b">
        <v>0</v>
      </c>
      <c r="Z27" s="236" t="b">
        <v>0</v>
      </c>
      <c r="AA27" s="236" t="b">
        <v>0</v>
      </c>
      <c r="AB27" s="236" t="b">
        <v>0</v>
      </c>
      <c r="AC27" s="236" t="b">
        <v>0</v>
      </c>
      <c r="AD27" s="256" t="str">
        <f>IF(COUNTIF(G27:AC27,"TRUE")=0,"Thiếu chứng nhận","Đủ điều kiện")</f>
        <v>Đủ điều kiện</v>
      </c>
      <c r="AE27" s="287"/>
      <c r="AF27" s="317"/>
    </row>
    <row r="28" spans="1:32">
      <c r="A28" s="256">
        <f>ROWS($B$5:B26)</f>
        <v>22</v>
      </c>
      <c r="B28" s="256">
        <v>4693</v>
      </c>
      <c r="C28" s="256" t="s">
        <v>1920</v>
      </c>
      <c r="D28" s="256" t="s">
        <v>1902</v>
      </c>
      <c r="E28" s="256" t="s">
        <v>149</v>
      </c>
      <c r="F28" s="290"/>
      <c r="G28" s="236" t="b">
        <v>0</v>
      </c>
      <c r="H28" s="236" t="b">
        <v>0</v>
      </c>
      <c r="I28" s="236" t="b">
        <v>0</v>
      </c>
      <c r="J28" s="236" t="b">
        <v>1</v>
      </c>
      <c r="K28" s="236" t="b">
        <v>1</v>
      </c>
      <c r="L28" s="236" t="b">
        <v>0</v>
      </c>
      <c r="M28" s="236" t="b">
        <v>0</v>
      </c>
      <c r="N28" s="236" t="b">
        <v>1</v>
      </c>
      <c r="O28" s="236" t="b">
        <v>1</v>
      </c>
      <c r="P28" s="236" t="b">
        <v>1</v>
      </c>
      <c r="Q28" s="236" t="b">
        <v>0</v>
      </c>
      <c r="R28" s="236" t="b">
        <v>0</v>
      </c>
      <c r="S28" s="236" t="b">
        <v>1</v>
      </c>
      <c r="T28" s="236" t="b">
        <v>0</v>
      </c>
      <c r="U28" s="236" t="b">
        <v>1</v>
      </c>
      <c r="V28" s="236" t="b">
        <v>1</v>
      </c>
      <c r="W28" s="236" t="b">
        <v>1</v>
      </c>
      <c r="X28" s="236" t="b">
        <v>0</v>
      </c>
      <c r="Y28" s="236" t="b">
        <v>0</v>
      </c>
      <c r="Z28" s="236" t="b">
        <v>0</v>
      </c>
      <c r="AA28" s="236" t="b">
        <v>0</v>
      </c>
      <c r="AB28" s="236" t="b">
        <v>0</v>
      </c>
      <c r="AC28" s="236" t="b">
        <v>0</v>
      </c>
      <c r="AD28" s="256" t="str">
        <f>IF(COUNTIF(G28:AC28,"TRUE")=0,"Thiếu chứng nhận","Đủ điều kiện")</f>
        <v>Đủ điều kiện</v>
      </c>
      <c r="AE28" s="287"/>
      <c r="AF28" s="317"/>
    </row>
    <row r="29" spans="1:32">
      <c r="A29" s="256">
        <f>ROWS($B$5:B27)</f>
        <v>23</v>
      </c>
      <c r="B29" s="256">
        <v>4715</v>
      </c>
      <c r="C29" s="256" t="s">
        <v>168</v>
      </c>
      <c r="D29" s="256" t="s">
        <v>1903</v>
      </c>
      <c r="E29" s="256" t="s">
        <v>149</v>
      </c>
      <c r="F29" s="290"/>
      <c r="G29" s="236" t="b">
        <v>0</v>
      </c>
      <c r="H29" s="236" t="b">
        <v>0</v>
      </c>
      <c r="I29" s="236" t="b">
        <v>0</v>
      </c>
      <c r="J29" s="236" t="b">
        <v>1</v>
      </c>
      <c r="K29" s="236" t="b">
        <v>0</v>
      </c>
      <c r="L29" s="236" t="b">
        <v>0</v>
      </c>
      <c r="M29" s="236" t="b">
        <v>0</v>
      </c>
      <c r="N29" s="236" t="b">
        <v>1</v>
      </c>
      <c r="O29" s="236" t="b">
        <v>1</v>
      </c>
      <c r="P29" s="236" t="b">
        <v>1</v>
      </c>
      <c r="Q29" s="236" t="b">
        <v>1</v>
      </c>
      <c r="R29" s="236" t="b">
        <v>1</v>
      </c>
      <c r="S29" s="236" t="b">
        <v>1</v>
      </c>
      <c r="T29" s="236" t="b">
        <v>1</v>
      </c>
      <c r="U29" s="236" t="b">
        <v>1</v>
      </c>
      <c r="V29" s="236" t="b">
        <v>1</v>
      </c>
      <c r="W29" s="236" t="b">
        <v>1</v>
      </c>
      <c r="X29" s="236" t="b">
        <v>0</v>
      </c>
      <c r="Y29" s="236" t="b">
        <v>0</v>
      </c>
      <c r="Z29" s="236" t="b">
        <v>0</v>
      </c>
      <c r="AA29" s="236" t="b">
        <v>0</v>
      </c>
      <c r="AB29" s="236" t="b">
        <v>0</v>
      </c>
      <c r="AC29" s="236" t="b">
        <v>0</v>
      </c>
      <c r="AD29" s="256" t="str">
        <f>IF(COUNTIF(G29:AC29,"TRUE")=0,"Thiếu chứng nhận","Đủ điều kiện")</f>
        <v>Đủ điều kiện</v>
      </c>
      <c r="AE29" s="287"/>
      <c r="AF29" s="317"/>
    </row>
    <row r="30" spans="1:32">
      <c r="A30" s="256">
        <f>ROWS($B$5:B28)</f>
        <v>24</v>
      </c>
      <c r="B30" s="256">
        <v>4795</v>
      </c>
      <c r="C30" s="256" t="s">
        <v>158</v>
      </c>
      <c r="D30" s="256" t="s">
        <v>1902</v>
      </c>
      <c r="E30" s="256" t="s">
        <v>149</v>
      </c>
      <c r="F30" s="290"/>
      <c r="G30" s="236" t="b">
        <v>0</v>
      </c>
      <c r="H30" s="236" t="b">
        <v>0</v>
      </c>
      <c r="I30" s="236" t="b">
        <v>0</v>
      </c>
      <c r="J30" s="236" t="b">
        <v>1</v>
      </c>
      <c r="K30" s="236" t="b">
        <v>1</v>
      </c>
      <c r="L30" s="236" t="b">
        <v>0</v>
      </c>
      <c r="M30" s="236" t="b">
        <v>0</v>
      </c>
      <c r="N30" s="236" t="b">
        <v>1</v>
      </c>
      <c r="O30" s="236" t="b">
        <v>1</v>
      </c>
      <c r="P30" s="236" t="b">
        <v>1</v>
      </c>
      <c r="Q30" s="236" t="b">
        <v>0</v>
      </c>
      <c r="R30" s="236" t="b">
        <v>0</v>
      </c>
      <c r="S30" s="236" t="b">
        <v>1</v>
      </c>
      <c r="T30" s="236" t="b">
        <v>0</v>
      </c>
      <c r="U30" s="236" t="b">
        <v>1</v>
      </c>
      <c r="V30" s="236" t="b">
        <v>1</v>
      </c>
      <c r="W30" s="236" t="b">
        <v>1</v>
      </c>
      <c r="X30" s="236" t="b">
        <v>0</v>
      </c>
      <c r="Y30" s="236" t="b">
        <v>0</v>
      </c>
      <c r="Z30" s="236" t="b">
        <v>0</v>
      </c>
      <c r="AA30" s="236" t="b">
        <v>0</v>
      </c>
      <c r="AB30" s="236" t="b">
        <v>0</v>
      </c>
      <c r="AC30" s="236" t="b">
        <v>0</v>
      </c>
      <c r="AD30" s="256" t="str">
        <f>IF(COUNTIF(G30:AC30,"TRUE")=0,"Thiếu chứng nhận","Đủ điều kiện")</f>
        <v>Đủ điều kiện</v>
      </c>
      <c r="AE30" s="287"/>
      <c r="AF30" s="317"/>
    </row>
    <row r="31" spans="1:32">
      <c r="A31" s="256">
        <f>ROWS($B$5:B29)</f>
        <v>25</v>
      </c>
      <c r="B31" s="256">
        <v>4855</v>
      </c>
      <c r="C31" s="256" t="s">
        <v>181</v>
      </c>
      <c r="D31" s="256" t="s">
        <v>1919</v>
      </c>
      <c r="E31" s="256" t="s">
        <v>149</v>
      </c>
      <c r="F31" s="290"/>
      <c r="G31" s="236" t="b">
        <v>0</v>
      </c>
      <c r="H31" s="236" t="b">
        <v>0</v>
      </c>
      <c r="I31" s="236" t="b">
        <v>0</v>
      </c>
      <c r="J31" s="236" t="b">
        <v>1</v>
      </c>
      <c r="K31" s="236" t="b">
        <v>1</v>
      </c>
      <c r="L31" s="236" t="b">
        <v>0</v>
      </c>
      <c r="M31" s="236" t="b">
        <v>0</v>
      </c>
      <c r="N31" s="236" t="b">
        <v>1</v>
      </c>
      <c r="O31" s="236" t="b">
        <v>1</v>
      </c>
      <c r="P31" s="236" t="b">
        <v>1</v>
      </c>
      <c r="Q31" s="236" t="b">
        <v>1</v>
      </c>
      <c r="R31" s="236" t="b">
        <v>1</v>
      </c>
      <c r="S31" s="236" t="b">
        <v>1</v>
      </c>
      <c r="T31" s="236" t="b">
        <v>1</v>
      </c>
      <c r="U31" s="236" t="b">
        <v>1</v>
      </c>
      <c r="V31" s="236" t="b">
        <v>1</v>
      </c>
      <c r="W31" s="236" t="b">
        <v>1</v>
      </c>
      <c r="X31" s="236" t="b">
        <v>0</v>
      </c>
      <c r="Y31" s="236" t="b">
        <v>0</v>
      </c>
      <c r="Z31" s="236" t="b">
        <v>0</v>
      </c>
      <c r="AA31" s="236" t="b">
        <v>0</v>
      </c>
      <c r="AB31" s="236" t="b">
        <v>0</v>
      </c>
      <c r="AC31" s="236" t="b">
        <v>0</v>
      </c>
      <c r="AD31" s="256" t="str">
        <f>IF(COUNTIF(G31:AC31,"TRUE")=0,"Thiếu chứng nhận","Đủ điều kiện")</f>
        <v>Đủ điều kiện</v>
      </c>
      <c r="AE31" s="287"/>
      <c r="AF31" s="317"/>
    </row>
    <row r="32" spans="1:32">
      <c r="A32" s="256">
        <f>ROWS($B$5:B30)</f>
        <v>26</v>
      </c>
      <c r="B32" s="256">
        <v>4901</v>
      </c>
      <c r="C32" s="256" t="s">
        <v>620</v>
      </c>
      <c r="D32" s="256" t="s">
        <v>1903</v>
      </c>
      <c r="E32" s="256" t="s">
        <v>149</v>
      </c>
      <c r="F32" s="290"/>
      <c r="G32" s="236" t="b">
        <v>0</v>
      </c>
      <c r="H32" s="236" t="b">
        <v>0</v>
      </c>
      <c r="I32" s="236" t="b">
        <v>0</v>
      </c>
      <c r="J32" s="236" t="b">
        <v>1</v>
      </c>
      <c r="K32" s="236" t="b">
        <v>1</v>
      </c>
      <c r="L32" s="236" t="b">
        <v>0</v>
      </c>
      <c r="M32" s="236" t="b">
        <v>0</v>
      </c>
      <c r="N32" s="236" t="b">
        <v>1</v>
      </c>
      <c r="O32" s="236" t="b">
        <v>0</v>
      </c>
      <c r="P32" s="236" t="b">
        <v>0</v>
      </c>
      <c r="Q32" s="236" t="b">
        <v>0</v>
      </c>
      <c r="R32" s="236" t="b">
        <v>0</v>
      </c>
      <c r="S32" s="236" t="b">
        <v>0</v>
      </c>
      <c r="T32" s="236" t="b">
        <v>0</v>
      </c>
      <c r="U32" s="236" t="b">
        <v>0</v>
      </c>
      <c r="V32" s="236" t="b">
        <v>0</v>
      </c>
      <c r="W32" s="236" t="b">
        <v>0</v>
      </c>
      <c r="X32" s="236" t="b">
        <v>0</v>
      </c>
      <c r="Y32" s="236" t="b">
        <v>0</v>
      </c>
      <c r="Z32" s="236" t="b">
        <v>0</v>
      </c>
      <c r="AA32" s="236" t="b">
        <v>0</v>
      </c>
      <c r="AB32" s="236" t="b">
        <v>0</v>
      </c>
      <c r="AC32" s="236" t="b">
        <v>0</v>
      </c>
      <c r="AD32" s="256" t="str">
        <f>IF(COUNTIF(G32:AC32,"TRUE")=0,"Thiếu chứng nhận","Đủ điều kiện")</f>
        <v>Đủ điều kiện</v>
      </c>
      <c r="AE32" s="287"/>
      <c r="AF32" s="317"/>
    </row>
    <row r="33" spans="1:32">
      <c r="A33" s="256">
        <f>ROWS($B$5:B31)</f>
        <v>27</v>
      </c>
      <c r="B33" s="256">
        <v>5026</v>
      </c>
      <c r="C33" s="256" t="s">
        <v>185</v>
      </c>
      <c r="D33" s="256" t="s">
        <v>1919</v>
      </c>
      <c r="E33" s="256" t="s">
        <v>149</v>
      </c>
      <c r="F33" s="290"/>
      <c r="G33" s="236" t="b">
        <v>0</v>
      </c>
      <c r="H33" s="236" t="b">
        <v>0</v>
      </c>
      <c r="I33" s="236" t="b">
        <v>0</v>
      </c>
      <c r="J33" s="236" t="b">
        <v>1</v>
      </c>
      <c r="K33" s="236" t="b">
        <v>1</v>
      </c>
      <c r="L33" s="236" t="b">
        <v>0</v>
      </c>
      <c r="M33" s="236" t="b">
        <v>0</v>
      </c>
      <c r="N33" s="236" t="b">
        <v>1</v>
      </c>
      <c r="O33" s="236" t="b">
        <v>1</v>
      </c>
      <c r="P33" s="236" t="b">
        <v>1</v>
      </c>
      <c r="Q33" s="236" t="b">
        <v>1</v>
      </c>
      <c r="R33" s="236" t="b">
        <v>0</v>
      </c>
      <c r="S33" s="236" t="b">
        <v>1</v>
      </c>
      <c r="T33" s="236" t="b">
        <v>1</v>
      </c>
      <c r="U33" s="236" t="b">
        <v>1</v>
      </c>
      <c r="V33" s="236" t="b">
        <v>1</v>
      </c>
      <c r="W33" s="236" t="b">
        <v>1</v>
      </c>
      <c r="X33" s="236" t="b">
        <v>0</v>
      </c>
      <c r="Y33" s="236" t="b">
        <v>0</v>
      </c>
      <c r="Z33" s="236" t="b">
        <v>0</v>
      </c>
      <c r="AA33" s="236" t="b">
        <v>0</v>
      </c>
      <c r="AB33" s="236" t="b">
        <v>0</v>
      </c>
      <c r="AC33" s="236" t="b">
        <v>0</v>
      </c>
      <c r="AD33" s="256" t="str">
        <f>IF(COUNTIF(G33:AC33,"TRUE")=0,"Thiếu chứng nhận","Đủ điều kiện")</f>
        <v>Đủ điều kiện</v>
      </c>
      <c r="AE33" s="287"/>
      <c r="AF33" s="317"/>
    </row>
    <row r="34" spans="1:32">
      <c r="A34" s="256">
        <f>ROWS($B$5:B32)</f>
        <v>28</v>
      </c>
      <c r="B34" s="256">
        <v>5057</v>
      </c>
      <c r="C34" s="256" t="s">
        <v>826</v>
      </c>
      <c r="D34" s="256" t="s">
        <v>1903</v>
      </c>
      <c r="E34" s="256" t="s">
        <v>149</v>
      </c>
      <c r="F34" s="290"/>
      <c r="G34" s="236" t="b">
        <v>0</v>
      </c>
      <c r="H34" s="236" t="b">
        <v>0</v>
      </c>
      <c r="I34" s="236" t="b">
        <v>0</v>
      </c>
      <c r="J34" s="236" t="b">
        <v>0</v>
      </c>
      <c r="K34" s="236" t="b">
        <v>0</v>
      </c>
      <c r="L34" s="236" t="b">
        <v>0</v>
      </c>
      <c r="M34" s="236" t="b">
        <v>0</v>
      </c>
      <c r="N34" s="236" t="b">
        <v>0</v>
      </c>
      <c r="O34" s="236" t="b">
        <v>0</v>
      </c>
      <c r="P34" s="236" t="b">
        <v>0</v>
      </c>
      <c r="Q34" s="236" t="b">
        <v>0</v>
      </c>
      <c r="R34" s="236" t="b">
        <v>0</v>
      </c>
      <c r="S34" s="236" t="b">
        <v>0</v>
      </c>
      <c r="T34" s="236" t="b">
        <v>0</v>
      </c>
      <c r="U34" s="236" t="b">
        <v>0</v>
      </c>
      <c r="V34" s="236" t="b">
        <v>0</v>
      </c>
      <c r="W34" s="236" t="b">
        <v>0</v>
      </c>
      <c r="X34" s="236" t="b">
        <v>0</v>
      </c>
      <c r="Y34" s="236" t="b">
        <v>0</v>
      </c>
      <c r="Z34" s="236" t="b">
        <v>0</v>
      </c>
      <c r="AA34" s="236" t="b">
        <v>0</v>
      </c>
      <c r="AB34" s="236" t="b">
        <v>0</v>
      </c>
      <c r="AC34" s="236" t="b">
        <v>0</v>
      </c>
      <c r="AD34" s="256" t="str">
        <f>IF(COUNTIF(G34:AC34,"TRUE")=0,"Thiếu chứng nhận","Đủ điều kiện")</f>
        <v>Thiếu chứng nhận</v>
      </c>
      <c r="AE34" s="287"/>
      <c r="AF34" s="317"/>
    </row>
    <row r="35" spans="1:32">
      <c r="A35" s="256">
        <f>ROWS($B$5:B33)</f>
        <v>29</v>
      </c>
      <c r="B35" s="256">
        <v>5150</v>
      </c>
      <c r="C35" s="256" t="s">
        <v>153</v>
      </c>
      <c r="D35" s="256" t="s">
        <v>1903</v>
      </c>
      <c r="E35" s="256" t="s">
        <v>149</v>
      </c>
      <c r="F35" s="290"/>
      <c r="G35" s="236" t="b">
        <v>0</v>
      </c>
      <c r="H35" s="236" t="b">
        <v>0</v>
      </c>
      <c r="I35" s="236" t="b">
        <v>0</v>
      </c>
      <c r="J35" s="236" t="b">
        <v>1</v>
      </c>
      <c r="K35" s="236" t="b">
        <v>1</v>
      </c>
      <c r="L35" s="236" t="b">
        <v>0</v>
      </c>
      <c r="M35" s="236" t="b">
        <v>0</v>
      </c>
      <c r="N35" s="236" t="b">
        <v>1</v>
      </c>
      <c r="O35" s="236" t="b">
        <v>1</v>
      </c>
      <c r="P35" s="236" t="b">
        <v>1</v>
      </c>
      <c r="Q35" s="236" t="b">
        <v>1</v>
      </c>
      <c r="R35" s="236" t="b">
        <v>0</v>
      </c>
      <c r="S35" s="236" t="b">
        <v>1</v>
      </c>
      <c r="T35" s="236" t="b">
        <v>1</v>
      </c>
      <c r="U35" s="236" t="b">
        <v>1</v>
      </c>
      <c r="V35" s="236" t="b">
        <v>1</v>
      </c>
      <c r="W35" s="236" t="b">
        <v>1</v>
      </c>
      <c r="X35" s="236" t="b">
        <v>0</v>
      </c>
      <c r="Y35" s="236" t="b">
        <v>0</v>
      </c>
      <c r="Z35" s="236" t="b">
        <v>0</v>
      </c>
      <c r="AA35" s="236" t="b">
        <v>0</v>
      </c>
      <c r="AB35" s="236" t="b">
        <v>0</v>
      </c>
      <c r="AC35" s="236" t="b">
        <v>0</v>
      </c>
      <c r="AD35" s="256" t="str">
        <f>IF(COUNTIF(G35:AC35,"TRUE")=0,"Thiếu chứng nhận","Đủ điều kiện")</f>
        <v>Đủ điều kiện</v>
      </c>
      <c r="AE35" s="287"/>
      <c r="AF35" s="317"/>
    </row>
    <row r="36" spans="1:32">
      <c r="A36" s="256">
        <f>ROWS($B$5:B34)</f>
        <v>30</v>
      </c>
      <c r="B36" s="256">
        <v>5151</v>
      </c>
      <c r="C36" s="256" t="s">
        <v>164</v>
      </c>
      <c r="D36" s="256" t="s">
        <v>1903</v>
      </c>
      <c r="E36" s="256" t="s">
        <v>149</v>
      </c>
      <c r="F36" s="290"/>
      <c r="G36" s="236" t="b">
        <v>0</v>
      </c>
      <c r="H36" s="236" t="b">
        <v>0</v>
      </c>
      <c r="I36" s="236" t="b">
        <v>0</v>
      </c>
      <c r="J36" s="236" t="b">
        <v>0</v>
      </c>
      <c r="K36" s="236" t="b">
        <v>0</v>
      </c>
      <c r="L36" s="236" t="b">
        <v>0</v>
      </c>
      <c r="M36" s="236" t="b">
        <v>0</v>
      </c>
      <c r="N36" s="236" t="b">
        <v>0</v>
      </c>
      <c r="O36" s="236" t="b">
        <v>0</v>
      </c>
      <c r="P36" s="236" t="b">
        <v>0</v>
      </c>
      <c r="Q36" s="236" t="b">
        <v>0</v>
      </c>
      <c r="R36" s="236" t="b">
        <v>0</v>
      </c>
      <c r="S36" s="236" t="b">
        <v>0</v>
      </c>
      <c r="T36" s="236" t="b">
        <v>0</v>
      </c>
      <c r="U36" s="236" t="b">
        <v>0</v>
      </c>
      <c r="V36" s="236" t="b">
        <v>0</v>
      </c>
      <c r="W36" s="236" t="b">
        <v>0</v>
      </c>
      <c r="X36" s="236" t="b">
        <v>0</v>
      </c>
      <c r="Y36" s="236" t="b">
        <v>0</v>
      </c>
      <c r="Z36" s="236" t="b">
        <v>0</v>
      </c>
      <c r="AA36" s="236" t="b">
        <v>0</v>
      </c>
      <c r="AB36" s="236" t="b">
        <v>0</v>
      </c>
      <c r="AC36" s="236" t="b">
        <v>0</v>
      </c>
      <c r="AD36" s="256" t="str">
        <f>IF(COUNTIF(G36:AC36,"TRUE")=0,"Thiếu chứng nhận","Đủ điều kiện")</f>
        <v>Thiếu chứng nhận</v>
      </c>
      <c r="AE36" s="287"/>
      <c r="AF36" s="317"/>
    </row>
    <row r="37" spans="1:32">
      <c r="A37" s="256">
        <f>ROWS($B$5:B35)</f>
        <v>31</v>
      </c>
      <c r="B37" s="256">
        <v>5211</v>
      </c>
      <c r="C37" s="256" t="s">
        <v>166</v>
      </c>
      <c r="D37" s="256" t="s">
        <v>1918</v>
      </c>
      <c r="E37" s="256" t="s">
        <v>149</v>
      </c>
      <c r="F37" s="290"/>
      <c r="G37" s="236" t="b">
        <v>0</v>
      </c>
      <c r="H37" s="236" t="b">
        <v>0</v>
      </c>
      <c r="I37" s="236" t="b">
        <v>0</v>
      </c>
      <c r="J37" s="236" t="b">
        <v>1</v>
      </c>
      <c r="K37" s="236" t="b">
        <v>1</v>
      </c>
      <c r="L37" s="236" t="b">
        <v>0</v>
      </c>
      <c r="M37" s="236" t="b">
        <v>0</v>
      </c>
      <c r="N37" s="236" t="b">
        <v>1</v>
      </c>
      <c r="O37" s="236" t="b">
        <v>1</v>
      </c>
      <c r="P37" s="236" t="b">
        <v>1</v>
      </c>
      <c r="Q37" s="236" t="b">
        <v>1</v>
      </c>
      <c r="R37" s="236" t="b">
        <v>0</v>
      </c>
      <c r="S37" s="236" t="b">
        <v>1</v>
      </c>
      <c r="T37" s="236" t="b">
        <v>1</v>
      </c>
      <c r="U37" s="236" t="b">
        <v>1</v>
      </c>
      <c r="V37" s="236" t="b">
        <v>1</v>
      </c>
      <c r="W37" s="236" t="b">
        <v>1</v>
      </c>
      <c r="X37" s="236" t="b">
        <v>0</v>
      </c>
      <c r="Y37" s="236" t="b">
        <v>0</v>
      </c>
      <c r="Z37" s="236" t="b">
        <v>0</v>
      </c>
      <c r="AA37" s="236" t="b">
        <v>0</v>
      </c>
      <c r="AB37" s="236" t="b">
        <v>0</v>
      </c>
      <c r="AC37" s="236" t="b">
        <v>0</v>
      </c>
      <c r="AD37" s="256" t="str">
        <f>IF(COUNTIF(G37:AC37,"TRUE")=0,"Thiếu chứng nhận","Đủ điều kiện")</f>
        <v>Đủ điều kiện</v>
      </c>
      <c r="AE37" s="287"/>
      <c r="AF37" s="317"/>
    </row>
    <row r="38" spans="1:32">
      <c r="A38" s="256">
        <f>ROWS($B$5:B36)</f>
        <v>32</v>
      </c>
      <c r="B38" s="256">
        <v>5306</v>
      </c>
      <c r="C38" s="256" t="s">
        <v>183</v>
      </c>
      <c r="D38" s="256" t="s">
        <v>1919</v>
      </c>
      <c r="E38" s="256" t="s">
        <v>149</v>
      </c>
      <c r="F38" s="290"/>
      <c r="G38" s="236" t="b">
        <v>0</v>
      </c>
      <c r="H38" s="236" t="b">
        <v>0</v>
      </c>
      <c r="I38" s="236" t="b">
        <v>0</v>
      </c>
      <c r="J38" s="236" t="b">
        <v>1</v>
      </c>
      <c r="K38" s="236" t="b">
        <v>1</v>
      </c>
      <c r="L38" s="236" t="b">
        <v>0</v>
      </c>
      <c r="M38" s="236" t="b">
        <v>0</v>
      </c>
      <c r="N38" s="236" t="b">
        <v>1</v>
      </c>
      <c r="O38" s="236" t="b">
        <v>1</v>
      </c>
      <c r="P38" s="236" t="b">
        <v>1</v>
      </c>
      <c r="Q38" s="236" t="b">
        <v>1</v>
      </c>
      <c r="R38" s="236" t="b">
        <v>0</v>
      </c>
      <c r="S38" s="236" t="b">
        <v>1</v>
      </c>
      <c r="T38" s="236" t="b">
        <v>1</v>
      </c>
      <c r="U38" s="236" t="b">
        <v>1</v>
      </c>
      <c r="V38" s="236" t="b">
        <v>1</v>
      </c>
      <c r="W38" s="236" t="b">
        <v>1</v>
      </c>
      <c r="X38" s="236" t="b">
        <v>0</v>
      </c>
      <c r="Y38" s="236" t="b">
        <v>0</v>
      </c>
      <c r="Z38" s="236" t="b">
        <v>0</v>
      </c>
      <c r="AA38" s="236" t="b">
        <v>0</v>
      </c>
      <c r="AB38" s="236" t="b">
        <v>0</v>
      </c>
      <c r="AC38" s="236" t="b">
        <v>0</v>
      </c>
      <c r="AD38" s="256" t="str">
        <f>IF(COUNTIF(G38:AC38,"TRUE")=0,"Thiếu chứng nhận","Đủ điều kiện")</f>
        <v>Đủ điều kiện</v>
      </c>
      <c r="AE38" s="287"/>
      <c r="AF38" s="317"/>
    </row>
    <row r="39" spans="1:32">
      <c r="A39" s="256">
        <f>ROWS($B$5:B37)</f>
        <v>33</v>
      </c>
      <c r="B39" s="256">
        <v>40052</v>
      </c>
      <c r="C39" s="256" t="s">
        <v>1921</v>
      </c>
      <c r="D39" s="256" t="s">
        <v>1907</v>
      </c>
      <c r="E39" s="256" t="s">
        <v>149</v>
      </c>
      <c r="F39" s="290"/>
      <c r="G39" s="236" t="b">
        <v>0</v>
      </c>
      <c r="H39" s="236" t="b">
        <v>0</v>
      </c>
      <c r="I39" s="236" t="b">
        <v>0</v>
      </c>
      <c r="J39" s="236" t="b">
        <v>1</v>
      </c>
      <c r="K39" s="236" t="b">
        <v>1</v>
      </c>
      <c r="L39" s="236" t="b">
        <v>0</v>
      </c>
      <c r="M39" s="236" t="b">
        <v>0</v>
      </c>
      <c r="N39" s="236" t="b">
        <v>1</v>
      </c>
      <c r="O39" s="236" t="b">
        <v>1</v>
      </c>
      <c r="P39" s="236" t="b">
        <v>1</v>
      </c>
      <c r="Q39" s="236" t="b">
        <v>1</v>
      </c>
      <c r="R39" s="236" t="b">
        <v>0</v>
      </c>
      <c r="S39" s="236" t="b">
        <v>1</v>
      </c>
      <c r="T39" s="236" t="b">
        <v>1</v>
      </c>
      <c r="U39" s="236" t="b">
        <v>1</v>
      </c>
      <c r="V39" s="236" t="b">
        <v>1</v>
      </c>
      <c r="W39" s="236" t="b">
        <v>1</v>
      </c>
      <c r="X39" s="236" t="b">
        <v>0</v>
      </c>
      <c r="Y39" s="236" t="b">
        <v>0</v>
      </c>
      <c r="Z39" s="236" t="b">
        <v>0</v>
      </c>
      <c r="AA39" s="236" t="b">
        <v>0</v>
      </c>
      <c r="AB39" s="236" t="b">
        <v>0</v>
      </c>
      <c r="AC39" s="236" t="b">
        <v>0</v>
      </c>
      <c r="AD39" s="256" t="str">
        <f>IF(COUNTIF(G39:AC39,"TRUE")=0,"Thiếu chứng nhận","Đủ điều kiện")</f>
        <v>Đủ điều kiện</v>
      </c>
      <c r="AE39" s="287"/>
      <c r="AF39" s="317"/>
    </row>
    <row r="40" spans="1:32">
      <c r="A40" s="256">
        <f>ROWS($B$5:B38)</f>
        <v>34</v>
      </c>
      <c r="B40" s="256">
        <v>40530</v>
      </c>
      <c r="C40" s="256" t="s">
        <v>1922</v>
      </c>
      <c r="D40" s="256" t="s">
        <v>1907</v>
      </c>
      <c r="E40" s="256" t="s">
        <v>149</v>
      </c>
      <c r="F40" s="290"/>
      <c r="G40" s="236" t="b">
        <v>0</v>
      </c>
      <c r="H40" s="236" t="b">
        <v>0</v>
      </c>
      <c r="I40" s="236" t="b">
        <v>0</v>
      </c>
      <c r="J40" s="236" t="b">
        <v>1</v>
      </c>
      <c r="K40" s="236" t="b">
        <v>0</v>
      </c>
      <c r="L40" s="236" t="b">
        <v>0</v>
      </c>
      <c r="M40" s="236" t="b">
        <v>0</v>
      </c>
      <c r="N40" s="236" t="b">
        <v>1</v>
      </c>
      <c r="O40" s="236" t="b">
        <v>1</v>
      </c>
      <c r="P40" s="236" t="b">
        <v>1</v>
      </c>
      <c r="Q40" s="236" t="b">
        <v>0</v>
      </c>
      <c r="R40" s="236" t="b">
        <v>0</v>
      </c>
      <c r="S40" s="236" t="b">
        <v>0</v>
      </c>
      <c r="T40" s="236" t="b">
        <v>0</v>
      </c>
      <c r="U40" s="236" t="b">
        <v>0</v>
      </c>
      <c r="V40" s="236" t="b">
        <v>1</v>
      </c>
      <c r="W40" s="236" t="b">
        <v>1</v>
      </c>
      <c r="X40" s="236" t="b">
        <v>0</v>
      </c>
      <c r="Y40" s="236" t="b">
        <v>0</v>
      </c>
      <c r="Z40" s="236" t="b">
        <v>0</v>
      </c>
      <c r="AA40" s="236" t="b">
        <v>0</v>
      </c>
      <c r="AB40" s="236" t="b">
        <v>0</v>
      </c>
      <c r="AC40" s="236" t="b">
        <v>0</v>
      </c>
      <c r="AD40" s="256" t="str">
        <f>IF(COUNTIF(G40:AC40,"TRUE")=0,"Thiếu chứng nhận","Đủ điều kiện")</f>
        <v>Đủ điều kiện</v>
      </c>
      <c r="AE40" s="287"/>
      <c r="AF40" s="317"/>
    </row>
    <row r="41" spans="1:32">
      <c r="A41" s="256">
        <f>ROWS($B$5:B39)</f>
        <v>35</v>
      </c>
      <c r="B41" s="256">
        <v>40531</v>
      </c>
      <c r="C41" s="256" t="s">
        <v>1923</v>
      </c>
      <c r="D41" s="256" t="s">
        <v>1907</v>
      </c>
      <c r="E41" s="256" t="s">
        <v>149</v>
      </c>
      <c r="F41" s="290"/>
      <c r="G41" s="236" t="b">
        <v>0</v>
      </c>
      <c r="H41" s="236" t="b">
        <v>0</v>
      </c>
      <c r="I41" s="236" t="b">
        <v>0</v>
      </c>
      <c r="J41" s="236" t="b">
        <v>0</v>
      </c>
      <c r="K41" s="236" t="b">
        <v>0</v>
      </c>
      <c r="L41" s="236" t="b">
        <v>0</v>
      </c>
      <c r="M41" s="236" t="b">
        <v>0</v>
      </c>
      <c r="N41" s="236" t="b">
        <v>0</v>
      </c>
      <c r="O41" s="236" t="b">
        <v>0</v>
      </c>
      <c r="P41" s="236" t="b">
        <v>0</v>
      </c>
      <c r="Q41" s="236" t="b">
        <v>0</v>
      </c>
      <c r="R41" s="236" t="b">
        <v>0</v>
      </c>
      <c r="S41" s="236" t="b">
        <v>0</v>
      </c>
      <c r="T41" s="236" t="b">
        <v>0</v>
      </c>
      <c r="U41" s="236" t="b">
        <v>0</v>
      </c>
      <c r="V41" s="236" t="b">
        <v>0</v>
      </c>
      <c r="W41" s="236" t="b">
        <v>0</v>
      </c>
      <c r="X41" s="236" t="b">
        <v>0</v>
      </c>
      <c r="Y41" s="236" t="b">
        <v>0</v>
      </c>
      <c r="Z41" s="236" t="b">
        <v>0</v>
      </c>
      <c r="AA41" s="236" t="b">
        <v>0</v>
      </c>
      <c r="AB41" s="236" t="b">
        <v>0</v>
      </c>
      <c r="AC41" s="236" t="b">
        <v>0</v>
      </c>
      <c r="AD41" s="256" t="str">
        <f>IF(COUNTIF(G41:AC41,"TRUE")=0,"Thiếu chứng nhận","Đủ điều kiện")</f>
        <v>Thiếu chứng nhận</v>
      </c>
      <c r="AE41" s="287"/>
      <c r="AF41" s="317"/>
    </row>
    <row r="42" spans="1:32">
      <c r="A42" s="256">
        <f>ROWS($B$5:B40)</f>
        <v>36</v>
      </c>
      <c r="B42" s="256">
        <v>40533</v>
      </c>
      <c r="C42" s="256" t="s">
        <v>1924</v>
      </c>
      <c r="D42" s="256" t="s">
        <v>1907</v>
      </c>
      <c r="E42" s="256" t="s">
        <v>149</v>
      </c>
      <c r="F42" s="290"/>
      <c r="G42" s="236" t="b">
        <v>0</v>
      </c>
      <c r="H42" s="236" t="b">
        <v>0</v>
      </c>
      <c r="I42" s="236" t="b">
        <v>0</v>
      </c>
      <c r="J42" s="236" t="b">
        <v>0</v>
      </c>
      <c r="K42" s="236" t="b">
        <v>0</v>
      </c>
      <c r="L42" s="236" t="b">
        <v>0</v>
      </c>
      <c r="M42" s="236" t="b">
        <v>0</v>
      </c>
      <c r="N42" s="236" t="b">
        <v>0</v>
      </c>
      <c r="O42" s="236" t="b">
        <v>0</v>
      </c>
      <c r="P42" s="236" t="b">
        <v>0</v>
      </c>
      <c r="Q42" s="236" t="b">
        <v>0</v>
      </c>
      <c r="R42" s="236" t="b">
        <v>0</v>
      </c>
      <c r="S42" s="236" t="b">
        <v>0</v>
      </c>
      <c r="T42" s="236" t="b">
        <v>0</v>
      </c>
      <c r="U42" s="236" t="b">
        <v>0</v>
      </c>
      <c r="V42" s="236" t="b">
        <v>0</v>
      </c>
      <c r="W42" s="236" t="b">
        <v>0</v>
      </c>
      <c r="X42" s="236" t="b">
        <v>0</v>
      </c>
      <c r="Y42" s="236" t="b">
        <v>0</v>
      </c>
      <c r="Z42" s="236" t="b">
        <v>0</v>
      </c>
      <c r="AA42" s="236" t="b">
        <v>0</v>
      </c>
      <c r="AB42" s="236" t="b">
        <v>0</v>
      </c>
      <c r="AC42" s="236" t="b">
        <v>0</v>
      </c>
      <c r="AD42" s="256" t="str">
        <f>IF(COUNTIF(G42:AC42,"TRUE")=0,"Thiếu chứng nhận","Đủ điều kiện")</f>
        <v>Thiếu chứng nhận</v>
      </c>
      <c r="AE42" s="287"/>
      <c r="AF42" s="317"/>
    </row>
    <row r="43" spans="1:32">
      <c r="A43" s="256">
        <f>ROWS($B$5:B41)</f>
        <v>37</v>
      </c>
      <c r="B43" s="256">
        <v>40682</v>
      </c>
      <c r="C43" s="256" t="s">
        <v>1925</v>
      </c>
      <c r="D43" s="256" t="s">
        <v>1907</v>
      </c>
      <c r="E43" s="256" t="s">
        <v>149</v>
      </c>
      <c r="F43" s="290"/>
      <c r="G43" s="236" t="b">
        <v>0</v>
      </c>
      <c r="H43" s="236" t="b">
        <v>0</v>
      </c>
      <c r="I43" s="236" t="b">
        <v>0</v>
      </c>
      <c r="J43" s="236" t="b">
        <v>0</v>
      </c>
      <c r="K43" s="236" t="b">
        <v>0</v>
      </c>
      <c r="L43" s="236" t="b">
        <v>0</v>
      </c>
      <c r="M43" s="236" t="b">
        <v>0</v>
      </c>
      <c r="N43" s="236" t="b">
        <v>0</v>
      </c>
      <c r="O43" s="236" t="b">
        <v>0</v>
      </c>
      <c r="P43" s="236" t="b">
        <v>0</v>
      </c>
      <c r="Q43" s="236" t="b">
        <v>0</v>
      </c>
      <c r="R43" s="236" t="b">
        <v>0</v>
      </c>
      <c r="S43" s="236" t="b">
        <v>0</v>
      </c>
      <c r="T43" s="236" t="b">
        <v>0</v>
      </c>
      <c r="U43" s="236" t="b">
        <v>0</v>
      </c>
      <c r="V43" s="236" t="b">
        <v>0</v>
      </c>
      <c r="W43" s="236" t="b">
        <v>0</v>
      </c>
      <c r="X43" s="236" t="b">
        <v>0</v>
      </c>
      <c r="Y43" s="236" t="b">
        <v>0</v>
      </c>
      <c r="Z43" s="236" t="b">
        <v>0</v>
      </c>
      <c r="AA43" s="236" t="b">
        <v>0</v>
      </c>
      <c r="AB43" s="236" t="b">
        <v>0</v>
      </c>
      <c r="AC43" s="236" t="b">
        <v>0</v>
      </c>
      <c r="AD43" s="256" t="str">
        <f>IF(COUNTIF(G43:AC43,"TRUE")=0,"Thiếu chứng nhận","Đủ điều kiện")</f>
        <v>Thiếu chứng nhận</v>
      </c>
      <c r="AE43" s="287"/>
      <c r="AF43" s="317"/>
    </row>
    <row r="44" spans="1:32">
      <c r="A44" s="256">
        <f>ROWS($B$5:B42)</f>
        <v>38</v>
      </c>
      <c r="B44" s="256">
        <v>40687</v>
      </c>
      <c r="C44" s="256" t="s">
        <v>1926</v>
      </c>
      <c r="D44" s="256" t="s">
        <v>1907</v>
      </c>
      <c r="E44" s="256" t="s">
        <v>149</v>
      </c>
      <c r="F44" s="290"/>
      <c r="G44" s="236" t="b">
        <v>0</v>
      </c>
      <c r="H44" s="236" t="b">
        <v>0</v>
      </c>
      <c r="I44" s="236" t="b">
        <v>0</v>
      </c>
      <c r="J44" s="236" t="b">
        <v>0</v>
      </c>
      <c r="K44" s="236" t="b">
        <v>0</v>
      </c>
      <c r="L44" s="236" t="b">
        <v>0</v>
      </c>
      <c r="M44" s="236" t="b">
        <v>0</v>
      </c>
      <c r="N44" s="236" t="b">
        <v>0</v>
      </c>
      <c r="O44" s="236" t="b">
        <v>0</v>
      </c>
      <c r="P44" s="236" t="b">
        <v>0</v>
      </c>
      <c r="Q44" s="236" t="b">
        <v>0</v>
      </c>
      <c r="R44" s="236" t="b">
        <v>0</v>
      </c>
      <c r="S44" s="236" t="b">
        <v>0</v>
      </c>
      <c r="T44" s="236" t="b">
        <v>0</v>
      </c>
      <c r="U44" s="236" t="b">
        <v>0</v>
      </c>
      <c r="V44" s="236" t="b">
        <v>0</v>
      </c>
      <c r="W44" s="236" t="b">
        <v>0</v>
      </c>
      <c r="X44" s="236" t="b">
        <v>0</v>
      </c>
      <c r="Y44" s="236" t="b">
        <v>0</v>
      </c>
      <c r="Z44" s="236" t="b">
        <v>0</v>
      </c>
      <c r="AA44" s="236" t="b">
        <v>0</v>
      </c>
      <c r="AB44" s="236" t="b">
        <v>0</v>
      </c>
      <c r="AC44" s="236" t="b">
        <v>0</v>
      </c>
      <c r="AD44" s="256" t="str">
        <f>IF(COUNTIF(G44:AC44,"TRUE")=0,"Thiếu chứng nhận","Đủ điều kiện")</f>
        <v>Thiếu chứng nhận</v>
      </c>
      <c r="AE44" s="287"/>
      <c r="AF44" s="317"/>
    </row>
    <row r="45" spans="1:32">
      <c r="A45" s="256">
        <f>ROWS($B$5:B43)</f>
        <v>39</v>
      </c>
      <c r="B45" s="256">
        <v>40688</v>
      </c>
      <c r="C45" s="256" t="s">
        <v>1927</v>
      </c>
      <c r="D45" s="256" t="s">
        <v>1907</v>
      </c>
      <c r="E45" s="256" t="s">
        <v>149</v>
      </c>
      <c r="F45" s="290"/>
      <c r="G45" s="236" t="b">
        <v>0</v>
      </c>
      <c r="H45" s="236" t="b">
        <v>0</v>
      </c>
      <c r="I45" s="236" t="b">
        <v>0</v>
      </c>
      <c r="J45" s="236" t="b">
        <v>0</v>
      </c>
      <c r="K45" s="236" t="b">
        <v>0</v>
      </c>
      <c r="L45" s="236" t="b">
        <v>0</v>
      </c>
      <c r="M45" s="236" t="b">
        <v>0</v>
      </c>
      <c r="N45" s="236" t="b">
        <v>0</v>
      </c>
      <c r="O45" s="236" t="b">
        <v>0</v>
      </c>
      <c r="P45" s="236" t="b">
        <v>0</v>
      </c>
      <c r="Q45" s="236" t="b">
        <v>0</v>
      </c>
      <c r="R45" s="236" t="b">
        <v>0</v>
      </c>
      <c r="S45" s="236" t="b">
        <v>0</v>
      </c>
      <c r="T45" s="236" t="b">
        <v>0</v>
      </c>
      <c r="U45" s="236" t="b">
        <v>0</v>
      </c>
      <c r="V45" s="236" t="b">
        <v>0</v>
      </c>
      <c r="W45" s="236" t="b">
        <v>0</v>
      </c>
      <c r="X45" s="236" t="b">
        <v>0</v>
      </c>
      <c r="Y45" s="236" t="b">
        <v>0</v>
      </c>
      <c r="Z45" s="236" t="b">
        <v>0</v>
      </c>
      <c r="AA45" s="236" t="b">
        <v>0</v>
      </c>
      <c r="AB45" s="236" t="b">
        <v>0</v>
      </c>
      <c r="AC45" s="236" t="b">
        <v>0</v>
      </c>
      <c r="AD45" s="256" t="str">
        <f>IF(COUNTIF(G45:AC45,"TRUE")=0,"Thiếu chứng nhận","Đủ điều kiện")</f>
        <v>Thiếu chứng nhận</v>
      </c>
      <c r="AE45" s="287"/>
      <c r="AF45" s="317"/>
    </row>
    <row r="46" spans="1:32">
      <c r="A46" s="256">
        <f>ROWS($B$5:B44)</f>
        <v>40</v>
      </c>
      <c r="B46" s="256">
        <v>4882</v>
      </c>
      <c r="C46" s="256" t="s">
        <v>170</v>
      </c>
      <c r="D46" s="256" t="s">
        <v>1903</v>
      </c>
      <c r="E46" s="256" t="s">
        <v>173</v>
      </c>
      <c r="F46" s="290"/>
      <c r="G46" s="236" t="b">
        <v>0</v>
      </c>
      <c r="H46" s="236" t="b">
        <v>0</v>
      </c>
      <c r="I46" s="236" t="b">
        <v>0</v>
      </c>
      <c r="J46" s="236" t="b">
        <v>1</v>
      </c>
      <c r="K46" s="236" t="b">
        <v>1</v>
      </c>
      <c r="L46" s="236" t="b">
        <v>0</v>
      </c>
      <c r="M46" s="236" t="b">
        <v>0</v>
      </c>
      <c r="N46" s="236" t="b">
        <v>1</v>
      </c>
      <c r="O46" s="236" t="b">
        <v>1</v>
      </c>
      <c r="P46" s="236" t="b">
        <v>1</v>
      </c>
      <c r="Q46" s="236" t="b">
        <v>1</v>
      </c>
      <c r="R46" s="236" t="b">
        <v>1</v>
      </c>
      <c r="S46" s="236" t="b">
        <v>1</v>
      </c>
      <c r="T46" s="236" t="b">
        <v>1</v>
      </c>
      <c r="U46" s="236" t="b">
        <v>1</v>
      </c>
      <c r="V46" s="236" t="b">
        <v>1</v>
      </c>
      <c r="W46" s="236" t="b">
        <v>1</v>
      </c>
      <c r="X46" s="236" t="b">
        <v>0</v>
      </c>
      <c r="Y46" s="236" t="b">
        <v>0</v>
      </c>
      <c r="Z46" s="236" t="b">
        <v>0</v>
      </c>
      <c r="AA46" s="236" t="b">
        <v>0</v>
      </c>
      <c r="AB46" s="236" t="b">
        <v>0</v>
      </c>
      <c r="AC46" s="236" t="b">
        <v>0</v>
      </c>
      <c r="AD46" s="256" t="str">
        <f>IF(COUNTIF(G46:AC46,"TRUE")=0,"Thiếu chứng nhận","Đủ điều kiện")</f>
        <v>Đủ điều kiện</v>
      </c>
      <c r="AE46" s="287"/>
      <c r="AF46" s="317"/>
    </row>
    <row r="47" spans="1:32">
      <c r="A47" s="256">
        <f>ROWS($B$5:B45)</f>
        <v>41</v>
      </c>
      <c r="B47" s="256">
        <v>5058</v>
      </c>
      <c r="C47" s="256" t="s">
        <v>793</v>
      </c>
      <c r="D47" s="256" t="s">
        <v>1903</v>
      </c>
      <c r="E47" s="256" t="s">
        <v>173</v>
      </c>
      <c r="F47" s="290"/>
      <c r="G47" s="236" t="b">
        <v>0</v>
      </c>
      <c r="H47" s="236" t="b">
        <v>0</v>
      </c>
      <c r="I47" s="236" t="b">
        <v>0</v>
      </c>
      <c r="J47" s="236" t="b">
        <v>1</v>
      </c>
      <c r="K47" s="236" t="b">
        <v>0</v>
      </c>
      <c r="L47" s="236" t="b">
        <v>0</v>
      </c>
      <c r="M47" s="236" t="b">
        <v>0</v>
      </c>
      <c r="N47" s="236" t="b">
        <v>1</v>
      </c>
      <c r="O47" s="236" t="b">
        <v>1</v>
      </c>
      <c r="P47" s="236" t="b">
        <v>1</v>
      </c>
      <c r="Q47" s="236" t="b">
        <v>1</v>
      </c>
      <c r="R47" s="236" t="b">
        <v>1</v>
      </c>
      <c r="S47" s="236" t="b">
        <v>1</v>
      </c>
      <c r="T47" s="236" t="b">
        <v>1</v>
      </c>
      <c r="U47" s="236" t="b">
        <v>1</v>
      </c>
      <c r="V47" s="236" t="b">
        <v>0</v>
      </c>
      <c r="W47" s="236" t="b">
        <v>0</v>
      </c>
      <c r="X47" s="236" t="b">
        <v>0</v>
      </c>
      <c r="Y47" s="236" t="b">
        <v>0</v>
      </c>
      <c r="Z47" s="236" t="b">
        <v>0</v>
      </c>
      <c r="AA47" s="236" t="b">
        <v>0</v>
      </c>
      <c r="AB47" s="236" t="b">
        <v>0</v>
      </c>
      <c r="AC47" s="236" t="b">
        <v>0</v>
      </c>
      <c r="AD47" s="256" t="str">
        <f>IF(COUNTIF(G47:AC47,"TRUE")=0,"Thiếu chứng nhận","Đủ điều kiện")</f>
        <v>Đủ điều kiện</v>
      </c>
      <c r="AE47" s="287"/>
      <c r="AF47" s="317"/>
    </row>
    <row r="48" spans="1:32">
      <c r="A48" s="256">
        <f>ROWS($B$5:B46)</f>
        <v>42</v>
      </c>
      <c r="B48" s="256">
        <v>40122</v>
      </c>
      <c r="C48" s="256" t="s">
        <v>1928</v>
      </c>
      <c r="D48" s="256" t="s">
        <v>1907</v>
      </c>
      <c r="E48" s="256" t="s">
        <v>173</v>
      </c>
      <c r="F48" s="290"/>
      <c r="G48" s="236" t="b">
        <v>0</v>
      </c>
      <c r="H48" s="236" t="b">
        <v>0</v>
      </c>
      <c r="I48" s="236" t="b">
        <v>0</v>
      </c>
      <c r="J48" s="236" t="b">
        <v>1</v>
      </c>
      <c r="K48" s="236" t="b">
        <v>1</v>
      </c>
      <c r="L48" s="236" t="b">
        <v>0</v>
      </c>
      <c r="M48" s="236" t="b">
        <v>0</v>
      </c>
      <c r="N48" s="236" t="b">
        <v>1</v>
      </c>
      <c r="O48" s="236" t="b">
        <v>1</v>
      </c>
      <c r="P48" s="236" t="b">
        <v>1</v>
      </c>
      <c r="Q48" s="236" t="b">
        <v>1</v>
      </c>
      <c r="R48" s="236" t="b">
        <v>0</v>
      </c>
      <c r="S48" s="236" t="b">
        <v>1</v>
      </c>
      <c r="T48" s="236" t="b">
        <v>1</v>
      </c>
      <c r="U48" s="236" t="b">
        <v>1</v>
      </c>
      <c r="V48" s="236" t="b">
        <v>1</v>
      </c>
      <c r="W48" s="236" t="b">
        <v>1</v>
      </c>
      <c r="X48" s="236" t="b">
        <v>0</v>
      </c>
      <c r="Y48" s="236" t="b">
        <v>0</v>
      </c>
      <c r="Z48" s="236" t="b">
        <v>0</v>
      </c>
      <c r="AA48" s="236" t="b">
        <v>0</v>
      </c>
      <c r="AB48" s="236" t="b">
        <v>0</v>
      </c>
      <c r="AC48" s="236" t="b">
        <v>0</v>
      </c>
      <c r="AD48" s="256" t="str">
        <f>IF(COUNTIF(G48:AC48,"TRUE")=0,"Thiếu chứng nhận","Đủ điều kiện")</f>
        <v>Đủ điều kiện</v>
      </c>
      <c r="AE48" s="287"/>
      <c r="AF48" s="317"/>
    </row>
    <row r="49" spans="1:32">
      <c r="A49" s="256">
        <f>ROWS($B$5:B47)</f>
        <v>43</v>
      </c>
      <c r="B49" s="256">
        <v>3566</v>
      </c>
      <c r="C49" s="256" t="s">
        <v>175</v>
      </c>
      <c r="D49" s="256" t="s">
        <v>1292</v>
      </c>
      <c r="E49" s="256" t="s">
        <v>154</v>
      </c>
      <c r="F49" s="290"/>
      <c r="G49" s="236" t="b">
        <v>0</v>
      </c>
      <c r="H49" s="236" t="b">
        <v>0</v>
      </c>
      <c r="I49" s="236" t="b">
        <v>0</v>
      </c>
      <c r="J49" s="236" t="b">
        <v>1</v>
      </c>
      <c r="K49" s="236" t="b">
        <v>0</v>
      </c>
      <c r="L49" s="236" t="b">
        <v>0</v>
      </c>
      <c r="M49" s="236" t="b">
        <v>0</v>
      </c>
      <c r="N49" s="236" t="b">
        <v>1</v>
      </c>
      <c r="O49" s="236" t="b">
        <v>0</v>
      </c>
      <c r="P49" s="236" t="b">
        <v>0</v>
      </c>
      <c r="Q49" s="236" t="b">
        <v>1</v>
      </c>
      <c r="R49" s="236" t="b">
        <v>0</v>
      </c>
      <c r="S49" s="236" t="b">
        <v>0</v>
      </c>
      <c r="T49" s="236" t="b">
        <v>0</v>
      </c>
      <c r="U49" s="236" t="b">
        <v>1</v>
      </c>
      <c r="V49" s="236" t="b">
        <v>0</v>
      </c>
      <c r="W49" s="236" t="b">
        <v>0</v>
      </c>
      <c r="X49" s="236" t="b">
        <v>1</v>
      </c>
      <c r="Y49" s="236" t="b">
        <v>1</v>
      </c>
      <c r="Z49" s="236" t="b">
        <v>1</v>
      </c>
      <c r="AA49" s="236" t="b">
        <v>0</v>
      </c>
      <c r="AB49" s="236" t="b">
        <v>0</v>
      </c>
      <c r="AC49" s="236" t="b">
        <v>0</v>
      </c>
      <c r="AD49" s="256" t="str">
        <f>IF(COUNTIF(G49:AC49,"TRUE")=0,"Thiếu chứng nhận","Đủ điều kiện")</f>
        <v>Đủ điều kiện</v>
      </c>
      <c r="AE49" s="287"/>
      <c r="AF49" s="317"/>
    </row>
    <row r="50" spans="1:32">
      <c r="A50" s="256">
        <f>ROWS($B$5:B48)</f>
        <v>44</v>
      </c>
      <c r="B50" s="256">
        <v>4297</v>
      </c>
      <c r="C50" s="256" t="s">
        <v>177</v>
      </c>
      <c r="D50" s="256" t="s">
        <v>1292</v>
      </c>
      <c r="E50" s="256" t="s">
        <v>154</v>
      </c>
      <c r="F50" s="290"/>
      <c r="G50" s="236" t="b">
        <v>0</v>
      </c>
      <c r="H50" s="236" t="b">
        <v>0</v>
      </c>
      <c r="I50" s="236" t="b">
        <v>0</v>
      </c>
      <c r="J50" s="236" t="b">
        <v>1</v>
      </c>
      <c r="K50" s="236" t="b">
        <v>0</v>
      </c>
      <c r="L50" s="236" t="b">
        <v>0</v>
      </c>
      <c r="M50" s="236" t="b">
        <v>0</v>
      </c>
      <c r="N50" s="236" t="b">
        <v>1</v>
      </c>
      <c r="O50" s="236" t="b">
        <v>0</v>
      </c>
      <c r="P50" s="236" t="b">
        <v>0</v>
      </c>
      <c r="Q50" s="236" t="b">
        <v>1</v>
      </c>
      <c r="R50" s="236" t="b">
        <v>0</v>
      </c>
      <c r="S50" s="236" t="b">
        <v>0</v>
      </c>
      <c r="T50" s="236" t="b">
        <v>0</v>
      </c>
      <c r="U50" s="236" t="b">
        <v>1</v>
      </c>
      <c r="V50" s="236" t="b">
        <v>0</v>
      </c>
      <c r="W50" s="236" t="b">
        <v>0</v>
      </c>
      <c r="X50" s="236" t="b">
        <v>1</v>
      </c>
      <c r="Y50" s="236" t="b">
        <v>1</v>
      </c>
      <c r="Z50" s="236" t="b">
        <v>1</v>
      </c>
      <c r="AA50" s="236" t="b">
        <v>1</v>
      </c>
      <c r="AB50" s="236" t="b">
        <v>1</v>
      </c>
      <c r="AC50" s="236" t="b">
        <v>0</v>
      </c>
      <c r="AD50" s="256" t="str">
        <f>IF(COUNTIF(G50:AC50,"TRUE")=0,"Thiếu chứng nhận","Đủ điều kiện")</f>
        <v>Đủ điều kiện</v>
      </c>
      <c r="AE50" s="287"/>
      <c r="AF50" s="317"/>
    </row>
    <row r="51" spans="1:32">
      <c r="A51" s="256">
        <f>ROWS($B$5:B49)</f>
        <v>45</v>
      </c>
      <c r="B51" s="256">
        <v>4599</v>
      </c>
      <c r="C51" s="256" t="s">
        <v>204</v>
      </c>
      <c r="D51" s="256" t="s">
        <v>1292</v>
      </c>
      <c r="E51" s="256" t="s">
        <v>154</v>
      </c>
      <c r="F51" s="290"/>
      <c r="G51" s="236" t="b">
        <v>0</v>
      </c>
      <c r="H51" s="236" t="b">
        <v>0</v>
      </c>
      <c r="I51" s="236" t="b">
        <v>0</v>
      </c>
      <c r="J51" s="236" t="b">
        <v>0</v>
      </c>
      <c r="K51" s="236" t="b">
        <v>0</v>
      </c>
      <c r="L51" s="236" t="b">
        <v>0</v>
      </c>
      <c r="M51" s="236" t="b">
        <v>0</v>
      </c>
      <c r="N51" s="236" t="b">
        <v>0</v>
      </c>
      <c r="O51" s="236" t="b">
        <v>0</v>
      </c>
      <c r="P51" s="236" t="b">
        <v>0</v>
      </c>
      <c r="Q51" s="236" t="b">
        <v>0</v>
      </c>
      <c r="R51" s="236" t="b">
        <v>0</v>
      </c>
      <c r="S51" s="236" t="b">
        <v>0</v>
      </c>
      <c r="T51" s="236" t="b">
        <v>0</v>
      </c>
      <c r="U51" s="236" t="b">
        <v>0</v>
      </c>
      <c r="V51" s="236" t="b">
        <v>0</v>
      </c>
      <c r="W51" s="236" t="b">
        <v>0</v>
      </c>
      <c r="X51" s="236" t="b">
        <v>0</v>
      </c>
      <c r="Y51" s="236" t="b">
        <v>0</v>
      </c>
      <c r="Z51" s="236" t="b">
        <v>0</v>
      </c>
      <c r="AA51" s="236" t="b">
        <v>0</v>
      </c>
      <c r="AB51" s="236" t="b">
        <v>0</v>
      </c>
      <c r="AC51" s="236" t="b">
        <v>0</v>
      </c>
      <c r="AD51" s="256" t="str">
        <f>IF(COUNTIF(G51:AC51,"TRUE")=0,"Thiếu chứng nhận","Đủ điều kiện")</f>
        <v>Thiếu chứng nhận</v>
      </c>
      <c r="AE51" s="287"/>
      <c r="AF51" s="317"/>
    </row>
    <row r="52" spans="1:32">
      <c r="A52" s="256">
        <f>ROWS($B$5:B50)</f>
        <v>46</v>
      </c>
      <c r="B52" s="256">
        <v>1092</v>
      </c>
      <c r="C52" s="256" t="s">
        <v>1929</v>
      </c>
      <c r="D52" s="256" t="s">
        <v>1903</v>
      </c>
      <c r="E52" s="256" t="s">
        <v>154</v>
      </c>
      <c r="F52" s="290"/>
      <c r="G52" s="236" t="b">
        <v>0</v>
      </c>
      <c r="H52" s="236" t="b">
        <v>0</v>
      </c>
      <c r="I52" s="236" t="b">
        <v>0</v>
      </c>
      <c r="J52" s="236" t="b">
        <v>1</v>
      </c>
      <c r="K52" s="236" t="b">
        <v>0</v>
      </c>
      <c r="L52" s="236" t="b">
        <v>0</v>
      </c>
      <c r="M52" s="236" t="b">
        <v>0</v>
      </c>
      <c r="N52" s="236" t="b">
        <v>0</v>
      </c>
      <c r="O52" s="236" t="b">
        <v>0</v>
      </c>
      <c r="P52" s="236" t="b">
        <v>0</v>
      </c>
      <c r="Q52" s="236" t="b">
        <v>0</v>
      </c>
      <c r="R52" s="236" t="b">
        <v>0</v>
      </c>
      <c r="S52" s="236" t="b">
        <v>0</v>
      </c>
      <c r="T52" s="236" t="b">
        <v>0</v>
      </c>
      <c r="U52" s="236" t="b">
        <v>1</v>
      </c>
      <c r="V52" s="236" t="b">
        <v>0</v>
      </c>
      <c r="W52" s="236" t="b">
        <v>0</v>
      </c>
      <c r="X52" s="236" t="b">
        <v>0</v>
      </c>
      <c r="Y52" s="236" t="b">
        <v>0</v>
      </c>
      <c r="Z52" s="236" t="b">
        <v>0</v>
      </c>
      <c r="AA52" s="236" t="b">
        <v>0</v>
      </c>
      <c r="AB52" s="236" t="b">
        <v>0</v>
      </c>
      <c r="AC52" s="236" t="b">
        <v>0</v>
      </c>
      <c r="AD52" s="256" t="str">
        <f>IF(COUNTIF(G52:AC52,"TRUE")=0,"Thiếu chứng nhận","Đủ điều kiện")</f>
        <v>Đủ điều kiện</v>
      </c>
      <c r="AE52" s="287"/>
      <c r="AF52" s="317"/>
    </row>
    <row r="53" spans="1:32">
      <c r="A53" s="256">
        <f>ROWS($B$5:B51)</f>
        <v>47</v>
      </c>
      <c r="B53" s="256">
        <v>1984</v>
      </c>
      <c r="C53" s="256" t="s">
        <v>1930</v>
      </c>
      <c r="D53" s="256" t="s">
        <v>1907</v>
      </c>
      <c r="E53" s="256" t="s">
        <v>154</v>
      </c>
      <c r="F53" s="290"/>
      <c r="G53" s="236" t="b">
        <v>0</v>
      </c>
      <c r="H53" s="236" t="b">
        <v>0</v>
      </c>
      <c r="I53" s="236" t="b">
        <v>0</v>
      </c>
      <c r="J53" s="236" t="b">
        <v>1</v>
      </c>
      <c r="K53" s="236" t="b">
        <v>0</v>
      </c>
      <c r="L53" s="236" t="b">
        <v>0</v>
      </c>
      <c r="M53" s="236" t="b">
        <v>0</v>
      </c>
      <c r="N53" s="236" t="b">
        <v>1</v>
      </c>
      <c r="O53" s="236" t="b">
        <v>0</v>
      </c>
      <c r="P53" s="236" t="b">
        <v>0</v>
      </c>
      <c r="Q53" s="236" t="b">
        <v>0</v>
      </c>
      <c r="R53" s="236" t="b">
        <v>0</v>
      </c>
      <c r="S53" s="236" t="b">
        <v>0</v>
      </c>
      <c r="T53" s="236" t="b">
        <v>0</v>
      </c>
      <c r="U53" s="236" t="b">
        <v>1</v>
      </c>
      <c r="V53" s="236" t="b">
        <v>0</v>
      </c>
      <c r="W53" s="236" t="b">
        <v>0</v>
      </c>
      <c r="X53" s="236" t="b">
        <v>0</v>
      </c>
      <c r="Y53" s="236" t="b">
        <v>0</v>
      </c>
      <c r="Z53" s="236" t="b">
        <v>0</v>
      </c>
      <c r="AA53" s="236" t="b">
        <v>0</v>
      </c>
      <c r="AB53" s="236" t="b">
        <v>1</v>
      </c>
      <c r="AC53" s="236" t="b">
        <v>0</v>
      </c>
      <c r="AD53" s="256" t="str">
        <f>IF(COUNTIF(G53:AC53,"TRUE")=0,"Thiếu chứng nhận","Đủ điều kiện")</f>
        <v>Đủ điều kiện</v>
      </c>
      <c r="AE53" s="287"/>
      <c r="AF53" s="317"/>
    </row>
    <row r="54" spans="1:32">
      <c r="A54" s="256">
        <f>ROWS($B$5:B52)</f>
        <v>48</v>
      </c>
      <c r="B54" s="256">
        <v>4213</v>
      </c>
      <c r="C54" s="256" t="s">
        <v>789</v>
      </c>
      <c r="D54" s="256" t="s">
        <v>1931</v>
      </c>
      <c r="E54" s="256" t="s">
        <v>154</v>
      </c>
      <c r="F54" s="290"/>
      <c r="G54" s="236" t="b">
        <v>0</v>
      </c>
      <c r="H54" s="236" t="b">
        <v>0</v>
      </c>
      <c r="I54" s="236" t="b">
        <v>0</v>
      </c>
      <c r="J54" s="236" t="b">
        <v>1</v>
      </c>
      <c r="K54" s="236" t="b">
        <v>0</v>
      </c>
      <c r="L54" s="236" t="b">
        <v>0</v>
      </c>
      <c r="M54" s="236" t="b">
        <v>0</v>
      </c>
      <c r="N54" s="236" t="b">
        <v>1</v>
      </c>
      <c r="O54" s="236" t="b">
        <v>0</v>
      </c>
      <c r="P54" s="236" t="b">
        <v>0</v>
      </c>
      <c r="Q54" s="236" t="b">
        <v>0</v>
      </c>
      <c r="R54" s="236" t="b">
        <v>0</v>
      </c>
      <c r="S54" s="236" t="b">
        <v>0</v>
      </c>
      <c r="T54" s="236" t="b">
        <v>0</v>
      </c>
      <c r="U54" s="236" t="b">
        <v>1</v>
      </c>
      <c r="V54" s="236" t="b">
        <v>0</v>
      </c>
      <c r="W54" s="236" t="b">
        <v>0</v>
      </c>
      <c r="X54" s="236" t="b">
        <v>0</v>
      </c>
      <c r="Y54" s="236" t="b">
        <v>0</v>
      </c>
      <c r="Z54" s="236" t="b">
        <v>0</v>
      </c>
      <c r="AA54" s="236" t="b">
        <v>0</v>
      </c>
      <c r="AB54" s="236" t="b">
        <v>1</v>
      </c>
      <c r="AC54" s="236" t="b">
        <v>0</v>
      </c>
      <c r="AD54" s="256" t="str">
        <f>IF(COUNTIF(G54:AC54,"TRUE")=0,"Thiếu chứng nhận","Đủ điều kiện")</f>
        <v>Đủ điều kiện</v>
      </c>
      <c r="AE54" s="287"/>
      <c r="AF54" s="317"/>
    </row>
    <row r="55" spans="1:32">
      <c r="A55" s="256">
        <f>ROWS($B$5:B53)</f>
        <v>49</v>
      </c>
      <c r="B55" s="256">
        <v>4216</v>
      </c>
      <c r="C55" s="256" t="s">
        <v>834</v>
      </c>
      <c r="D55" s="256" t="s">
        <v>1931</v>
      </c>
      <c r="E55" s="256" t="s">
        <v>154</v>
      </c>
      <c r="F55" s="290"/>
      <c r="G55" s="236" t="b">
        <v>0</v>
      </c>
      <c r="H55" s="236" t="b">
        <v>0</v>
      </c>
      <c r="I55" s="236" t="b">
        <v>0</v>
      </c>
      <c r="J55" s="236" t="b">
        <v>1</v>
      </c>
      <c r="K55" s="236" t="b">
        <v>0</v>
      </c>
      <c r="L55" s="236" t="b">
        <v>0</v>
      </c>
      <c r="M55" s="236" t="b">
        <v>0</v>
      </c>
      <c r="N55" s="236" t="b">
        <v>0</v>
      </c>
      <c r="O55" s="236" t="b">
        <v>0</v>
      </c>
      <c r="P55" s="236" t="b">
        <v>0</v>
      </c>
      <c r="Q55" s="236" t="b">
        <v>0</v>
      </c>
      <c r="R55" s="236" t="b">
        <v>0</v>
      </c>
      <c r="S55" s="236" t="b">
        <v>0</v>
      </c>
      <c r="T55" s="236" t="b">
        <v>0</v>
      </c>
      <c r="U55" s="236" t="b">
        <v>1</v>
      </c>
      <c r="V55" s="236" t="b">
        <v>0</v>
      </c>
      <c r="W55" s="236" t="b">
        <v>0</v>
      </c>
      <c r="X55" s="236" t="b">
        <v>0</v>
      </c>
      <c r="Y55" s="236" t="b">
        <v>0</v>
      </c>
      <c r="Z55" s="236" t="b">
        <v>0</v>
      </c>
      <c r="AA55" s="236" t="b">
        <v>0</v>
      </c>
      <c r="AB55" s="236" t="b">
        <v>1</v>
      </c>
      <c r="AC55" s="236" t="b">
        <v>0</v>
      </c>
      <c r="AD55" s="256" t="str">
        <f>IF(COUNTIF(G55:AC55,"TRUE")=0,"Thiếu chứng nhận","Đủ điều kiện")</f>
        <v>Đủ điều kiện</v>
      </c>
      <c r="AE55" s="287"/>
      <c r="AF55" s="317"/>
    </row>
    <row r="56" spans="1:32">
      <c r="A56" s="256">
        <f>ROWS($B$5:B54)</f>
        <v>50</v>
      </c>
      <c r="B56" s="256">
        <v>4243</v>
      </c>
      <c r="C56" s="256" t="s">
        <v>1932</v>
      </c>
      <c r="D56" s="256" t="s">
        <v>1903</v>
      </c>
      <c r="E56" s="256" t="s">
        <v>154</v>
      </c>
      <c r="F56" s="290"/>
      <c r="G56" s="236" t="b">
        <v>0</v>
      </c>
      <c r="H56" s="236" t="b">
        <v>0</v>
      </c>
      <c r="I56" s="236" t="b">
        <v>0</v>
      </c>
      <c r="J56" s="236" t="b">
        <v>1</v>
      </c>
      <c r="K56" s="236" t="b">
        <v>0</v>
      </c>
      <c r="L56" s="236" t="b">
        <v>0</v>
      </c>
      <c r="M56" s="236" t="b">
        <v>0</v>
      </c>
      <c r="N56" s="236" t="b">
        <v>0</v>
      </c>
      <c r="O56" s="236" t="b">
        <v>0</v>
      </c>
      <c r="P56" s="236" t="b">
        <v>0</v>
      </c>
      <c r="Q56" s="236" t="b">
        <v>0</v>
      </c>
      <c r="R56" s="236" t="b">
        <v>0</v>
      </c>
      <c r="S56" s="236" t="b">
        <v>0</v>
      </c>
      <c r="T56" s="236" t="b">
        <v>0</v>
      </c>
      <c r="U56" s="236" t="b">
        <v>0</v>
      </c>
      <c r="V56" s="236" t="b">
        <v>0</v>
      </c>
      <c r="W56" s="236" t="b">
        <v>0</v>
      </c>
      <c r="X56" s="236" t="b">
        <v>0</v>
      </c>
      <c r="Y56" s="236" t="b">
        <v>0</v>
      </c>
      <c r="Z56" s="236" t="b">
        <v>0</v>
      </c>
      <c r="AA56" s="236" t="b">
        <v>0</v>
      </c>
      <c r="AB56" s="236" t="b">
        <v>0</v>
      </c>
      <c r="AC56" s="236" t="b">
        <v>0</v>
      </c>
      <c r="AD56" s="256" t="str">
        <f>IF(COUNTIF(G56:AC56,"TRUE")=0,"Thiếu chứng nhận","Đủ điều kiện")</f>
        <v>Đủ điều kiện</v>
      </c>
      <c r="AE56" s="287"/>
      <c r="AF56" s="317"/>
    </row>
    <row r="57" spans="1:32">
      <c r="A57" s="256">
        <f>ROWS($B$5:B55)</f>
        <v>51</v>
      </c>
      <c r="B57" s="256">
        <v>4377</v>
      </c>
      <c r="C57" s="256" t="s">
        <v>1933</v>
      </c>
      <c r="D57" s="256" t="s">
        <v>1902</v>
      </c>
      <c r="E57" s="256" t="s">
        <v>154</v>
      </c>
      <c r="F57" s="290"/>
      <c r="G57" s="236" t="b">
        <v>0</v>
      </c>
      <c r="H57" s="236" t="b">
        <v>0</v>
      </c>
      <c r="I57" s="236" t="b">
        <v>0</v>
      </c>
      <c r="J57" s="236" t="b">
        <v>0</v>
      </c>
      <c r="K57" s="236" t="b">
        <v>0</v>
      </c>
      <c r="L57" s="236" t="b">
        <v>0</v>
      </c>
      <c r="M57" s="236" t="b">
        <v>0</v>
      </c>
      <c r="N57" s="236" t="b">
        <v>0</v>
      </c>
      <c r="O57" s="236" t="b">
        <v>0</v>
      </c>
      <c r="P57" s="236" t="b">
        <v>0</v>
      </c>
      <c r="Q57" s="236" t="b">
        <v>0</v>
      </c>
      <c r="R57" s="236" t="b">
        <v>0</v>
      </c>
      <c r="S57" s="236" t="b">
        <v>0</v>
      </c>
      <c r="T57" s="236" t="b">
        <v>0</v>
      </c>
      <c r="U57" s="236" t="b">
        <v>0</v>
      </c>
      <c r="V57" s="236" t="b">
        <v>0</v>
      </c>
      <c r="W57" s="236" t="b">
        <v>0</v>
      </c>
      <c r="X57" s="236" t="b">
        <v>0</v>
      </c>
      <c r="Y57" s="236" t="b">
        <v>0</v>
      </c>
      <c r="Z57" s="236" t="b">
        <v>0</v>
      </c>
      <c r="AA57" s="236" t="b">
        <v>0</v>
      </c>
      <c r="AB57" s="236" t="b">
        <v>0</v>
      </c>
      <c r="AC57" s="236" t="b">
        <v>0</v>
      </c>
      <c r="AD57" s="256" t="str">
        <f>IF(COUNTIF(G57:AC57,"TRUE")=0,"Thiếu chứng nhận","Đủ điều kiện")</f>
        <v>Thiếu chứng nhận</v>
      </c>
      <c r="AE57" s="287"/>
      <c r="AF57" s="317"/>
    </row>
    <row r="58" spans="1:32">
      <c r="A58" s="256">
        <f>ROWS($B$5:B56)</f>
        <v>52</v>
      </c>
      <c r="B58" s="256">
        <v>4450</v>
      </c>
      <c r="C58" s="256" t="s">
        <v>202</v>
      </c>
      <c r="D58" s="256" t="s">
        <v>1903</v>
      </c>
      <c r="E58" s="256" t="s">
        <v>154</v>
      </c>
      <c r="F58" s="290"/>
      <c r="G58" s="236" t="b">
        <v>0</v>
      </c>
      <c r="H58" s="236" t="b">
        <v>0</v>
      </c>
      <c r="I58" s="236" t="b">
        <v>0</v>
      </c>
      <c r="J58" s="236" t="b">
        <v>1</v>
      </c>
      <c r="K58" s="236" t="b">
        <v>0</v>
      </c>
      <c r="L58" s="236" t="b">
        <v>0</v>
      </c>
      <c r="M58" s="236" t="b">
        <v>0</v>
      </c>
      <c r="N58" s="236" t="b">
        <v>1</v>
      </c>
      <c r="O58" s="236" t="b">
        <v>0</v>
      </c>
      <c r="P58" s="236" t="b">
        <v>0</v>
      </c>
      <c r="Q58" s="236" t="b">
        <v>1</v>
      </c>
      <c r="R58" s="236" t="b">
        <v>0</v>
      </c>
      <c r="S58" s="236" t="b">
        <v>0</v>
      </c>
      <c r="T58" s="236" t="b">
        <v>0</v>
      </c>
      <c r="U58" s="236" t="b">
        <v>1</v>
      </c>
      <c r="V58" s="236" t="b">
        <v>0</v>
      </c>
      <c r="W58" s="236" t="b">
        <v>0</v>
      </c>
      <c r="X58" s="236" t="b">
        <v>0</v>
      </c>
      <c r="Y58" s="236" t="b">
        <v>0</v>
      </c>
      <c r="Z58" s="236" t="b">
        <v>0</v>
      </c>
      <c r="AA58" s="236" t="b">
        <v>0</v>
      </c>
      <c r="AB58" s="236" t="b">
        <v>1</v>
      </c>
      <c r="AC58" s="236" t="b">
        <v>0</v>
      </c>
      <c r="AD58" s="256" t="str">
        <f>IF(COUNTIF(G58:AC58,"TRUE")=0,"Thiếu chứng nhận","Đủ điều kiện")</f>
        <v>Đủ điều kiện</v>
      </c>
      <c r="AE58" s="287"/>
      <c r="AF58" s="317"/>
    </row>
    <row r="59" spans="1:32">
      <c r="A59" s="256">
        <f>ROWS($B$5:B57)</f>
        <v>53</v>
      </c>
      <c r="B59" s="256">
        <v>4596</v>
      </c>
      <c r="C59" s="256" t="s">
        <v>830</v>
      </c>
      <c r="D59" s="256" t="s">
        <v>1934</v>
      </c>
      <c r="E59" s="256" t="s">
        <v>154</v>
      </c>
      <c r="F59" s="290"/>
      <c r="G59" s="236" t="b">
        <v>0</v>
      </c>
      <c r="H59" s="236" t="b">
        <v>0</v>
      </c>
      <c r="I59" s="236" t="b">
        <v>0</v>
      </c>
      <c r="J59" s="236" t="b">
        <v>1</v>
      </c>
      <c r="K59" s="236" t="b">
        <v>0</v>
      </c>
      <c r="L59" s="236" t="b">
        <v>0</v>
      </c>
      <c r="M59" s="236" t="b">
        <v>0</v>
      </c>
      <c r="N59" s="236" t="b">
        <v>1</v>
      </c>
      <c r="O59" s="236" t="b">
        <v>0</v>
      </c>
      <c r="P59" s="236" t="b">
        <v>0</v>
      </c>
      <c r="Q59" s="236" t="b">
        <v>0</v>
      </c>
      <c r="R59" s="236" t="b">
        <v>0</v>
      </c>
      <c r="S59" s="236" t="b">
        <v>0</v>
      </c>
      <c r="T59" s="236" t="b">
        <v>0</v>
      </c>
      <c r="U59" s="236" t="b">
        <v>1</v>
      </c>
      <c r="V59" s="236" t="b">
        <v>0</v>
      </c>
      <c r="W59" s="236" t="b">
        <v>0</v>
      </c>
      <c r="X59" s="236" t="b">
        <v>0</v>
      </c>
      <c r="Y59" s="236" t="b">
        <v>0</v>
      </c>
      <c r="Z59" s="236" t="b">
        <v>0</v>
      </c>
      <c r="AA59" s="236" t="b">
        <v>0</v>
      </c>
      <c r="AB59" s="236" t="b">
        <v>1</v>
      </c>
      <c r="AC59" s="236" t="b">
        <v>0</v>
      </c>
      <c r="AD59" s="256" t="str">
        <f>IF(COUNTIF(G59:AC59,"TRUE")=0,"Thiếu chứng nhận","Đủ điều kiện")</f>
        <v>Đủ điều kiện</v>
      </c>
      <c r="AE59" s="287"/>
      <c r="AF59" s="317"/>
    </row>
    <row r="60" spans="1:32">
      <c r="A60" s="256">
        <f>ROWS($B$5:B58)</f>
        <v>54</v>
      </c>
      <c r="B60" s="256">
        <v>4601</v>
      </c>
      <c r="C60" s="256" t="s">
        <v>162</v>
      </c>
      <c r="D60" s="256" t="s">
        <v>1919</v>
      </c>
      <c r="E60" s="256" t="s">
        <v>154</v>
      </c>
      <c r="F60" s="290"/>
      <c r="G60" s="236" t="b">
        <v>0</v>
      </c>
      <c r="H60" s="236" t="b">
        <v>0</v>
      </c>
      <c r="I60" s="236" t="b">
        <v>0</v>
      </c>
      <c r="J60" s="236" t="b">
        <v>1</v>
      </c>
      <c r="K60" s="236" t="b">
        <v>0</v>
      </c>
      <c r="L60" s="236" t="b">
        <v>0</v>
      </c>
      <c r="M60" s="236" t="b">
        <v>0</v>
      </c>
      <c r="N60" s="236" t="b">
        <v>1</v>
      </c>
      <c r="O60" s="236" t="b">
        <v>0</v>
      </c>
      <c r="P60" s="236" t="b">
        <v>0</v>
      </c>
      <c r="Q60" s="236" t="b">
        <v>1</v>
      </c>
      <c r="R60" s="236" t="b">
        <v>0</v>
      </c>
      <c r="S60" s="236" t="b">
        <v>0</v>
      </c>
      <c r="T60" s="236" t="b">
        <v>0</v>
      </c>
      <c r="U60" s="236" t="b">
        <v>1</v>
      </c>
      <c r="V60" s="236" t="b">
        <v>0</v>
      </c>
      <c r="W60" s="236" t="b">
        <v>0</v>
      </c>
      <c r="X60" s="236" t="b">
        <v>0</v>
      </c>
      <c r="Y60" s="236" t="b">
        <v>0</v>
      </c>
      <c r="Z60" s="236" t="b">
        <v>0</v>
      </c>
      <c r="AA60" s="236" t="b">
        <v>0</v>
      </c>
      <c r="AB60" s="236" t="b">
        <v>0</v>
      </c>
      <c r="AC60" s="236" t="b">
        <v>0</v>
      </c>
      <c r="AD60" s="256" t="str">
        <f>IF(COUNTIF(G60:AC60,"TRUE")=0,"Thiếu chứng nhận","Đủ điều kiện")</f>
        <v>Đủ điều kiện</v>
      </c>
      <c r="AE60" s="287"/>
      <c r="AF60" s="317"/>
    </row>
    <row r="61" spans="1:32">
      <c r="A61" s="256">
        <f>ROWS($B$5:B59)</f>
        <v>55</v>
      </c>
      <c r="B61" s="256">
        <v>4710</v>
      </c>
      <c r="C61" s="256" t="s">
        <v>208</v>
      </c>
      <c r="D61" s="256" t="s">
        <v>1903</v>
      </c>
      <c r="E61" s="256" t="s">
        <v>154</v>
      </c>
      <c r="F61" s="290"/>
      <c r="G61" s="236" t="b">
        <v>0</v>
      </c>
      <c r="H61" s="236" t="b">
        <v>0</v>
      </c>
      <c r="I61" s="236" t="b">
        <v>0</v>
      </c>
      <c r="J61" s="236" t="b">
        <v>1</v>
      </c>
      <c r="K61" s="236" t="b">
        <v>0</v>
      </c>
      <c r="L61" s="236" t="b">
        <v>0</v>
      </c>
      <c r="M61" s="236" t="b">
        <v>0</v>
      </c>
      <c r="N61" s="236" t="b">
        <v>1</v>
      </c>
      <c r="O61" s="236" t="b">
        <v>0</v>
      </c>
      <c r="P61" s="236" t="b">
        <v>0</v>
      </c>
      <c r="Q61" s="236" t="b">
        <v>1</v>
      </c>
      <c r="R61" s="236" t="b">
        <v>0</v>
      </c>
      <c r="S61" s="236" t="b">
        <v>0</v>
      </c>
      <c r="T61" s="236" t="b">
        <v>0</v>
      </c>
      <c r="U61" s="236" t="b">
        <v>1</v>
      </c>
      <c r="V61" s="236" t="b">
        <v>0</v>
      </c>
      <c r="W61" s="236" t="b">
        <v>0</v>
      </c>
      <c r="X61" s="236" t="b">
        <v>0</v>
      </c>
      <c r="Y61" s="236" t="b">
        <v>0</v>
      </c>
      <c r="Z61" s="236" t="b">
        <v>0</v>
      </c>
      <c r="AA61" s="236" t="b">
        <v>0</v>
      </c>
      <c r="AB61" s="236" t="b">
        <v>0</v>
      </c>
      <c r="AC61" s="236" t="b">
        <v>0</v>
      </c>
      <c r="AD61" s="256" t="str">
        <f>IF(COUNTIF(G61:AC61,"TRUE")=0,"Thiếu chứng nhận","Đủ điều kiện")</f>
        <v>Đủ điều kiện</v>
      </c>
      <c r="AE61" s="287"/>
      <c r="AF61" s="317"/>
    </row>
    <row r="62" spans="1:32">
      <c r="A62" s="256">
        <f>ROWS($B$5:B60)</f>
        <v>56</v>
      </c>
      <c r="B62" s="256">
        <v>4787</v>
      </c>
      <c r="C62" s="256" t="s">
        <v>198</v>
      </c>
      <c r="D62" s="256" t="s">
        <v>1931</v>
      </c>
      <c r="E62" s="256" t="s">
        <v>154</v>
      </c>
      <c r="F62" s="290"/>
      <c r="G62" s="236" t="b">
        <v>0</v>
      </c>
      <c r="H62" s="236" t="b">
        <v>0</v>
      </c>
      <c r="I62" s="236" t="b">
        <v>0</v>
      </c>
      <c r="J62" s="236" t="b">
        <v>1</v>
      </c>
      <c r="K62" s="236" t="b">
        <v>0</v>
      </c>
      <c r="L62" s="236" t="b">
        <v>0</v>
      </c>
      <c r="M62" s="236" t="b">
        <v>0</v>
      </c>
      <c r="N62" s="236" t="b">
        <v>1</v>
      </c>
      <c r="O62" s="236" t="b">
        <v>0</v>
      </c>
      <c r="P62" s="236" t="b">
        <v>0</v>
      </c>
      <c r="Q62" s="236" t="b">
        <v>1</v>
      </c>
      <c r="R62" s="236" t="b">
        <v>0</v>
      </c>
      <c r="S62" s="236" t="b">
        <v>0</v>
      </c>
      <c r="T62" s="236" t="b">
        <v>0</v>
      </c>
      <c r="U62" s="236" t="b">
        <v>1</v>
      </c>
      <c r="V62" s="236" t="b">
        <v>0</v>
      </c>
      <c r="W62" s="236" t="b">
        <v>0</v>
      </c>
      <c r="X62" s="236" t="b">
        <v>0</v>
      </c>
      <c r="Y62" s="236" t="b">
        <v>0</v>
      </c>
      <c r="Z62" s="236" t="b">
        <v>0</v>
      </c>
      <c r="AA62" s="236" t="b">
        <v>0</v>
      </c>
      <c r="AB62" s="236" t="b">
        <v>1</v>
      </c>
      <c r="AC62" s="236" t="b">
        <v>0</v>
      </c>
      <c r="AD62" s="256" t="str">
        <f>IF(COUNTIF(G62:AC62,"TRUE")=0,"Thiếu chứng nhận","Đủ điều kiện")</f>
        <v>Đủ điều kiện</v>
      </c>
      <c r="AE62" s="287"/>
      <c r="AF62" s="317"/>
    </row>
    <row r="63" spans="1:32">
      <c r="A63" s="256">
        <f>ROWS($B$5:B61)</f>
        <v>57</v>
      </c>
      <c r="B63" s="256">
        <v>4788</v>
      </c>
      <c r="C63" s="256" t="s">
        <v>1935</v>
      </c>
      <c r="D63" s="256" t="s">
        <v>1903</v>
      </c>
      <c r="E63" s="256" t="s">
        <v>154</v>
      </c>
      <c r="F63" s="290"/>
      <c r="G63" s="236" t="b">
        <v>0</v>
      </c>
      <c r="H63" s="236" t="b">
        <v>0</v>
      </c>
      <c r="I63" s="236" t="b">
        <v>0</v>
      </c>
      <c r="J63" s="236" t="b">
        <v>0</v>
      </c>
      <c r="K63" s="236" t="b">
        <v>0</v>
      </c>
      <c r="L63" s="236" t="b">
        <v>0</v>
      </c>
      <c r="M63" s="236" t="b">
        <v>0</v>
      </c>
      <c r="N63" s="236" t="b">
        <v>0</v>
      </c>
      <c r="O63" s="236" t="b">
        <v>0</v>
      </c>
      <c r="P63" s="236" t="b">
        <v>0</v>
      </c>
      <c r="Q63" s="236" t="b">
        <v>0</v>
      </c>
      <c r="R63" s="236" t="b">
        <v>0</v>
      </c>
      <c r="S63" s="236" t="b">
        <v>0</v>
      </c>
      <c r="T63" s="236" t="b">
        <v>0</v>
      </c>
      <c r="U63" s="236" t="b">
        <v>0</v>
      </c>
      <c r="V63" s="236" t="b">
        <v>0</v>
      </c>
      <c r="W63" s="236" t="b">
        <v>0</v>
      </c>
      <c r="X63" s="236" t="b">
        <v>0</v>
      </c>
      <c r="Y63" s="236" t="b">
        <v>0</v>
      </c>
      <c r="Z63" s="236" t="b">
        <v>0</v>
      </c>
      <c r="AA63" s="236" t="b">
        <v>0</v>
      </c>
      <c r="AB63" s="236" t="b">
        <v>0</v>
      </c>
      <c r="AC63" s="236" t="b">
        <v>0</v>
      </c>
      <c r="AD63" s="256" t="str">
        <f>IF(COUNTIF(G63:AC63,"TRUE")=0,"Thiếu chứng nhận","Đủ điều kiện")</f>
        <v>Thiếu chứng nhận</v>
      </c>
      <c r="AE63" s="287"/>
      <c r="AF63" s="317"/>
    </row>
    <row r="64" spans="1:32">
      <c r="A64" s="256">
        <f>ROWS($B$5:B62)</f>
        <v>58</v>
      </c>
      <c r="B64" s="256">
        <v>4802</v>
      </c>
      <c r="C64" s="256" t="s">
        <v>179</v>
      </c>
      <c r="D64" s="256" t="s">
        <v>1919</v>
      </c>
      <c r="E64" s="256" t="s">
        <v>154</v>
      </c>
      <c r="F64" s="290"/>
      <c r="G64" s="236" t="b">
        <v>0</v>
      </c>
      <c r="H64" s="236" t="b">
        <v>0</v>
      </c>
      <c r="I64" s="236" t="b">
        <v>0</v>
      </c>
      <c r="J64" s="236" t="b">
        <v>1</v>
      </c>
      <c r="K64" s="236" t="b">
        <v>0</v>
      </c>
      <c r="L64" s="236" t="b">
        <v>0</v>
      </c>
      <c r="M64" s="236" t="b">
        <v>0</v>
      </c>
      <c r="N64" s="236" t="b">
        <v>1</v>
      </c>
      <c r="O64" s="236" t="b">
        <v>0</v>
      </c>
      <c r="P64" s="236" t="b">
        <v>0</v>
      </c>
      <c r="Q64" s="236" t="b">
        <v>0</v>
      </c>
      <c r="R64" s="236" t="b">
        <v>0</v>
      </c>
      <c r="S64" s="236" t="b">
        <v>0</v>
      </c>
      <c r="T64" s="236" t="b">
        <v>0</v>
      </c>
      <c r="U64" s="236" t="b">
        <v>1</v>
      </c>
      <c r="V64" s="236" t="b">
        <v>0</v>
      </c>
      <c r="W64" s="236" t="b">
        <v>0</v>
      </c>
      <c r="X64" s="236" t="b">
        <v>0</v>
      </c>
      <c r="Y64" s="236" t="b">
        <v>0</v>
      </c>
      <c r="Z64" s="236" t="b">
        <v>0</v>
      </c>
      <c r="AA64" s="236" t="b">
        <v>0</v>
      </c>
      <c r="AB64" s="236" t="b">
        <v>1</v>
      </c>
      <c r="AC64" s="236" t="b">
        <v>0</v>
      </c>
      <c r="AD64" s="256" t="str">
        <f>IF(COUNTIF(G64:AC64,"TRUE")=0,"Thiếu chứng nhận","Đủ điều kiện")</f>
        <v>Đủ điều kiện</v>
      </c>
      <c r="AE64" s="287"/>
      <c r="AF64" s="317"/>
    </row>
    <row r="65" spans="1:32">
      <c r="A65" s="256">
        <f>ROWS($B$5:B63)</f>
        <v>59</v>
      </c>
      <c r="B65" s="256">
        <v>4804</v>
      </c>
      <c r="C65" s="256" t="s">
        <v>1936</v>
      </c>
      <c r="D65" s="256" t="s">
        <v>1903</v>
      </c>
      <c r="E65" s="256" t="s">
        <v>154</v>
      </c>
      <c r="F65" s="290"/>
      <c r="G65" s="236" t="b">
        <v>0</v>
      </c>
      <c r="H65" s="236" t="b">
        <v>0</v>
      </c>
      <c r="I65" s="236" t="b">
        <v>0</v>
      </c>
      <c r="J65" s="236" t="b">
        <v>1</v>
      </c>
      <c r="K65" s="236" t="b">
        <v>0</v>
      </c>
      <c r="L65" s="236" t="b">
        <v>0</v>
      </c>
      <c r="M65" s="236" t="b">
        <v>0</v>
      </c>
      <c r="N65" s="236" t="b">
        <v>0</v>
      </c>
      <c r="O65" s="236" t="b">
        <v>0</v>
      </c>
      <c r="P65" s="236" t="b">
        <v>0</v>
      </c>
      <c r="Q65" s="236" t="b">
        <v>1</v>
      </c>
      <c r="R65" s="236" t="b">
        <v>0</v>
      </c>
      <c r="S65" s="236" t="b">
        <v>0</v>
      </c>
      <c r="T65" s="236" t="b">
        <v>0</v>
      </c>
      <c r="U65" s="236" t="b">
        <v>1</v>
      </c>
      <c r="V65" s="236" t="b">
        <v>0</v>
      </c>
      <c r="W65" s="236" t="b">
        <v>0</v>
      </c>
      <c r="X65" s="236" t="b">
        <v>0</v>
      </c>
      <c r="Y65" s="236" t="b">
        <v>0</v>
      </c>
      <c r="Z65" s="236" t="b">
        <v>0</v>
      </c>
      <c r="AA65" s="236" t="b">
        <v>0</v>
      </c>
      <c r="AB65" s="236" t="b">
        <v>1</v>
      </c>
      <c r="AC65" s="236" t="b">
        <v>0</v>
      </c>
      <c r="AD65" s="256" t="str">
        <f>IF(COUNTIF(G65:AC65,"TRUE")=0,"Thiếu chứng nhận","Đủ điều kiện")</f>
        <v>Đủ điều kiện</v>
      </c>
      <c r="AE65" s="287"/>
      <c r="AF65" s="317"/>
    </row>
    <row r="66" spans="1:32">
      <c r="A66" s="256">
        <f>ROWS($B$5:B64)</f>
        <v>60</v>
      </c>
      <c r="B66" s="256">
        <v>4977</v>
      </c>
      <c r="C66" s="256" t="s">
        <v>1937</v>
      </c>
      <c r="D66" s="256" t="s">
        <v>1931</v>
      </c>
      <c r="E66" s="256" t="s">
        <v>154</v>
      </c>
      <c r="F66" s="290"/>
      <c r="G66" s="236" t="b">
        <v>0</v>
      </c>
      <c r="H66" s="236" t="b">
        <v>0</v>
      </c>
      <c r="I66" s="236" t="b">
        <v>0</v>
      </c>
      <c r="J66" s="236" t="b">
        <v>1</v>
      </c>
      <c r="K66" s="236" t="b">
        <v>0</v>
      </c>
      <c r="L66" s="236" t="b">
        <v>0</v>
      </c>
      <c r="M66" s="236" t="b">
        <v>0</v>
      </c>
      <c r="N66" s="236" t="b">
        <v>1</v>
      </c>
      <c r="O66" s="236" t="b">
        <v>1</v>
      </c>
      <c r="P66" s="236" t="b">
        <v>1</v>
      </c>
      <c r="Q66" s="236" t="b">
        <v>1</v>
      </c>
      <c r="R66" s="236" t="b">
        <v>0</v>
      </c>
      <c r="S66" s="236" t="b">
        <v>1</v>
      </c>
      <c r="T66" s="236" t="b">
        <v>0</v>
      </c>
      <c r="U66" s="236" t="b">
        <v>0</v>
      </c>
      <c r="V66" s="236" t="b">
        <v>0</v>
      </c>
      <c r="W66" s="236" t="b">
        <v>0</v>
      </c>
      <c r="X66" s="236" t="b">
        <v>0</v>
      </c>
      <c r="Y66" s="236" t="b">
        <v>0</v>
      </c>
      <c r="Z66" s="236" t="b">
        <v>0</v>
      </c>
      <c r="AA66" s="236" t="b">
        <v>0</v>
      </c>
      <c r="AB66" s="236" t="b">
        <v>0</v>
      </c>
      <c r="AC66" s="236" t="b">
        <v>0</v>
      </c>
      <c r="AD66" s="256" t="str">
        <f>IF(COUNTIF(G66:AC66,"TRUE")=0,"Thiếu chứng nhận","Đủ điều kiện")</f>
        <v>Đủ điều kiện</v>
      </c>
      <c r="AE66" s="287"/>
      <c r="AF66" s="317"/>
    </row>
    <row r="67" spans="1:32">
      <c r="A67" s="256">
        <f>ROWS($B$5:B65)</f>
        <v>61</v>
      </c>
      <c r="B67" s="256">
        <v>4986</v>
      </c>
      <c r="C67" s="256" t="s">
        <v>172</v>
      </c>
      <c r="D67" s="256" t="s">
        <v>1919</v>
      </c>
      <c r="E67" s="256" t="s">
        <v>154</v>
      </c>
      <c r="F67" s="290"/>
      <c r="G67" s="236" t="b">
        <v>0</v>
      </c>
      <c r="H67" s="236" t="b">
        <v>0</v>
      </c>
      <c r="I67" s="236" t="b">
        <v>0</v>
      </c>
      <c r="J67" s="236" t="b">
        <v>1</v>
      </c>
      <c r="K67" s="236" t="b">
        <v>0</v>
      </c>
      <c r="L67" s="236" t="b">
        <v>0</v>
      </c>
      <c r="M67" s="236" t="b">
        <v>0</v>
      </c>
      <c r="N67" s="236" t="b">
        <v>1</v>
      </c>
      <c r="O67" s="236" t="b">
        <v>0</v>
      </c>
      <c r="P67" s="236" t="b">
        <v>0</v>
      </c>
      <c r="Q67" s="236" t="b">
        <v>0</v>
      </c>
      <c r="R67" s="236" t="b">
        <v>0</v>
      </c>
      <c r="S67" s="236" t="b">
        <v>0</v>
      </c>
      <c r="T67" s="236" t="b">
        <v>0</v>
      </c>
      <c r="U67" s="236" t="b">
        <v>1</v>
      </c>
      <c r="V67" s="236" t="b">
        <v>0</v>
      </c>
      <c r="W67" s="236" t="b">
        <v>0</v>
      </c>
      <c r="X67" s="236" t="b">
        <v>1</v>
      </c>
      <c r="Y67" s="236" t="b">
        <v>1</v>
      </c>
      <c r="Z67" s="236" t="b">
        <v>1</v>
      </c>
      <c r="AA67" s="236" t="b">
        <v>0</v>
      </c>
      <c r="AB67" s="236" t="b">
        <v>1</v>
      </c>
      <c r="AC67" s="236" t="b">
        <v>0</v>
      </c>
      <c r="AD67" s="256" t="str">
        <f>IF(COUNTIF(G67:AC67,"TRUE")=0,"Thiếu chứng nhận","Đủ điều kiện")</f>
        <v>Đủ điều kiện</v>
      </c>
      <c r="AE67" s="287"/>
      <c r="AF67" s="317"/>
    </row>
    <row r="68" spans="1:32">
      <c r="A68" s="256">
        <f>ROWS($B$5:B66)</f>
        <v>62</v>
      </c>
      <c r="B68" s="256">
        <v>4988</v>
      </c>
      <c r="C68" s="256" t="s">
        <v>832</v>
      </c>
      <c r="D68" s="256" t="s">
        <v>1931</v>
      </c>
      <c r="E68" s="256" t="s">
        <v>154</v>
      </c>
      <c r="F68" s="290"/>
      <c r="G68" s="236" t="b">
        <v>0</v>
      </c>
      <c r="H68" s="236" t="b">
        <v>0</v>
      </c>
      <c r="I68" s="236" t="b">
        <v>0</v>
      </c>
      <c r="J68" s="236" t="b">
        <v>1</v>
      </c>
      <c r="K68" s="236" t="b">
        <v>0</v>
      </c>
      <c r="L68" s="236" t="b">
        <v>0</v>
      </c>
      <c r="M68" s="236" t="b">
        <v>0</v>
      </c>
      <c r="N68" s="236" t="b">
        <v>0</v>
      </c>
      <c r="O68" s="236" t="b">
        <v>0</v>
      </c>
      <c r="P68" s="236" t="b">
        <v>0</v>
      </c>
      <c r="Q68" s="236" t="b">
        <v>0</v>
      </c>
      <c r="R68" s="236" t="b">
        <v>0</v>
      </c>
      <c r="S68" s="236" t="b">
        <v>0</v>
      </c>
      <c r="T68" s="236" t="b">
        <v>0</v>
      </c>
      <c r="U68" s="236" t="b">
        <v>1</v>
      </c>
      <c r="V68" s="236" t="b">
        <v>0</v>
      </c>
      <c r="W68" s="236" t="b">
        <v>0</v>
      </c>
      <c r="X68" s="236" t="b">
        <v>0</v>
      </c>
      <c r="Y68" s="236" t="b">
        <v>0</v>
      </c>
      <c r="Z68" s="236" t="b">
        <v>0</v>
      </c>
      <c r="AA68" s="236" t="b">
        <v>0</v>
      </c>
      <c r="AB68" s="236" t="b">
        <v>1</v>
      </c>
      <c r="AC68" s="236" t="b">
        <v>0</v>
      </c>
      <c r="AD68" s="256" t="str">
        <f>IF(COUNTIF(G68:AC68,"TRUE")=0,"Thiếu chứng nhận","Đủ điều kiện")</f>
        <v>Đủ điều kiện</v>
      </c>
      <c r="AE68" s="287"/>
      <c r="AF68" s="317"/>
    </row>
    <row r="69" spans="1:32">
      <c r="A69" s="256">
        <f>ROWS($B$5:B67)</f>
        <v>63</v>
      </c>
      <c r="B69" s="256">
        <v>5023</v>
      </c>
      <c r="C69" s="256" t="s">
        <v>214</v>
      </c>
      <c r="D69" s="256" t="s">
        <v>1903</v>
      </c>
      <c r="E69" s="256" t="s">
        <v>154</v>
      </c>
      <c r="F69" s="290"/>
      <c r="G69" s="236" t="b">
        <v>0</v>
      </c>
      <c r="H69" s="236" t="b">
        <v>0</v>
      </c>
      <c r="I69" s="236" t="b">
        <v>0</v>
      </c>
      <c r="J69" s="236" t="b">
        <v>1</v>
      </c>
      <c r="K69" s="236" t="b">
        <v>0</v>
      </c>
      <c r="L69" s="236" t="b">
        <v>0</v>
      </c>
      <c r="M69" s="236" t="b">
        <v>0</v>
      </c>
      <c r="N69" s="236" t="b">
        <v>0</v>
      </c>
      <c r="O69" s="236" t="b">
        <v>0</v>
      </c>
      <c r="P69" s="236" t="b">
        <v>0</v>
      </c>
      <c r="Q69" s="236" t="b">
        <v>0</v>
      </c>
      <c r="R69" s="236" t="b">
        <v>0</v>
      </c>
      <c r="S69" s="236" t="b">
        <v>0</v>
      </c>
      <c r="T69" s="236" t="b">
        <v>0</v>
      </c>
      <c r="U69" s="236" t="b">
        <v>1</v>
      </c>
      <c r="V69" s="236" t="b">
        <v>0</v>
      </c>
      <c r="W69" s="236" t="b">
        <v>0</v>
      </c>
      <c r="X69" s="236" t="b">
        <v>1</v>
      </c>
      <c r="Y69" s="236" t="b">
        <v>1</v>
      </c>
      <c r="Z69" s="236" t="b">
        <v>1</v>
      </c>
      <c r="AA69" s="236" t="b">
        <v>0</v>
      </c>
      <c r="AB69" s="236" t="b">
        <v>1</v>
      </c>
      <c r="AC69" s="236" t="b">
        <v>0</v>
      </c>
      <c r="AD69" s="256" t="str">
        <f>IF(COUNTIF(G69:AC69,"TRUE")=0,"Thiếu chứng nhận","Đủ điều kiện")</f>
        <v>Đủ điều kiện</v>
      </c>
      <c r="AE69" s="287"/>
      <c r="AF69" s="317"/>
    </row>
    <row r="70" spans="1:32">
      <c r="A70" s="256">
        <f>ROWS($B$5:B68)</f>
        <v>64</v>
      </c>
      <c r="B70" s="256">
        <v>5029</v>
      </c>
      <c r="C70" s="256" t="s">
        <v>616</v>
      </c>
      <c r="D70" s="256" t="s">
        <v>1903</v>
      </c>
      <c r="E70" s="256" t="s">
        <v>154</v>
      </c>
      <c r="F70" s="290"/>
      <c r="G70" s="236" t="b">
        <v>0</v>
      </c>
      <c r="H70" s="236" t="b">
        <v>0</v>
      </c>
      <c r="I70" s="236" t="b">
        <v>0</v>
      </c>
      <c r="J70" s="236" t="b">
        <v>1</v>
      </c>
      <c r="K70" s="236" t="b">
        <v>0</v>
      </c>
      <c r="L70" s="236" t="b">
        <v>0</v>
      </c>
      <c r="M70" s="236" t="b">
        <v>0</v>
      </c>
      <c r="N70" s="236" t="b">
        <v>0</v>
      </c>
      <c r="O70" s="236" t="b">
        <v>0</v>
      </c>
      <c r="P70" s="236" t="b">
        <v>0</v>
      </c>
      <c r="Q70" s="236" t="b">
        <v>0</v>
      </c>
      <c r="R70" s="236" t="b">
        <v>0</v>
      </c>
      <c r="S70" s="236" t="b">
        <v>0</v>
      </c>
      <c r="T70" s="236" t="b">
        <v>0</v>
      </c>
      <c r="U70" s="236" t="b">
        <v>0</v>
      </c>
      <c r="V70" s="236" t="b">
        <v>0</v>
      </c>
      <c r="W70" s="236" t="b">
        <v>0</v>
      </c>
      <c r="X70" s="236" t="b">
        <v>1</v>
      </c>
      <c r="Y70" s="236" t="b">
        <v>1</v>
      </c>
      <c r="Z70" s="236" t="b">
        <v>1</v>
      </c>
      <c r="AA70" s="236" t="b">
        <v>0</v>
      </c>
      <c r="AB70" s="236" t="b">
        <v>0</v>
      </c>
      <c r="AC70" s="236" t="b">
        <v>0</v>
      </c>
      <c r="AD70" s="256" t="str">
        <f>IF(COUNTIF(G70:AC70,"TRUE")=0,"Thiếu chứng nhận","Đủ điều kiện")</f>
        <v>Đủ điều kiện</v>
      </c>
      <c r="AE70" s="287"/>
      <c r="AF70" s="317"/>
    </row>
    <row r="71" spans="1:32">
      <c r="A71" s="256">
        <f>ROWS($B$5:B69)</f>
        <v>65</v>
      </c>
      <c r="B71" s="256">
        <v>5030</v>
      </c>
      <c r="C71" s="256" t="s">
        <v>828</v>
      </c>
      <c r="D71" s="256" t="s">
        <v>1903</v>
      </c>
      <c r="E71" s="256" t="s">
        <v>154</v>
      </c>
      <c r="F71" s="290"/>
      <c r="G71" s="236" t="b">
        <v>0</v>
      </c>
      <c r="H71" s="236" t="b">
        <v>0</v>
      </c>
      <c r="I71" s="236" t="b">
        <v>0</v>
      </c>
      <c r="J71" s="236" t="b">
        <v>1</v>
      </c>
      <c r="K71" s="236" t="b">
        <v>0</v>
      </c>
      <c r="L71" s="236" t="b">
        <v>0</v>
      </c>
      <c r="M71" s="236" t="b">
        <v>0</v>
      </c>
      <c r="N71" s="236" t="b">
        <v>0</v>
      </c>
      <c r="O71" s="236" t="b">
        <v>0</v>
      </c>
      <c r="P71" s="236" t="b">
        <v>0</v>
      </c>
      <c r="Q71" s="236" t="b">
        <v>0</v>
      </c>
      <c r="R71" s="236" t="b">
        <v>0</v>
      </c>
      <c r="S71" s="236" t="b">
        <v>0</v>
      </c>
      <c r="T71" s="236" t="b">
        <v>0</v>
      </c>
      <c r="U71" s="236" t="b">
        <v>0</v>
      </c>
      <c r="V71" s="236" t="b">
        <v>0</v>
      </c>
      <c r="W71" s="236" t="b">
        <v>0</v>
      </c>
      <c r="X71" s="236" t="b">
        <v>0</v>
      </c>
      <c r="Y71" s="236" t="b">
        <v>0</v>
      </c>
      <c r="Z71" s="236" t="b">
        <v>0</v>
      </c>
      <c r="AA71" s="236" t="b">
        <v>0</v>
      </c>
      <c r="AB71" s="236" t="b">
        <v>1</v>
      </c>
      <c r="AC71" s="236" t="b">
        <v>0</v>
      </c>
      <c r="AD71" s="256" t="str">
        <f t="shared" ref="AD71:AD125" si="0">IF(COUNTIF(G71:AC71,"TRUE")=0,"Thiếu chứng nhận","Đủ điều kiện")</f>
        <v>Đủ điều kiện</v>
      </c>
      <c r="AE71" s="287"/>
      <c r="AF71" s="317"/>
    </row>
    <row r="72" spans="1:32">
      <c r="A72" s="256">
        <f>ROWS($B$5:B70)</f>
        <v>66</v>
      </c>
      <c r="B72" s="256">
        <v>5048</v>
      </c>
      <c r="C72" s="256" t="s">
        <v>840</v>
      </c>
      <c r="D72" s="256" t="s">
        <v>1903</v>
      </c>
      <c r="E72" s="256" t="s">
        <v>154</v>
      </c>
      <c r="F72" s="290"/>
      <c r="G72" s="236" t="b">
        <v>0</v>
      </c>
      <c r="H72" s="236" t="b">
        <v>0</v>
      </c>
      <c r="I72" s="236" t="b">
        <v>0</v>
      </c>
      <c r="J72" s="236" t="b">
        <v>1</v>
      </c>
      <c r="K72" s="236" t="b">
        <v>0</v>
      </c>
      <c r="L72" s="236" t="b">
        <v>0</v>
      </c>
      <c r="M72" s="236" t="b">
        <v>0</v>
      </c>
      <c r="N72" s="236" t="b">
        <v>0</v>
      </c>
      <c r="O72" s="236" t="b">
        <v>0</v>
      </c>
      <c r="P72" s="236" t="b">
        <v>0</v>
      </c>
      <c r="Q72" s="236" t="b">
        <v>0</v>
      </c>
      <c r="R72" s="236" t="b">
        <v>0</v>
      </c>
      <c r="S72" s="236" t="b">
        <v>0</v>
      </c>
      <c r="T72" s="236" t="b">
        <v>0</v>
      </c>
      <c r="U72" s="236" t="b">
        <v>1</v>
      </c>
      <c r="V72" s="236" t="b">
        <v>0</v>
      </c>
      <c r="W72" s="236" t="b">
        <v>0</v>
      </c>
      <c r="X72" s="236" t="b">
        <v>0</v>
      </c>
      <c r="Y72" s="236" t="b">
        <v>0</v>
      </c>
      <c r="Z72" s="236" t="b">
        <v>0</v>
      </c>
      <c r="AA72" s="236" t="b">
        <v>1</v>
      </c>
      <c r="AB72" s="236" t="b">
        <v>1</v>
      </c>
      <c r="AC72" s="236" t="b">
        <v>0</v>
      </c>
      <c r="AD72" s="256" t="str">
        <f t="shared" si="0"/>
        <v>Đủ điều kiện</v>
      </c>
      <c r="AE72" s="287"/>
      <c r="AF72" s="317"/>
    </row>
    <row r="73" spans="1:32">
      <c r="A73" s="256">
        <f>ROWS($B$5:B71)</f>
        <v>67</v>
      </c>
      <c r="B73" s="256">
        <v>5060</v>
      </c>
      <c r="C73" s="256" t="s">
        <v>1938</v>
      </c>
      <c r="D73" s="256" t="s">
        <v>1931</v>
      </c>
      <c r="E73" s="256" t="s">
        <v>154</v>
      </c>
      <c r="F73" s="290"/>
      <c r="G73" s="236" t="b">
        <v>0</v>
      </c>
      <c r="H73" s="236" t="b">
        <v>0</v>
      </c>
      <c r="I73" s="236" t="b">
        <v>0</v>
      </c>
      <c r="J73" s="236" t="b">
        <v>1</v>
      </c>
      <c r="K73" s="236" t="b">
        <v>0</v>
      </c>
      <c r="L73" s="236" t="b">
        <v>0</v>
      </c>
      <c r="M73" s="236" t="b">
        <v>0</v>
      </c>
      <c r="N73" s="236" t="b">
        <v>0</v>
      </c>
      <c r="O73" s="236" t="b">
        <v>0</v>
      </c>
      <c r="P73" s="236" t="b">
        <v>0</v>
      </c>
      <c r="Q73" s="236" t="b">
        <v>0</v>
      </c>
      <c r="R73" s="236" t="b">
        <v>0</v>
      </c>
      <c r="S73" s="236" t="b">
        <v>0</v>
      </c>
      <c r="T73" s="236" t="b">
        <v>0</v>
      </c>
      <c r="U73" s="236" t="b">
        <v>1</v>
      </c>
      <c r="V73" s="236" t="b">
        <v>0</v>
      </c>
      <c r="W73" s="236" t="b">
        <v>0</v>
      </c>
      <c r="X73" s="236" t="b">
        <v>0</v>
      </c>
      <c r="Y73" s="236" t="b">
        <v>0</v>
      </c>
      <c r="Z73" s="236" t="b">
        <v>0</v>
      </c>
      <c r="AA73" s="236" t="b">
        <v>0</v>
      </c>
      <c r="AB73" s="236" t="b">
        <v>1</v>
      </c>
      <c r="AC73" s="236" t="b">
        <v>0</v>
      </c>
      <c r="AD73" s="256" t="str">
        <f t="shared" si="0"/>
        <v>Đủ điều kiện</v>
      </c>
      <c r="AE73" s="287"/>
      <c r="AF73" s="317"/>
    </row>
    <row r="74" spans="1:32">
      <c r="A74" s="256">
        <f>ROWS($B$5:B72)</f>
        <v>68</v>
      </c>
      <c r="B74" s="256">
        <v>5061</v>
      </c>
      <c r="C74" s="256" t="s">
        <v>618</v>
      </c>
      <c r="D74" s="256" t="s">
        <v>1903</v>
      </c>
      <c r="E74" s="256" t="s">
        <v>154</v>
      </c>
      <c r="F74" s="290"/>
      <c r="G74" s="236" t="b">
        <v>0</v>
      </c>
      <c r="H74" s="236" t="b">
        <v>0</v>
      </c>
      <c r="I74" s="236" t="b">
        <v>0</v>
      </c>
      <c r="J74" s="236" t="b">
        <v>0</v>
      </c>
      <c r="K74" s="236" t="b">
        <v>0</v>
      </c>
      <c r="L74" s="236" t="b">
        <v>0</v>
      </c>
      <c r="M74" s="236" t="b">
        <v>0</v>
      </c>
      <c r="N74" s="236" t="b">
        <v>0</v>
      </c>
      <c r="O74" s="236" t="b">
        <v>0</v>
      </c>
      <c r="P74" s="236" t="b">
        <v>0</v>
      </c>
      <c r="Q74" s="236" t="b">
        <v>0</v>
      </c>
      <c r="R74" s="236" t="b">
        <v>0</v>
      </c>
      <c r="S74" s="236" t="b">
        <v>0</v>
      </c>
      <c r="T74" s="236" t="b">
        <v>0</v>
      </c>
      <c r="U74" s="236" t="b">
        <v>0</v>
      </c>
      <c r="V74" s="236" t="b">
        <v>0</v>
      </c>
      <c r="W74" s="236" t="b">
        <v>0</v>
      </c>
      <c r="X74" s="236" t="b">
        <v>0</v>
      </c>
      <c r="Y74" s="236" t="b">
        <v>0</v>
      </c>
      <c r="Z74" s="236" t="b">
        <v>0</v>
      </c>
      <c r="AA74" s="236" t="b">
        <v>0</v>
      </c>
      <c r="AB74" s="236" t="b">
        <v>0</v>
      </c>
      <c r="AC74" s="236" t="b">
        <v>0</v>
      </c>
      <c r="AD74" s="256" t="str">
        <f t="shared" si="0"/>
        <v>Thiếu chứng nhận</v>
      </c>
      <c r="AE74" s="287"/>
      <c r="AF74" s="317"/>
    </row>
    <row r="75" spans="1:32">
      <c r="A75" s="256">
        <f>ROWS($B$5:B73)</f>
        <v>69</v>
      </c>
      <c r="B75" s="256">
        <v>5076</v>
      </c>
      <c r="C75" s="256" t="s">
        <v>785</v>
      </c>
      <c r="D75" s="256" t="s">
        <v>1934</v>
      </c>
      <c r="E75" s="256" t="s">
        <v>154</v>
      </c>
      <c r="F75" s="290"/>
      <c r="G75" s="236" t="b">
        <v>0</v>
      </c>
      <c r="H75" s="236" t="b">
        <v>0</v>
      </c>
      <c r="I75" s="236" t="b">
        <v>0</v>
      </c>
      <c r="J75" s="236" t="b">
        <v>1</v>
      </c>
      <c r="K75" s="236" t="b">
        <v>0</v>
      </c>
      <c r="L75" s="236" t="b">
        <v>0</v>
      </c>
      <c r="M75" s="236" t="b">
        <v>0</v>
      </c>
      <c r="N75" s="236" t="b">
        <v>0</v>
      </c>
      <c r="O75" s="236" t="b">
        <v>0</v>
      </c>
      <c r="P75" s="236" t="b">
        <v>0</v>
      </c>
      <c r="Q75" s="236" t="b">
        <v>0</v>
      </c>
      <c r="R75" s="236" t="b">
        <v>0</v>
      </c>
      <c r="S75" s="236" t="b">
        <v>0</v>
      </c>
      <c r="T75" s="236" t="b">
        <v>0</v>
      </c>
      <c r="U75" s="236" t="b">
        <v>1</v>
      </c>
      <c r="V75" s="236" t="b">
        <v>0</v>
      </c>
      <c r="W75" s="236" t="b">
        <v>0</v>
      </c>
      <c r="X75" s="236" t="b">
        <v>0</v>
      </c>
      <c r="Y75" s="236" t="b">
        <v>0</v>
      </c>
      <c r="Z75" s="236" t="b">
        <v>0</v>
      </c>
      <c r="AA75" s="236" t="b">
        <v>0</v>
      </c>
      <c r="AB75" s="236" t="b">
        <v>1</v>
      </c>
      <c r="AC75" s="236" t="b">
        <v>0</v>
      </c>
      <c r="AD75" s="256" t="str">
        <f t="shared" si="0"/>
        <v>Đủ điều kiện</v>
      </c>
      <c r="AE75" s="287"/>
      <c r="AF75" s="317"/>
    </row>
    <row r="76" spans="1:32">
      <c r="A76" s="256">
        <f>ROWS($B$5:B74)</f>
        <v>70</v>
      </c>
      <c r="B76" s="256">
        <v>5077</v>
      </c>
      <c r="C76" s="256" t="s">
        <v>830</v>
      </c>
      <c r="D76" s="256" t="s">
        <v>1931</v>
      </c>
      <c r="E76" s="256" t="s">
        <v>154</v>
      </c>
      <c r="F76" s="290"/>
      <c r="G76" s="236" t="b">
        <v>0</v>
      </c>
      <c r="H76" s="236" t="b">
        <v>0</v>
      </c>
      <c r="I76" s="236" t="b">
        <v>0</v>
      </c>
      <c r="J76" s="236" t="b">
        <v>1</v>
      </c>
      <c r="K76" s="236" t="b">
        <v>0</v>
      </c>
      <c r="L76" s="236" t="b">
        <v>0</v>
      </c>
      <c r="M76" s="236" t="b">
        <v>0</v>
      </c>
      <c r="N76" s="236" t="b">
        <v>0</v>
      </c>
      <c r="O76" s="236" t="b">
        <v>0</v>
      </c>
      <c r="P76" s="236" t="b">
        <v>0</v>
      </c>
      <c r="Q76" s="236" t="b">
        <v>0</v>
      </c>
      <c r="R76" s="236" t="b">
        <v>0</v>
      </c>
      <c r="S76" s="236" t="b">
        <v>0</v>
      </c>
      <c r="T76" s="236" t="b">
        <v>0</v>
      </c>
      <c r="U76" s="236" t="b">
        <v>1</v>
      </c>
      <c r="V76" s="236" t="b">
        <v>0</v>
      </c>
      <c r="W76" s="236" t="b">
        <v>0</v>
      </c>
      <c r="X76" s="236" t="b">
        <v>0</v>
      </c>
      <c r="Y76" s="236" t="b">
        <v>0</v>
      </c>
      <c r="Z76" s="236" t="b">
        <v>0</v>
      </c>
      <c r="AA76" s="236" t="b">
        <v>0</v>
      </c>
      <c r="AB76" s="236" t="b">
        <v>0</v>
      </c>
      <c r="AC76" s="236" t="b">
        <v>0</v>
      </c>
      <c r="AD76" s="256" t="str">
        <f t="shared" si="0"/>
        <v>Đủ điều kiện</v>
      </c>
      <c r="AE76" s="287"/>
      <c r="AF76" s="317"/>
    </row>
    <row r="77" spans="1:32">
      <c r="A77" s="256">
        <f>ROWS($B$5:B75)</f>
        <v>71</v>
      </c>
      <c r="B77" s="256">
        <v>5078</v>
      </c>
      <c r="C77" s="256" t="s">
        <v>791</v>
      </c>
      <c r="D77" s="256" t="s">
        <v>1903</v>
      </c>
      <c r="E77" s="256" t="s">
        <v>154</v>
      </c>
      <c r="F77" s="290"/>
      <c r="G77" s="236" t="b">
        <v>0</v>
      </c>
      <c r="H77" s="236" t="b">
        <v>0</v>
      </c>
      <c r="I77" s="236" t="b">
        <v>0</v>
      </c>
      <c r="J77" s="236" t="b">
        <v>0</v>
      </c>
      <c r="K77" s="236" t="b">
        <v>0</v>
      </c>
      <c r="L77" s="236" t="b">
        <v>0</v>
      </c>
      <c r="M77" s="236" t="b">
        <v>0</v>
      </c>
      <c r="N77" s="236" t="b">
        <v>0</v>
      </c>
      <c r="O77" s="236" t="b">
        <v>0</v>
      </c>
      <c r="P77" s="236" t="b">
        <v>0</v>
      </c>
      <c r="Q77" s="236" t="b">
        <v>0</v>
      </c>
      <c r="R77" s="236" t="b">
        <v>0</v>
      </c>
      <c r="S77" s="236" t="b">
        <v>0</v>
      </c>
      <c r="T77" s="236" t="b">
        <v>0</v>
      </c>
      <c r="U77" s="236" t="b">
        <v>0</v>
      </c>
      <c r="V77" s="236" t="b">
        <v>0</v>
      </c>
      <c r="W77" s="236" t="b">
        <v>0</v>
      </c>
      <c r="X77" s="236" t="b">
        <v>0</v>
      </c>
      <c r="Y77" s="236" t="b">
        <v>0</v>
      </c>
      <c r="Z77" s="236" t="b">
        <v>0</v>
      </c>
      <c r="AA77" s="236" t="b">
        <v>0</v>
      </c>
      <c r="AB77" s="236" t="b">
        <v>0</v>
      </c>
      <c r="AC77" s="236" t="b">
        <v>0</v>
      </c>
      <c r="AD77" s="256" t="str">
        <f t="shared" si="0"/>
        <v>Thiếu chứng nhận</v>
      </c>
      <c r="AE77" s="287"/>
      <c r="AF77" s="317"/>
    </row>
    <row r="78" spans="1:32">
      <c r="A78" s="256">
        <f>ROWS($B$5:B76)</f>
        <v>72</v>
      </c>
      <c r="B78" s="256">
        <v>5152</v>
      </c>
      <c r="C78" s="256" t="s">
        <v>194</v>
      </c>
      <c r="D78" s="256" t="s">
        <v>1903</v>
      </c>
      <c r="E78" s="256" t="s">
        <v>154</v>
      </c>
      <c r="F78" s="290"/>
      <c r="G78" s="236" t="b">
        <v>0</v>
      </c>
      <c r="H78" s="236" t="b">
        <v>0</v>
      </c>
      <c r="I78" s="236" t="b">
        <v>0</v>
      </c>
      <c r="J78" s="236" t="b">
        <v>1</v>
      </c>
      <c r="K78" s="236" t="b">
        <v>0</v>
      </c>
      <c r="L78" s="236" t="b">
        <v>0</v>
      </c>
      <c r="M78" s="236" t="b">
        <v>0</v>
      </c>
      <c r="N78" s="236" t="b">
        <v>1</v>
      </c>
      <c r="O78" s="236" t="b">
        <v>0</v>
      </c>
      <c r="P78" s="236" t="b">
        <v>0</v>
      </c>
      <c r="Q78" s="236" t="b">
        <v>1</v>
      </c>
      <c r="R78" s="236" t="b">
        <v>0</v>
      </c>
      <c r="S78" s="236" t="b">
        <v>0</v>
      </c>
      <c r="T78" s="236" t="b">
        <v>0</v>
      </c>
      <c r="U78" s="236" t="b">
        <v>0</v>
      </c>
      <c r="V78" s="236" t="b">
        <v>0</v>
      </c>
      <c r="W78" s="236" t="b">
        <v>0</v>
      </c>
      <c r="X78" s="236" t="b">
        <v>1</v>
      </c>
      <c r="Y78" s="236" t="b">
        <v>1</v>
      </c>
      <c r="Z78" s="236" t="b">
        <v>1</v>
      </c>
      <c r="AA78" s="236" t="b">
        <v>0</v>
      </c>
      <c r="AB78" s="236" t="b">
        <v>0</v>
      </c>
      <c r="AC78" s="236" t="b">
        <v>0</v>
      </c>
      <c r="AD78" s="256" t="str">
        <f t="shared" si="0"/>
        <v>Đủ điều kiện</v>
      </c>
      <c r="AE78" s="287"/>
      <c r="AF78" s="317"/>
    </row>
    <row r="79" spans="1:32">
      <c r="A79" s="256">
        <f>ROWS($B$5:B77)</f>
        <v>73</v>
      </c>
      <c r="B79" s="256">
        <v>5186</v>
      </c>
      <c r="C79" s="256" t="s">
        <v>196</v>
      </c>
      <c r="D79" s="256" t="s">
        <v>1903</v>
      </c>
      <c r="E79" s="256" t="s">
        <v>154</v>
      </c>
      <c r="F79" s="290"/>
      <c r="G79" s="236" t="b">
        <v>0</v>
      </c>
      <c r="H79" s="236" t="b">
        <v>0</v>
      </c>
      <c r="I79" s="236" t="b">
        <v>0</v>
      </c>
      <c r="J79" s="236" t="b">
        <v>1</v>
      </c>
      <c r="K79" s="236" t="b">
        <v>0</v>
      </c>
      <c r="L79" s="236" t="b">
        <v>0</v>
      </c>
      <c r="M79" s="236" t="b">
        <v>0</v>
      </c>
      <c r="N79" s="236" t="b">
        <v>1</v>
      </c>
      <c r="O79" s="236" t="b">
        <v>0</v>
      </c>
      <c r="P79" s="236" t="b">
        <v>0</v>
      </c>
      <c r="Q79" s="236" t="b">
        <v>1</v>
      </c>
      <c r="R79" s="236" t="b">
        <v>0</v>
      </c>
      <c r="S79" s="236" t="b">
        <v>0</v>
      </c>
      <c r="T79" s="236" t="b">
        <v>0</v>
      </c>
      <c r="U79" s="236" t="b">
        <v>1</v>
      </c>
      <c r="V79" s="236" t="b">
        <v>0</v>
      </c>
      <c r="W79" s="236" t="b">
        <v>0</v>
      </c>
      <c r="X79" s="236" t="b">
        <v>0</v>
      </c>
      <c r="Y79" s="236" t="b">
        <v>0</v>
      </c>
      <c r="Z79" s="236" t="b">
        <v>0</v>
      </c>
      <c r="AA79" s="236" t="b">
        <v>0</v>
      </c>
      <c r="AB79" s="236" t="b">
        <v>1</v>
      </c>
      <c r="AC79" s="236" t="b">
        <v>0</v>
      </c>
      <c r="AD79" s="256" t="str">
        <f t="shared" si="0"/>
        <v>Đủ điều kiện</v>
      </c>
      <c r="AE79" s="287"/>
      <c r="AF79" s="317"/>
    </row>
    <row r="80" spans="1:32">
      <c r="A80" s="256">
        <f>ROWS($B$5:B78)</f>
        <v>74</v>
      </c>
      <c r="B80" s="256">
        <v>5204</v>
      </c>
      <c r="C80" s="256" t="s">
        <v>844</v>
      </c>
      <c r="D80" s="256" t="s">
        <v>1903</v>
      </c>
      <c r="E80" s="256" t="s">
        <v>154</v>
      </c>
      <c r="F80" s="290"/>
      <c r="G80" s="236" t="b">
        <v>0</v>
      </c>
      <c r="H80" s="236" t="b">
        <v>0</v>
      </c>
      <c r="I80" s="236" t="b">
        <v>0</v>
      </c>
      <c r="J80" s="236" t="b">
        <v>1</v>
      </c>
      <c r="K80" s="236" t="b">
        <v>0</v>
      </c>
      <c r="L80" s="236" t="b">
        <v>0</v>
      </c>
      <c r="M80" s="236" t="b">
        <v>0</v>
      </c>
      <c r="N80" s="236" t="b">
        <v>0</v>
      </c>
      <c r="O80" s="236" t="b">
        <v>0</v>
      </c>
      <c r="P80" s="236" t="b">
        <v>0</v>
      </c>
      <c r="Q80" s="236" t="b">
        <v>0</v>
      </c>
      <c r="R80" s="236" t="b">
        <v>0</v>
      </c>
      <c r="S80" s="236" t="b">
        <v>0</v>
      </c>
      <c r="T80" s="236" t="b">
        <v>0</v>
      </c>
      <c r="U80" s="236" t="b">
        <v>1</v>
      </c>
      <c r="V80" s="236" t="b">
        <v>0</v>
      </c>
      <c r="W80" s="236" t="b">
        <v>0</v>
      </c>
      <c r="X80" s="236" t="b">
        <v>0</v>
      </c>
      <c r="Y80" s="236" t="b">
        <v>0</v>
      </c>
      <c r="Z80" s="236" t="b">
        <v>0</v>
      </c>
      <c r="AA80" s="236" t="b">
        <v>0</v>
      </c>
      <c r="AB80" s="236" t="b">
        <v>1</v>
      </c>
      <c r="AC80" s="236" t="b">
        <v>0</v>
      </c>
      <c r="AD80" s="256" t="str">
        <f t="shared" si="0"/>
        <v>Đủ điều kiện</v>
      </c>
      <c r="AE80" s="287"/>
      <c r="AF80" s="317"/>
    </row>
    <row r="81" spans="1:32">
      <c r="A81" s="256">
        <f>ROWS($B$5:B79)</f>
        <v>75</v>
      </c>
      <c r="B81" s="256">
        <v>5238</v>
      </c>
      <c r="C81" s="256" t="s">
        <v>1939</v>
      </c>
      <c r="D81" s="256" t="s">
        <v>1903</v>
      </c>
      <c r="E81" s="256" t="s">
        <v>154</v>
      </c>
      <c r="F81" s="290"/>
      <c r="G81" s="236" t="b">
        <v>0</v>
      </c>
      <c r="H81" s="236" t="b">
        <v>0</v>
      </c>
      <c r="I81" s="236" t="b">
        <v>0</v>
      </c>
      <c r="J81" s="236" t="b">
        <v>1</v>
      </c>
      <c r="K81" s="236" t="b">
        <v>0</v>
      </c>
      <c r="L81" s="236" t="b">
        <v>0</v>
      </c>
      <c r="M81" s="236" t="b">
        <v>0</v>
      </c>
      <c r="N81" s="236" t="b">
        <v>0</v>
      </c>
      <c r="O81" s="236" t="b">
        <v>0</v>
      </c>
      <c r="P81" s="236" t="b">
        <v>0</v>
      </c>
      <c r="Q81" s="236" t="b">
        <v>0</v>
      </c>
      <c r="R81" s="236" t="b">
        <v>0</v>
      </c>
      <c r="S81" s="236" t="b">
        <v>0</v>
      </c>
      <c r="T81" s="236" t="b">
        <v>0</v>
      </c>
      <c r="U81" s="236" t="b">
        <v>1</v>
      </c>
      <c r="V81" s="236" t="b">
        <v>0</v>
      </c>
      <c r="W81" s="236" t="b">
        <v>0</v>
      </c>
      <c r="X81" s="236" t="b">
        <v>0</v>
      </c>
      <c r="Y81" s="236" t="b">
        <v>0</v>
      </c>
      <c r="Z81" s="236" t="b">
        <v>0</v>
      </c>
      <c r="AA81" s="236" t="b">
        <v>0</v>
      </c>
      <c r="AB81" s="236" t="b">
        <v>1</v>
      </c>
      <c r="AC81" s="236" t="b">
        <v>0</v>
      </c>
      <c r="AD81" s="256" t="str">
        <f t="shared" si="0"/>
        <v>Đủ điều kiện</v>
      </c>
      <c r="AE81" s="287"/>
      <c r="AF81" s="317"/>
    </row>
    <row r="82" spans="1:32">
      <c r="A82" s="256">
        <f>ROWS($B$5:B80)</f>
        <v>76</v>
      </c>
      <c r="B82" s="256">
        <v>5272</v>
      </c>
      <c r="C82" s="256" t="s">
        <v>733</v>
      </c>
      <c r="D82" s="256" t="s">
        <v>1903</v>
      </c>
      <c r="E82" s="256" t="s">
        <v>154</v>
      </c>
      <c r="F82" s="290"/>
      <c r="G82" s="236" t="b">
        <v>0</v>
      </c>
      <c r="H82" s="236" t="b">
        <v>0</v>
      </c>
      <c r="I82" s="236" t="b">
        <v>0</v>
      </c>
      <c r="J82" s="236" t="b">
        <v>1</v>
      </c>
      <c r="K82" s="236" t="b">
        <v>0</v>
      </c>
      <c r="L82" s="236" t="b">
        <v>0</v>
      </c>
      <c r="M82" s="236" t="b">
        <v>0</v>
      </c>
      <c r="N82" s="236" t="b">
        <v>1</v>
      </c>
      <c r="O82" s="236" t="b">
        <v>0</v>
      </c>
      <c r="P82" s="236" t="b">
        <v>0</v>
      </c>
      <c r="Q82" s="236" t="b">
        <v>0</v>
      </c>
      <c r="R82" s="236" t="b">
        <v>0</v>
      </c>
      <c r="S82" s="236" t="b">
        <v>0</v>
      </c>
      <c r="T82" s="236" t="b">
        <v>0</v>
      </c>
      <c r="U82" s="236" t="b">
        <v>1</v>
      </c>
      <c r="V82" s="236" t="b">
        <v>0</v>
      </c>
      <c r="W82" s="236" t="b">
        <v>0</v>
      </c>
      <c r="X82" s="236" t="b">
        <v>1</v>
      </c>
      <c r="Y82" s="236" t="b">
        <v>1</v>
      </c>
      <c r="Z82" s="236" t="b">
        <v>1</v>
      </c>
      <c r="AA82" s="236" t="b">
        <v>0</v>
      </c>
      <c r="AB82" s="236" t="b">
        <v>1</v>
      </c>
      <c r="AC82" s="236" t="b">
        <v>0</v>
      </c>
      <c r="AD82" s="256" t="str">
        <f t="shared" si="0"/>
        <v>Đủ điều kiện</v>
      </c>
      <c r="AE82" s="287"/>
      <c r="AF82" s="317"/>
    </row>
    <row r="83" spans="1:32">
      <c r="A83" s="256">
        <f>ROWS($B$5:B81)</f>
        <v>77</v>
      </c>
      <c r="B83" s="256">
        <v>5284</v>
      </c>
      <c r="C83" s="256" t="s">
        <v>847</v>
      </c>
      <c r="D83" s="256" t="s">
        <v>1903</v>
      </c>
      <c r="E83" s="256" t="s">
        <v>154</v>
      </c>
      <c r="F83" s="290"/>
      <c r="G83" s="236" t="b">
        <v>0</v>
      </c>
      <c r="H83" s="236" t="b">
        <v>0</v>
      </c>
      <c r="I83" s="236" t="b">
        <v>0</v>
      </c>
      <c r="J83" s="236" t="b">
        <v>1</v>
      </c>
      <c r="K83" s="236" t="b">
        <v>0</v>
      </c>
      <c r="L83" s="236" t="b">
        <v>0</v>
      </c>
      <c r="M83" s="236" t="b">
        <v>0</v>
      </c>
      <c r="N83" s="236" t="b">
        <v>1</v>
      </c>
      <c r="O83" s="236" t="b">
        <v>0</v>
      </c>
      <c r="P83" s="236" t="b">
        <v>0</v>
      </c>
      <c r="Q83" s="236" t="b">
        <v>1</v>
      </c>
      <c r="R83" s="236" t="b">
        <v>0</v>
      </c>
      <c r="S83" s="236" t="b">
        <v>0</v>
      </c>
      <c r="T83" s="236" t="b">
        <v>0</v>
      </c>
      <c r="U83" s="236" t="b">
        <v>0</v>
      </c>
      <c r="V83" s="236" t="b">
        <v>0</v>
      </c>
      <c r="W83" s="236" t="b">
        <v>0</v>
      </c>
      <c r="X83" s="236" t="b">
        <v>0</v>
      </c>
      <c r="Y83" s="236" t="b">
        <v>0</v>
      </c>
      <c r="Z83" s="236" t="b">
        <v>0</v>
      </c>
      <c r="AA83" s="236" t="b">
        <v>0</v>
      </c>
      <c r="AB83" s="236" t="b">
        <v>1</v>
      </c>
      <c r="AC83" s="236" t="b">
        <v>0</v>
      </c>
      <c r="AD83" s="256" t="str">
        <f t="shared" si="0"/>
        <v>Đủ điều kiện</v>
      </c>
      <c r="AE83" s="287"/>
      <c r="AF83" s="317"/>
    </row>
    <row r="84" spans="1:32">
      <c r="A84" s="256">
        <f>ROWS($B$5:B82)</f>
        <v>78</v>
      </c>
      <c r="B84" s="256">
        <v>5304</v>
      </c>
      <c r="C84" s="256" t="s">
        <v>1940</v>
      </c>
      <c r="D84" s="256" t="s">
        <v>1903</v>
      </c>
      <c r="E84" s="256" t="s">
        <v>154</v>
      </c>
      <c r="F84" s="290"/>
      <c r="G84" s="236" t="b">
        <v>0</v>
      </c>
      <c r="H84" s="236" t="b">
        <v>0</v>
      </c>
      <c r="I84" s="236" t="b">
        <v>0</v>
      </c>
      <c r="J84" s="236" t="b">
        <v>1</v>
      </c>
      <c r="K84" s="236" t="b">
        <v>0</v>
      </c>
      <c r="L84" s="236" t="b">
        <v>0</v>
      </c>
      <c r="M84" s="236" t="b">
        <v>0</v>
      </c>
      <c r="N84" s="236" t="b">
        <v>1</v>
      </c>
      <c r="O84" s="236" t="b">
        <v>0</v>
      </c>
      <c r="P84" s="236" t="b">
        <v>0</v>
      </c>
      <c r="Q84" s="236" t="b">
        <v>0</v>
      </c>
      <c r="R84" s="236" t="b">
        <v>0</v>
      </c>
      <c r="S84" s="236" t="b">
        <v>0</v>
      </c>
      <c r="T84" s="236" t="b">
        <v>0</v>
      </c>
      <c r="U84" s="236" t="b">
        <v>0</v>
      </c>
      <c r="V84" s="236" t="b">
        <v>0</v>
      </c>
      <c r="W84" s="236" t="b">
        <v>0</v>
      </c>
      <c r="X84" s="236" t="b">
        <v>0</v>
      </c>
      <c r="Y84" s="236" t="b">
        <v>0</v>
      </c>
      <c r="Z84" s="236" t="b">
        <v>0</v>
      </c>
      <c r="AA84" s="236" t="b">
        <v>0</v>
      </c>
      <c r="AB84" s="236" t="b">
        <v>0</v>
      </c>
      <c r="AC84" s="236" t="b">
        <v>0</v>
      </c>
      <c r="AD84" s="256" t="str">
        <f t="shared" si="0"/>
        <v>Đủ điều kiện</v>
      </c>
      <c r="AE84" s="287"/>
      <c r="AF84" s="317"/>
    </row>
    <row r="85" spans="1:32">
      <c r="A85" s="256">
        <f>ROWS($B$5:B83)</f>
        <v>79</v>
      </c>
      <c r="B85" s="256">
        <v>5358</v>
      </c>
      <c r="C85" s="256" t="s">
        <v>1941</v>
      </c>
      <c r="D85" s="256" t="s">
        <v>1903</v>
      </c>
      <c r="E85" s="256" t="s">
        <v>154</v>
      </c>
      <c r="F85" s="290"/>
      <c r="G85" s="236" t="b">
        <v>0</v>
      </c>
      <c r="H85" s="236" t="b">
        <v>0</v>
      </c>
      <c r="I85" s="236" t="b">
        <v>0</v>
      </c>
      <c r="J85" s="236" t="b">
        <v>1</v>
      </c>
      <c r="K85" s="236" t="b">
        <v>0</v>
      </c>
      <c r="L85" s="236" t="b">
        <v>0</v>
      </c>
      <c r="M85" s="236" t="b">
        <v>0</v>
      </c>
      <c r="N85" s="236" t="b">
        <v>1</v>
      </c>
      <c r="O85" s="236" t="b">
        <v>0</v>
      </c>
      <c r="P85" s="236" t="b">
        <v>0</v>
      </c>
      <c r="Q85" s="236" t="b">
        <v>1</v>
      </c>
      <c r="R85" s="236" t="b">
        <v>0</v>
      </c>
      <c r="S85" s="236" t="b">
        <v>0</v>
      </c>
      <c r="T85" s="236" t="b">
        <v>0</v>
      </c>
      <c r="U85" s="236" t="b">
        <v>1</v>
      </c>
      <c r="V85" s="236" t="b">
        <v>0</v>
      </c>
      <c r="W85" s="236" t="b">
        <v>0</v>
      </c>
      <c r="X85" s="236" t="b">
        <v>0</v>
      </c>
      <c r="Y85" s="236" t="b">
        <v>0</v>
      </c>
      <c r="Z85" s="236" t="b">
        <v>0</v>
      </c>
      <c r="AA85" s="236" t="b">
        <v>0</v>
      </c>
      <c r="AB85" s="236" t="b">
        <v>1</v>
      </c>
      <c r="AC85" s="236" t="b">
        <v>0</v>
      </c>
      <c r="AD85" s="256" t="str">
        <f t="shared" si="0"/>
        <v>Đủ điều kiện</v>
      </c>
      <c r="AE85" s="287"/>
      <c r="AF85" s="317"/>
    </row>
    <row r="86" spans="1:32">
      <c r="A86" s="256">
        <f>ROWS($B$5:B84)</f>
        <v>80</v>
      </c>
      <c r="B86" s="256">
        <v>5360</v>
      </c>
      <c r="C86" s="256" t="s">
        <v>210</v>
      </c>
      <c r="D86" s="256" t="s">
        <v>1903</v>
      </c>
      <c r="E86" s="256" t="s">
        <v>154</v>
      </c>
      <c r="F86" s="290"/>
      <c r="G86" s="236" t="b">
        <v>0</v>
      </c>
      <c r="H86" s="236" t="b">
        <v>0</v>
      </c>
      <c r="I86" s="236" t="b">
        <v>0</v>
      </c>
      <c r="J86" s="236" t="b">
        <v>1</v>
      </c>
      <c r="K86" s="236" t="b">
        <v>0</v>
      </c>
      <c r="L86" s="236" t="b">
        <v>0</v>
      </c>
      <c r="M86" s="236" t="b">
        <v>0</v>
      </c>
      <c r="N86" s="236" t="b">
        <v>0</v>
      </c>
      <c r="O86" s="236" t="b">
        <v>0</v>
      </c>
      <c r="P86" s="236" t="b">
        <v>0</v>
      </c>
      <c r="Q86" s="236" t="b">
        <v>0</v>
      </c>
      <c r="R86" s="236" t="b">
        <v>0</v>
      </c>
      <c r="S86" s="236" t="b">
        <v>0</v>
      </c>
      <c r="T86" s="236" t="b">
        <v>0</v>
      </c>
      <c r="U86" s="236" t="b">
        <v>1</v>
      </c>
      <c r="V86" s="236" t="b">
        <v>0</v>
      </c>
      <c r="W86" s="236" t="b">
        <v>0</v>
      </c>
      <c r="X86" s="236" t="b">
        <v>0</v>
      </c>
      <c r="Y86" s="236" t="b">
        <v>0</v>
      </c>
      <c r="Z86" s="236" t="b">
        <v>0</v>
      </c>
      <c r="AA86" s="236" t="b">
        <v>0</v>
      </c>
      <c r="AB86" s="236" t="b">
        <v>1</v>
      </c>
      <c r="AC86" s="236" t="b">
        <v>0</v>
      </c>
      <c r="AD86" s="256" t="str">
        <f t="shared" si="0"/>
        <v>Đủ điều kiện</v>
      </c>
      <c r="AE86" s="287"/>
      <c r="AF86" s="317"/>
    </row>
    <row r="87" spans="1:32">
      <c r="A87" s="256">
        <f>ROWS($B$5:B85)</f>
        <v>81</v>
      </c>
      <c r="B87" s="256">
        <v>5361</v>
      </c>
      <c r="C87" s="256" t="s">
        <v>905</v>
      </c>
      <c r="D87" s="256" t="s">
        <v>1903</v>
      </c>
      <c r="E87" s="256" t="s">
        <v>154</v>
      </c>
      <c r="F87" s="290"/>
      <c r="G87" s="236" t="b">
        <v>0</v>
      </c>
      <c r="H87" s="236" t="b">
        <v>0</v>
      </c>
      <c r="I87" s="236" t="b">
        <v>0</v>
      </c>
      <c r="J87" s="236" t="b">
        <v>1</v>
      </c>
      <c r="K87" s="236" t="b">
        <v>0</v>
      </c>
      <c r="L87" s="236" t="b">
        <v>0</v>
      </c>
      <c r="M87" s="236" t="b">
        <v>0</v>
      </c>
      <c r="N87" s="236" t="b">
        <v>1</v>
      </c>
      <c r="O87" s="236" t="b">
        <v>0</v>
      </c>
      <c r="P87" s="236" t="b">
        <v>0</v>
      </c>
      <c r="Q87" s="236" t="b">
        <v>0</v>
      </c>
      <c r="R87" s="236" t="b">
        <v>0</v>
      </c>
      <c r="S87" s="236" t="b">
        <v>0</v>
      </c>
      <c r="T87" s="236" t="b">
        <v>0</v>
      </c>
      <c r="U87" s="236" t="b">
        <v>1</v>
      </c>
      <c r="V87" s="236" t="b">
        <v>0</v>
      </c>
      <c r="W87" s="236" t="b">
        <v>0</v>
      </c>
      <c r="X87" s="236" t="b">
        <v>1</v>
      </c>
      <c r="Y87" s="236" t="b">
        <v>1</v>
      </c>
      <c r="Z87" s="236" t="b">
        <v>1</v>
      </c>
      <c r="AA87" s="236" t="b">
        <v>0</v>
      </c>
      <c r="AB87" s="236" t="b">
        <v>1</v>
      </c>
      <c r="AC87" s="236" t="b">
        <v>0</v>
      </c>
      <c r="AD87" s="256" t="str">
        <f t="shared" si="0"/>
        <v>Đủ điều kiện</v>
      </c>
      <c r="AE87" s="287"/>
      <c r="AF87" s="317"/>
    </row>
    <row r="88" spans="1:32">
      <c r="A88" s="256">
        <f>ROWS($B$5:B86)</f>
        <v>82</v>
      </c>
      <c r="B88" s="256">
        <v>5363</v>
      </c>
      <c r="C88" s="256" t="s">
        <v>1942</v>
      </c>
      <c r="D88" s="256" t="s">
        <v>1903</v>
      </c>
      <c r="E88" s="256" t="s">
        <v>154</v>
      </c>
      <c r="F88" s="290"/>
      <c r="G88" s="236" t="b">
        <v>0</v>
      </c>
      <c r="H88" s="236" t="b">
        <v>0</v>
      </c>
      <c r="I88" s="236" t="b">
        <v>0</v>
      </c>
      <c r="J88" s="236" t="b">
        <v>1</v>
      </c>
      <c r="K88" s="236" t="b">
        <v>0</v>
      </c>
      <c r="L88" s="236" t="b">
        <v>0</v>
      </c>
      <c r="M88" s="236" t="b">
        <v>0</v>
      </c>
      <c r="N88" s="236" t="b">
        <v>0</v>
      </c>
      <c r="O88" s="236" t="b">
        <v>0</v>
      </c>
      <c r="P88" s="236" t="b">
        <v>0</v>
      </c>
      <c r="Q88" s="236" t="b">
        <v>0</v>
      </c>
      <c r="R88" s="236" t="b">
        <v>0</v>
      </c>
      <c r="S88" s="236" t="b">
        <v>0</v>
      </c>
      <c r="T88" s="236" t="b">
        <v>0</v>
      </c>
      <c r="U88" s="236" t="b">
        <v>1</v>
      </c>
      <c r="V88" s="236" t="b">
        <v>0</v>
      </c>
      <c r="W88" s="236" t="b">
        <v>0</v>
      </c>
      <c r="X88" s="236" t="b">
        <v>0</v>
      </c>
      <c r="Y88" s="236" t="b">
        <v>0</v>
      </c>
      <c r="Z88" s="236" t="b">
        <v>0</v>
      </c>
      <c r="AA88" s="236" t="b">
        <v>0</v>
      </c>
      <c r="AB88" s="236" t="b">
        <v>1</v>
      </c>
      <c r="AC88" s="236" t="b">
        <v>0</v>
      </c>
      <c r="AD88" s="256" t="str">
        <f t="shared" si="0"/>
        <v>Đủ điều kiện</v>
      </c>
      <c r="AE88" s="287"/>
      <c r="AF88" s="317"/>
    </row>
    <row r="89" spans="1:32">
      <c r="A89" s="256">
        <f>ROWS($B$5:B87)</f>
        <v>83</v>
      </c>
      <c r="B89" s="256">
        <v>40625</v>
      </c>
      <c r="C89" s="256" t="s">
        <v>1943</v>
      </c>
      <c r="D89" s="256" t="s">
        <v>1907</v>
      </c>
      <c r="E89" s="256" t="s">
        <v>154</v>
      </c>
      <c r="F89" s="290"/>
      <c r="G89" s="236" t="b">
        <v>0</v>
      </c>
      <c r="H89" s="236" t="b">
        <v>0</v>
      </c>
      <c r="I89" s="236" t="b">
        <v>0</v>
      </c>
      <c r="J89" s="236" t="b">
        <v>0</v>
      </c>
      <c r="K89" s="236" t="b">
        <v>0</v>
      </c>
      <c r="L89" s="236" t="b">
        <v>0</v>
      </c>
      <c r="M89" s="236" t="b">
        <v>0</v>
      </c>
      <c r="N89" s="236" t="b">
        <v>0</v>
      </c>
      <c r="O89" s="236" t="b">
        <v>0</v>
      </c>
      <c r="P89" s="236" t="b">
        <v>0</v>
      </c>
      <c r="Q89" s="236" t="b">
        <v>0</v>
      </c>
      <c r="R89" s="236" t="b">
        <v>0</v>
      </c>
      <c r="S89" s="236" t="b">
        <v>0</v>
      </c>
      <c r="T89" s="236" t="b">
        <v>0</v>
      </c>
      <c r="U89" s="236" t="b">
        <v>0</v>
      </c>
      <c r="V89" s="236" t="b">
        <v>0</v>
      </c>
      <c r="W89" s="236" t="b">
        <v>0</v>
      </c>
      <c r="X89" s="236" t="b">
        <v>0</v>
      </c>
      <c r="Y89" s="236" t="b">
        <v>0</v>
      </c>
      <c r="Z89" s="236" t="b">
        <v>0</v>
      </c>
      <c r="AA89" s="236" t="b">
        <v>0</v>
      </c>
      <c r="AB89" s="236" t="b">
        <v>0</v>
      </c>
      <c r="AC89" s="236" t="b">
        <v>0</v>
      </c>
      <c r="AD89" s="256" t="str">
        <f t="shared" si="0"/>
        <v>Thiếu chứng nhận</v>
      </c>
      <c r="AE89" s="287"/>
      <c r="AF89" s="317"/>
    </row>
    <row r="90" spans="1:32">
      <c r="A90" s="256">
        <f>ROWS($B$5:B88)</f>
        <v>84</v>
      </c>
      <c r="B90" s="256">
        <v>39987</v>
      </c>
      <c r="C90" s="256" t="s">
        <v>1944</v>
      </c>
      <c r="D90" s="256" t="s">
        <v>1907</v>
      </c>
      <c r="E90" s="256" t="s">
        <v>154</v>
      </c>
      <c r="F90" s="290"/>
      <c r="G90" s="236" t="b">
        <v>0</v>
      </c>
      <c r="H90" s="236" t="b">
        <v>0</v>
      </c>
      <c r="I90" s="236" t="b">
        <v>0</v>
      </c>
      <c r="J90" s="236" t="b">
        <v>1</v>
      </c>
      <c r="K90" s="236" t="b">
        <v>0</v>
      </c>
      <c r="L90" s="236" t="b">
        <v>0</v>
      </c>
      <c r="M90" s="236" t="b">
        <v>0</v>
      </c>
      <c r="N90" s="236" t="b">
        <v>1</v>
      </c>
      <c r="O90" s="236" t="b">
        <v>1</v>
      </c>
      <c r="P90" s="236" t="b">
        <v>1</v>
      </c>
      <c r="Q90" s="236" t="b">
        <v>1</v>
      </c>
      <c r="R90" s="236" t="b">
        <v>1</v>
      </c>
      <c r="S90" s="236" t="b">
        <v>1</v>
      </c>
      <c r="T90" s="236" t="b">
        <v>1</v>
      </c>
      <c r="U90" s="236" t="b">
        <v>1</v>
      </c>
      <c r="V90" s="236" t="b">
        <v>1</v>
      </c>
      <c r="W90" s="236" t="b">
        <v>1</v>
      </c>
      <c r="X90" s="236" t="b">
        <v>0</v>
      </c>
      <c r="Y90" s="236" t="b">
        <v>0</v>
      </c>
      <c r="Z90" s="236" t="b">
        <v>0</v>
      </c>
      <c r="AA90" s="236" t="b">
        <v>0</v>
      </c>
      <c r="AB90" s="236" t="b">
        <v>0</v>
      </c>
      <c r="AC90" s="236" t="b">
        <v>0</v>
      </c>
      <c r="AD90" s="256" t="str">
        <f t="shared" si="0"/>
        <v>Đủ điều kiện</v>
      </c>
      <c r="AE90" s="287"/>
      <c r="AF90" s="317"/>
    </row>
    <row r="91" spans="1:32">
      <c r="A91" s="256">
        <f>ROWS($B$5:B89)</f>
        <v>85</v>
      </c>
      <c r="B91" s="256">
        <v>39994</v>
      </c>
      <c r="C91" s="256" t="s">
        <v>1945</v>
      </c>
      <c r="D91" s="256" t="s">
        <v>1907</v>
      </c>
      <c r="E91" s="256" t="s">
        <v>154</v>
      </c>
      <c r="F91" s="290"/>
      <c r="G91" s="236" t="b">
        <v>0</v>
      </c>
      <c r="H91" s="236" t="b">
        <v>0</v>
      </c>
      <c r="I91" s="236" t="b">
        <v>0</v>
      </c>
      <c r="J91" s="236" t="b">
        <v>1</v>
      </c>
      <c r="K91" s="236" t="b">
        <v>0</v>
      </c>
      <c r="L91" s="236" t="b">
        <v>0</v>
      </c>
      <c r="M91" s="236" t="b">
        <v>0</v>
      </c>
      <c r="N91" s="236" t="b">
        <v>1</v>
      </c>
      <c r="O91" s="236" t="b">
        <v>1</v>
      </c>
      <c r="P91" s="236" t="b">
        <v>1</v>
      </c>
      <c r="Q91" s="236" t="b">
        <v>1</v>
      </c>
      <c r="R91" s="236" t="b">
        <v>1</v>
      </c>
      <c r="S91" s="236" t="b">
        <v>1</v>
      </c>
      <c r="T91" s="236" t="b">
        <v>1</v>
      </c>
      <c r="U91" s="236" t="b">
        <v>1</v>
      </c>
      <c r="V91" s="236" t="b">
        <v>1</v>
      </c>
      <c r="W91" s="236" t="b">
        <v>1</v>
      </c>
      <c r="X91" s="236" t="b">
        <v>0</v>
      </c>
      <c r="Y91" s="236" t="b">
        <v>0</v>
      </c>
      <c r="Z91" s="236" t="b">
        <v>0</v>
      </c>
      <c r="AA91" s="236" t="b">
        <v>0</v>
      </c>
      <c r="AB91" s="236" t="b">
        <v>0</v>
      </c>
      <c r="AC91" s="236" t="b">
        <v>0</v>
      </c>
      <c r="AD91" s="256" t="str">
        <f t="shared" si="0"/>
        <v>Đủ điều kiện</v>
      </c>
      <c r="AE91" s="287"/>
      <c r="AF91" s="317"/>
    </row>
    <row r="92" spans="1:32">
      <c r="A92" s="256">
        <f>ROWS($B$5:B90)</f>
        <v>86</v>
      </c>
      <c r="B92" s="256">
        <v>40005</v>
      </c>
      <c r="C92" s="256" t="s">
        <v>1946</v>
      </c>
      <c r="D92" s="256" t="s">
        <v>1907</v>
      </c>
      <c r="E92" s="256" t="s">
        <v>154</v>
      </c>
      <c r="F92" s="290"/>
      <c r="G92" s="236" t="b">
        <v>0</v>
      </c>
      <c r="H92" s="236" t="b">
        <v>0</v>
      </c>
      <c r="I92" s="236" t="b">
        <v>0</v>
      </c>
      <c r="J92" s="236" t="b">
        <v>1</v>
      </c>
      <c r="K92" s="236" t="b">
        <v>0</v>
      </c>
      <c r="L92" s="236" t="b">
        <v>0</v>
      </c>
      <c r="M92" s="236" t="b">
        <v>0</v>
      </c>
      <c r="N92" s="236" t="b">
        <v>1</v>
      </c>
      <c r="O92" s="236" t="b">
        <v>0</v>
      </c>
      <c r="P92" s="236" t="b">
        <v>0</v>
      </c>
      <c r="Q92" s="236" t="b">
        <v>1</v>
      </c>
      <c r="R92" s="236" t="b">
        <v>0</v>
      </c>
      <c r="S92" s="236" t="b">
        <v>0</v>
      </c>
      <c r="T92" s="236" t="b">
        <v>0</v>
      </c>
      <c r="U92" s="236" t="b">
        <v>0</v>
      </c>
      <c r="V92" s="236" t="b">
        <v>0</v>
      </c>
      <c r="W92" s="236" t="b">
        <v>0</v>
      </c>
      <c r="X92" s="236" t="b">
        <v>0</v>
      </c>
      <c r="Y92" s="236" t="b">
        <v>0</v>
      </c>
      <c r="Z92" s="236" t="b">
        <v>0</v>
      </c>
      <c r="AA92" s="236" t="b">
        <v>0</v>
      </c>
      <c r="AB92" s="236" t="b">
        <v>0</v>
      </c>
      <c r="AC92" s="236" t="b">
        <v>0</v>
      </c>
      <c r="AD92" s="256" t="str">
        <f t="shared" si="0"/>
        <v>Đủ điều kiện</v>
      </c>
      <c r="AE92" s="287"/>
      <c r="AF92" s="317"/>
    </row>
    <row r="93" spans="1:32">
      <c r="A93" s="256">
        <f>ROWS($B$5:B91)</f>
        <v>87</v>
      </c>
      <c r="B93" s="256">
        <v>40045</v>
      </c>
      <c r="C93" s="256" t="s">
        <v>1947</v>
      </c>
      <c r="D93" s="256" t="s">
        <v>1907</v>
      </c>
      <c r="E93" s="256" t="s">
        <v>154</v>
      </c>
      <c r="F93" s="290"/>
      <c r="G93" s="236" t="b">
        <v>0</v>
      </c>
      <c r="H93" s="236" t="b">
        <v>0</v>
      </c>
      <c r="I93" s="236" t="b">
        <v>0</v>
      </c>
      <c r="J93" s="236" t="b">
        <v>1</v>
      </c>
      <c r="K93" s="236" t="b">
        <v>0</v>
      </c>
      <c r="L93" s="236" t="b">
        <v>0</v>
      </c>
      <c r="M93" s="236" t="b">
        <v>0</v>
      </c>
      <c r="N93" s="236" t="b">
        <v>1</v>
      </c>
      <c r="O93" s="236" t="b">
        <v>1</v>
      </c>
      <c r="P93" s="236" t="b">
        <v>1</v>
      </c>
      <c r="Q93" s="236" t="b">
        <v>1</v>
      </c>
      <c r="R93" s="236" t="b">
        <v>1</v>
      </c>
      <c r="S93" s="236" t="b">
        <v>1</v>
      </c>
      <c r="T93" s="236" t="b">
        <v>1</v>
      </c>
      <c r="U93" s="236" t="b">
        <v>1</v>
      </c>
      <c r="V93" s="236" t="b">
        <v>1</v>
      </c>
      <c r="W93" s="236" t="b">
        <v>1</v>
      </c>
      <c r="X93" s="236" t="b">
        <v>0</v>
      </c>
      <c r="Y93" s="236" t="b">
        <v>0</v>
      </c>
      <c r="Z93" s="236" t="b">
        <v>0</v>
      </c>
      <c r="AA93" s="236" t="b">
        <v>0</v>
      </c>
      <c r="AB93" s="236" t="b">
        <v>0</v>
      </c>
      <c r="AC93" s="236" t="b">
        <v>0</v>
      </c>
      <c r="AD93" s="256" t="str">
        <f t="shared" si="0"/>
        <v>Đủ điều kiện</v>
      </c>
      <c r="AE93" s="287"/>
      <c r="AF93" s="317"/>
    </row>
    <row r="94" spans="1:32">
      <c r="A94" s="256">
        <f>ROWS($B$5:B92)</f>
        <v>88</v>
      </c>
      <c r="B94" s="256">
        <v>40147</v>
      </c>
      <c r="C94" s="256" t="s">
        <v>709</v>
      </c>
      <c r="D94" s="256" t="s">
        <v>1907</v>
      </c>
      <c r="E94" s="256" t="s">
        <v>154</v>
      </c>
      <c r="F94" s="290"/>
      <c r="G94" s="236" t="b">
        <v>0</v>
      </c>
      <c r="H94" s="236" t="b">
        <v>0</v>
      </c>
      <c r="I94" s="236" t="b">
        <v>0</v>
      </c>
      <c r="J94" s="236" t="b">
        <v>0</v>
      </c>
      <c r="K94" s="236" t="b">
        <v>1</v>
      </c>
      <c r="L94" s="236" t="b">
        <v>0</v>
      </c>
      <c r="M94" s="236" t="b">
        <v>0</v>
      </c>
      <c r="N94" s="236" t="b">
        <v>1</v>
      </c>
      <c r="O94" s="236" t="b">
        <v>0</v>
      </c>
      <c r="P94" s="236" t="b">
        <v>0</v>
      </c>
      <c r="Q94" s="236" t="b">
        <v>1</v>
      </c>
      <c r="R94" s="236" t="b">
        <v>0</v>
      </c>
      <c r="S94" s="236" t="b">
        <v>0</v>
      </c>
      <c r="T94" s="236" t="b">
        <v>0</v>
      </c>
      <c r="U94" s="236" t="b">
        <v>0</v>
      </c>
      <c r="V94" s="236" t="b">
        <v>0</v>
      </c>
      <c r="W94" s="236" t="b">
        <v>0</v>
      </c>
      <c r="X94" s="236" t="b">
        <v>0</v>
      </c>
      <c r="Y94" s="236" t="b">
        <v>0</v>
      </c>
      <c r="Z94" s="236" t="b">
        <v>0</v>
      </c>
      <c r="AA94" s="236" t="b">
        <v>0</v>
      </c>
      <c r="AB94" s="236" t="b">
        <v>0</v>
      </c>
      <c r="AC94" s="236" t="b">
        <v>0</v>
      </c>
      <c r="AD94" s="256" t="str">
        <f t="shared" si="0"/>
        <v>Đủ điều kiện</v>
      </c>
      <c r="AE94" s="287"/>
      <c r="AF94" s="317"/>
    </row>
    <row r="95" spans="1:32">
      <c r="A95" s="256">
        <f>ROWS($B$5:B93)</f>
        <v>89</v>
      </c>
      <c r="B95" s="256">
        <v>40163</v>
      </c>
      <c r="C95" s="256" t="s">
        <v>1948</v>
      </c>
      <c r="D95" s="256" t="s">
        <v>1907</v>
      </c>
      <c r="E95" s="256" t="s">
        <v>154</v>
      </c>
      <c r="F95" s="290"/>
      <c r="G95" s="236" t="b">
        <v>0</v>
      </c>
      <c r="H95" s="236" t="b">
        <v>0</v>
      </c>
      <c r="I95" s="236" t="b">
        <v>0</v>
      </c>
      <c r="J95" s="236" t="b">
        <v>1</v>
      </c>
      <c r="K95" s="236" t="b">
        <v>0</v>
      </c>
      <c r="L95" s="236" t="b">
        <v>0</v>
      </c>
      <c r="M95" s="236" t="b">
        <v>0</v>
      </c>
      <c r="N95" s="236" t="b">
        <v>0</v>
      </c>
      <c r="O95" s="236" t="b">
        <v>0</v>
      </c>
      <c r="P95" s="236" t="b">
        <v>0</v>
      </c>
      <c r="Q95" s="236" t="b">
        <v>0</v>
      </c>
      <c r="R95" s="236" t="b">
        <v>0</v>
      </c>
      <c r="S95" s="236" t="b">
        <v>0</v>
      </c>
      <c r="T95" s="236" t="b">
        <v>0</v>
      </c>
      <c r="U95" s="236" t="b">
        <v>0</v>
      </c>
      <c r="V95" s="236" t="b">
        <v>0</v>
      </c>
      <c r="W95" s="236" t="b">
        <v>0</v>
      </c>
      <c r="X95" s="236" t="b">
        <v>0</v>
      </c>
      <c r="Y95" s="236" t="b">
        <v>0</v>
      </c>
      <c r="Z95" s="236" t="b">
        <v>0</v>
      </c>
      <c r="AA95" s="236" t="b">
        <v>0</v>
      </c>
      <c r="AB95" s="236" t="b">
        <v>1</v>
      </c>
      <c r="AC95" s="236" t="b">
        <v>0</v>
      </c>
      <c r="AD95" s="256" t="str">
        <f t="shared" si="0"/>
        <v>Đủ điều kiện</v>
      </c>
      <c r="AE95" s="287"/>
      <c r="AF95" s="317"/>
    </row>
    <row r="96" spans="1:32">
      <c r="A96" s="256">
        <f>ROWS($B$5:B94)</f>
        <v>90</v>
      </c>
      <c r="B96" s="256">
        <v>40194</v>
      </c>
      <c r="C96" s="256" t="s">
        <v>1949</v>
      </c>
      <c r="D96" s="256" t="s">
        <v>1907</v>
      </c>
      <c r="E96" s="256" t="s">
        <v>154</v>
      </c>
      <c r="F96" s="290"/>
      <c r="G96" s="236" t="b">
        <v>0</v>
      </c>
      <c r="H96" s="236" t="b">
        <v>0</v>
      </c>
      <c r="I96" s="236" t="b">
        <v>0</v>
      </c>
      <c r="J96" s="236" t="b">
        <v>0</v>
      </c>
      <c r="K96" s="236" t="b">
        <v>0</v>
      </c>
      <c r="L96" s="236" t="b">
        <v>0</v>
      </c>
      <c r="M96" s="236" t="b">
        <v>0</v>
      </c>
      <c r="N96" s="236" t="b">
        <v>0</v>
      </c>
      <c r="O96" s="236" t="b">
        <v>0</v>
      </c>
      <c r="P96" s="236" t="b">
        <v>0</v>
      </c>
      <c r="Q96" s="236" t="b">
        <v>0</v>
      </c>
      <c r="R96" s="236" t="b">
        <v>0</v>
      </c>
      <c r="S96" s="236" t="b">
        <v>0</v>
      </c>
      <c r="T96" s="236" t="b">
        <v>0</v>
      </c>
      <c r="U96" s="236" t="b">
        <v>0</v>
      </c>
      <c r="V96" s="236" t="b">
        <v>0</v>
      </c>
      <c r="W96" s="236" t="b">
        <v>0</v>
      </c>
      <c r="X96" s="236" t="b">
        <v>0</v>
      </c>
      <c r="Y96" s="236" t="b">
        <v>0</v>
      </c>
      <c r="Z96" s="236" t="b">
        <v>0</v>
      </c>
      <c r="AA96" s="236" t="b">
        <v>0</v>
      </c>
      <c r="AB96" s="236" t="b">
        <v>0</v>
      </c>
      <c r="AC96" s="236" t="b">
        <v>0</v>
      </c>
      <c r="AD96" s="256" t="str">
        <f t="shared" si="0"/>
        <v>Thiếu chứng nhận</v>
      </c>
      <c r="AE96" s="287"/>
      <c r="AF96" s="317"/>
    </row>
    <row r="97" spans="1:32">
      <c r="A97" s="256">
        <f>ROWS($B$5:B95)</f>
        <v>91</v>
      </c>
      <c r="B97" s="256">
        <v>40316</v>
      </c>
      <c r="C97" s="256" t="s">
        <v>842</v>
      </c>
      <c r="D97" s="256" t="s">
        <v>1907</v>
      </c>
      <c r="E97" s="256" t="s">
        <v>154</v>
      </c>
      <c r="F97" s="290"/>
      <c r="G97" s="236" t="b">
        <v>0</v>
      </c>
      <c r="H97" s="236" t="b">
        <v>0</v>
      </c>
      <c r="I97" s="236" t="b">
        <v>0</v>
      </c>
      <c r="J97" s="236" t="b">
        <v>0</v>
      </c>
      <c r="K97" s="236" t="b">
        <v>0</v>
      </c>
      <c r="L97" s="236" t="b">
        <v>0</v>
      </c>
      <c r="M97" s="236" t="b">
        <v>0</v>
      </c>
      <c r="N97" s="236" t="b">
        <v>0</v>
      </c>
      <c r="O97" s="236" t="b">
        <v>0</v>
      </c>
      <c r="P97" s="236" t="b">
        <v>0</v>
      </c>
      <c r="Q97" s="236" t="b">
        <v>0</v>
      </c>
      <c r="R97" s="236" t="b">
        <v>0</v>
      </c>
      <c r="S97" s="236" t="b">
        <v>0</v>
      </c>
      <c r="T97" s="236" t="b">
        <v>0</v>
      </c>
      <c r="U97" s="236" t="b">
        <v>0</v>
      </c>
      <c r="V97" s="236" t="b">
        <v>0</v>
      </c>
      <c r="W97" s="236" t="b">
        <v>0</v>
      </c>
      <c r="X97" s="236" t="b">
        <v>0</v>
      </c>
      <c r="Y97" s="236" t="b">
        <v>0</v>
      </c>
      <c r="Z97" s="236" t="b">
        <v>0</v>
      </c>
      <c r="AA97" s="236" t="b">
        <v>0</v>
      </c>
      <c r="AB97" s="236" t="b">
        <v>0</v>
      </c>
      <c r="AC97" s="236" t="b">
        <v>0</v>
      </c>
      <c r="AD97" s="256" t="str">
        <f t="shared" si="0"/>
        <v>Thiếu chứng nhận</v>
      </c>
      <c r="AE97" s="287"/>
      <c r="AF97" s="317"/>
    </row>
    <row r="98" spans="1:32">
      <c r="A98" s="256">
        <f>ROWS($B$5:B96)</f>
        <v>92</v>
      </c>
      <c r="B98" s="256">
        <v>40385</v>
      </c>
      <c r="C98" s="256" t="s">
        <v>848</v>
      </c>
      <c r="D98" s="256" t="s">
        <v>1907</v>
      </c>
      <c r="E98" s="256" t="s">
        <v>154</v>
      </c>
      <c r="F98" s="290"/>
      <c r="G98" s="236" t="b">
        <v>0</v>
      </c>
      <c r="H98" s="236" t="b">
        <v>0</v>
      </c>
      <c r="I98" s="236" t="b">
        <v>0</v>
      </c>
      <c r="J98" s="236" t="b">
        <v>0</v>
      </c>
      <c r="K98" s="236" t="b">
        <v>0</v>
      </c>
      <c r="L98" s="236" t="b">
        <v>0</v>
      </c>
      <c r="M98" s="236" t="b">
        <v>0</v>
      </c>
      <c r="N98" s="236" t="b">
        <v>0</v>
      </c>
      <c r="O98" s="236" t="b">
        <v>0</v>
      </c>
      <c r="P98" s="236" t="b">
        <v>0</v>
      </c>
      <c r="Q98" s="236" t="b">
        <v>0</v>
      </c>
      <c r="R98" s="236" t="b">
        <v>0</v>
      </c>
      <c r="S98" s="236" t="b">
        <v>0</v>
      </c>
      <c r="T98" s="236" t="b">
        <v>0</v>
      </c>
      <c r="U98" s="236" t="b">
        <v>0</v>
      </c>
      <c r="V98" s="236" t="b">
        <v>0</v>
      </c>
      <c r="W98" s="236" t="b">
        <v>0</v>
      </c>
      <c r="X98" s="236" t="b">
        <v>0</v>
      </c>
      <c r="Y98" s="236" t="b">
        <v>0</v>
      </c>
      <c r="Z98" s="236" t="b">
        <v>0</v>
      </c>
      <c r="AA98" s="236" t="b">
        <v>0</v>
      </c>
      <c r="AB98" s="236" t="b">
        <v>0</v>
      </c>
      <c r="AC98" s="236" t="b">
        <v>0</v>
      </c>
      <c r="AD98" s="256" t="str">
        <f t="shared" si="0"/>
        <v>Thiếu chứng nhận</v>
      </c>
      <c r="AE98" s="287"/>
      <c r="AF98" s="317"/>
    </row>
    <row r="99" spans="1:32">
      <c r="A99" s="256">
        <f>ROWS($B$5:B97)</f>
        <v>93</v>
      </c>
      <c r="B99" s="256">
        <v>40386</v>
      </c>
      <c r="C99" s="256" t="s">
        <v>849</v>
      </c>
      <c r="D99" s="256" t="s">
        <v>1907</v>
      </c>
      <c r="E99" s="256" t="s">
        <v>154</v>
      </c>
      <c r="F99" s="290"/>
      <c r="G99" s="236" t="b">
        <v>0</v>
      </c>
      <c r="H99" s="236" t="b">
        <v>0</v>
      </c>
      <c r="I99" s="236" t="b">
        <v>0</v>
      </c>
      <c r="J99" s="236" t="b">
        <v>0</v>
      </c>
      <c r="K99" s="236" t="b">
        <v>0</v>
      </c>
      <c r="L99" s="236" t="b">
        <v>0</v>
      </c>
      <c r="M99" s="236" t="b">
        <v>0</v>
      </c>
      <c r="N99" s="236" t="b">
        <v>0</v>
      </c>
      <c r="O99" s="236" t="b">
        <v>0</v>
      </c>
      <c r="P99" s="236" t="b">
        <v>0</v>
      </c>
      <c r="Q99" s="236" t="b">
        <v>0</v>
      </c>
      <c r="R99" s="236" t="b">
        <v>0</v>
      </c>
      <c r="S99" s="236" t="b">
        <v>0</v>
      </c>
      <c r="T99" s="236" t="b">
        <v>0</v>
      </c>
      <c r="U99" s="236" t="b">
        <v>0</v>
      </c>
      <c r="V99" s="236" t="b">
        <v>0</v>
      </c>
      <c r="W99" s="236" t="b">
        <v>0</v>
      </c>
      <c r="X99" s="236" t="b">
        <v>0</v>
      </c>
      <c r="Y99" s="236" t="b">
        <v>0</v>
      </c>
      <c r="Z99" s="236" t="b">
        <v>0</v>
      </c>
      <c r="AA99" s="236" t="b">
        <v>0</v>
      </c>
      <c r="AB99" s="236" t="b">
        <v>0</v>
      </c>
      <c r="AC99" s="236" t="b">
        <v>0</v>
      </c>
      <c r="AD99" s="256" t="str">
        <f t="shared" si="0"/>
        <v>Thiếu chứng nhận</v>
      </c>
      <c r="AE99" s="287"/>
      <c r="AF99" s="317"/>
    </row>
    <row r="100" spans="1:32">
      <c r="A100" s="256">
        <f>ROWS($B$5:B98)</f>
        <v>94</v>
      </c>
      <c r="B100" s="256">
        <v>40416</v>
      </c>
      <c r="C100" s="256" t="s">
        <v>1950</v>
      </c>
      <c r="D100" s="256" t="s">
        <v>1907</v>
      </c>
      <c r="E100" s="256" t="s">
        <v>154</v>
      </c>
      <c r="F100" s="290"/>
      <c r="G100" s="236" t="b">
        <v>0</v>
      </c>
      <c r="H100" s="236" t="b">
        <v>0</v>
      </c>
      <c r="I100" s="236" t="b">
        <v>0</v>
      </c>
      <c r="J100" s="236" t="b">
        <v>0</v>
      </c>
      <c r="K100" s="236" t="b">
        <v>0</v>
      </c>
      <c r="L100" s="236" t="b">
        <v>0</v>
      </c>
      <c r="M100" s="236" t="b">
        <v>0</v>
      </c>
      <c r="N100" s="236" t="b">
        <v>0</v>
      </c>
      <c r="O100" s="236" t="b">
        <v>0</v>
      </c>
      <c r="P100" s="236" t="b">
        <v>0</v>
      </c>
      <c r="Q100" s="236" t="b">
        <v>0</v>
      </c>
      <c r="R100" s="236" t="b">
        <v>0</v>
      </c>
      <c r="S100" s="236" t="b">
        <v>0</v>
      </c>
      <c r="T100" s="236" t="b">
        <v>0</v>
      </c>
      <c r="U100" s="236" t="b">
        <v>0</v>
      </c>
      <c r="V100" s="236" t="b">
        <v>0</v>
      </c>
      <c r="W100" s="236" t="b">
        <v>0</v>
      </c>
      <c r="X100" s="236" t="b">
        <v>0</v>
      </c>
      <c r="Y100" s="236" t="b">
        <v>0</v>
      </c>
      <c r="Z100" s="236" t="b">
        <v>0</v>
      </c>
      <c r="AA100" s="236" t="b">
        <v>0</v>
      </c>
      <c r="AB100" s="236" t="b">
        <v>0</v>
      </c>
      <c r="AC100" s="236" t="b">
        <v>0</v>
      </c>
      <c r="AD100" s="256" t="str">
        <f t="shared" si="0"/>
        <v>Thiếu chứng nhận</v>
      </c>
      <c r="AE100" s="287"/>
      <c r="AF100" s="317"/>
    </row>
    <row r="101" spans="1:32">
      <c r="A101" s="256">
        <f>ROWS($B$5:B99)</f>
        <v>95</v>
      </c>
      <c r="B101" s="256">
        <v>40445</v>
      </c>
      <c r="C101" s="256" t="s">
        <v>1951</v>
      </c>
      <c r="D101" s="256" t="s">
        <v>1907</v>
      </c>
      <c r="E101" s="256" t="s">
        <v>154</v>
      </c>
      <c r="F101" s="290"/>
      <c r="G101" s="236" t="b">
        <v>0</v>
      </c>
      <c r="H101" s="236" t="b">
        <v>0</v>
      </c>
      <c r="I101" s="236" t="b">
        <v>0</v>
      </c>
      <c r="J101" s="236" t="b">
        <v>0</v>
      </c>
      <c r="K101" s="236" t="b">
        <v>0</v>
      </c>
      <c r="L101" s="236" t="b">
        <v>0</v>
      </c>
      <c r="M101" s="236" t="b">
        <v>0</v>
      </c>
      <c r="N101" s="236" t="b">
        <v>0</v>
      </c>
      <c r="O101" s="236" t="b">
        <v>0</v>
      </c>
      <c r="P101" s="236" t="b">
        <v>0</v>
      </c>
      <c r="Q101" s="236" t="b">
        <v>0</v>
      </c>
      <c r="R101" s="236" t="b">
        <v>0</v>
      </c>
      <c r="S101" s="236" t="b">
        <v>0</v>
      </c>
      <c r="T101" s="236" t="b">
        <v>0</v>
      </c>
      <c r="U101" s="236" t="b">
        <v>0</v>
      </c>
      <c r="V101" s="236" t="b">
        <v>0</v>
      </c>
      <c r="W101" s="236" t="b">
        <v>0</v>
      </c>
      <c r="X101" s="236" t="b">
        <v>0</v>
      </c>
      <c r="Y101" s="236" t="b">
        <v>0</v>
      </c>
      <c r="Z101" s="236" t="b">
        <v>0</v>
      </c>
      <c r="AA101" s="236" t="b">
        <v>0</v>
      </c>
      <c r="AB101" s="236" t="b">
        <v>0</v>
      </c>
      <c r="AC101" s="236" t="b">
        <v>0</v>
      </c>
      <c r="AD101" s="256" t="str">
        <f t="shared" si="0"/>
        <v>Thiếu chứng nhận</v>
      </c>
      <c r="AE101" s="287"/>
      <c r="AF101" s="317"/>
    </row>
    <row r="102" spans="1:32">
      <c r="A102" s="256">
        <f>ROWS($B$5:B100)</f>
        <v>96</v>
      </c>
      <c r="B102" s="256">
        <v>40502</v>
      </c>
      <c r="C102" s="256" t="s">
        <v>1952</v>
      </c>
      <c r="D102" s="256" t="s">
        <v>1907</v>
      </c>
      <c r="E102" s="256" t="s">
        <v>154</v>
      </c>
      <c r="F102" s="290"/>
      <c r="G102" s="236" t="b">
        <v>0</v>
      </c>
      <c r="H102" s="236" t="b">
        <v>0</v>
      </c>
      <c r="I102" s="236" t="b">
        <v>0</v>
      </c>
      <c r="J102" s="236" t="b">
        <v>0</v>
      </c>
      <c r="K102" s="236" t="b">
        <v>0</v>
      </c>
      <c r="L102" s="236" t="b">
        <v>0</v>
      </c>
      <c r="M102" s="236" t="b">
        <v>0</v>
      </c>
      <c r="N102" s="236" t="b">
        <v>0</v>
      </c>
      <c r="O102" s="236" t="b">
        <v>0</v>
      </c>
      <c r="P102" s="236" t="b">
        <v>0</v>
      </c>
      <c r="Q102" s="236" t="b">
        <v>0</v>
      </c>
      <c r="R102" s="236" t="b">
        <v>0</v>
      </c>
      <c r="S102" s="236" t="b">
        <v>0</v>
      </c>
      <c r="T102" s="236" t="b">
        <v>0</v>
      </c>
      <c r="U102" s="236" t="b">
        <v>0</v>
      </c>
      <c r="V102" s="236" t="b">
        <v>0</v>
      </c>
      <c r="W102" s="236" t="b">
        <v>0</v>
      </c>
      <c r="X102" s="236" t="b">
        <v>0</v>
      </c>
      <c r="Y102" s="236" t="b">
        <v>0</v>
      </c>
      <c r="Z102" s="236" t="b">
        <v>0</v>
      </c>
      <c r="AA102" s="236" t="b">
        <v>0</v>
      </c>
      <c r="AB102" s="236" t="b">
        <v>0</v>
      </c>
      <c r="AC102" s="236" t="b">
        <v>0</v>
      </c>
      <c r="AD102" s="256" t="str">
        <f t="shared" si="0"/>
        <v>Thiếu chứng nhận</v>
      </c>
      <c r="AE102" s="287"/>
      <c r="AF102" s="317"/>
    </row>
    <row r="103" spans="1:32">
      <c r="A103" s="256">
        <f>ROWS($B$5:B101)</f>
        <v>97</v>
      </c>
      <c r="B103" s="256">
        <v>40503</v>
      </c>
      <c r="C103" s="256" t="s">
        <v>1953</v>
      </c>
      <c r="D103" s="256" t="s">
        <v>1907</v>
      </c>
      <c r="E103" s="256" t="s">
        <v>154</v>
      </c>
      <c r="F103" s="290"/>
      <c r="G103" s="236" t="b">
        <v>0</v>
      </c>
      <c r="H103" s="236" t="b">
        <v>0</v>
      </c>
      <c r="I103" s="236" t="b">
        <v>0</v>
      </c>
      <c r="J103" s="236" t="b">
        <v>1</v>
      </c>
      <c r="K103" s="236" t="b">
        <v>1</v>
      </c>
      <c r="L103" s="236" t="b">
        <v>0</v>
      </c>
      <c r="M103" s="236" t="b">
        <v>0</v>
      </c>
      <c r="N103" s="236" t="b">
        <v>1</v>
      </c>
      <c r="O103" s="236" t="b">
        <v>0</v>
      </c>
      <c r="P103" s="236" t="b">
        <v>0</v>
      </c>
      <c r="Q103" s="236" t="b">
        <v>1</v>
      </c>
      <c r="R103" s="236" t="b">
        <v>0</v>
      </c>
      <c r="S103" s="236" t="b">
        <v>1</v>
      </c>
      <c r="T103" s="236" t="b">
        <v>1</v>
      </c>
      <c r="U103" s="236" t="b">
        <v>1</v>
      </c>
      <c r="V103" s="236" t="b">
        <v>1</v>
      </c>
      <c r="W103" s="236" t="b">
        <v>1</v>
      </c>
      <c r="X103" s="236" t="b">
        <v>0</v>
      </c>
      <c r="Y103" s="236" t="b">
        <v>0</v>
      </c>
      <c r="Z103" s="236" t="b">
        <v>0</v>
      </c>
      <c r="AA103" s="236" t="b">
        <v>0</v>
      </c>
      <c r="AB103" s="236" t="b">
        <v>0</v>
      </c>
      <c r="AC103" s="236" t="b">
        <v>0</v>
      </c>
      <c r="AD103" s="256" t="str">
        <f t="shared" si="0"/>
        <v>Đủ điều kiện</v>
      </c>
      <c r="AE103" s="287"/>
      <c r="AF103" s="317"/>
    </row>
    <row r="104" spans="1:32">
      <c r="A104" s="256">
        <f>ROWS($B$5:B102)</f>
        <v>98</v>
      </c>
      <c r="B104" s="256">
        <v>40504</v>
      </c>
      <c r="C104" s="256" t="s">
        <v>1954</v>
      </c>
      <c r="D104" s="256" t="s">
        <v>1907</v>
      </c>
      <c r="E104" s="256" t="s">
        <v>154</v>
      </c>
      <c r="F104" s="290"/>
      <c r="G104" s="236" t="b">
        <v>0</v>
      </c>
      <c r="H104" s="236" t="b">
        <v>0</v>
      </c>
      <c r="I104" s="236" t="b">
        <v>0</v>
      </c>
      <c r="J104" s="236" t="b">
        <v>0</v>
      </c>
      <c r="K104" s="236" t="b">
        <v>0</v>
      </c>
      <c r="L104" s="236" t="b">
        <v>0</v>
      </c>
      <c r="M104" s="236" t="b">
        <v>0</v>
      </c>
      <c r="N104" s="236" t="b">
        <v>0</v>
      </c>
      <c r="O104" s="236" t="b">
        <v>0</v>
      </c>
      <c r="P104" s="236" t="b">
        <v>0</v>
      </c>
      <c r="Q104" s="236" t="b">
        <v>0</v>
      </c>
      <c r="R104" s="236" t="b">
        <v>0</v>
      </c>
      <c r="S104" s="236" t="b">
        <v>0</v>
      </c>
      <c r="T104" s="236" t="b">
        <v>0</v>
      </c>
      <c r="U104" s="236" t="b">
        <v>0</v>
      </c>
      <c r="V104" s="236" t="b">
        <v>0</v>
      </c>
      <c r="W104" s="236" t="b">
        <v>0</v>
      </c>
      <c r="X104" s="236" t="b">
        <v>0</v>
      </c>
      <c r="Y104" s="236" t="b">
        <v>0</v>
      </c>
      <c r="Z104" s="236" t="b">
        <v>0</v>
      </c>
      <c r="AA104" s="236" t="b">
        <v>0</v>
      </c>
      <c r="AB104" s="236" t="b">
        <v>0</v>
      </c>
      <c r="AC104" s="236" t="b">
        <v>0</v>
      </c>
      <c r="AD104" s="256" t="str">
        <f t="shared" si="0"/>
        <v>Thiếu chứng nhận</v>
      </c>
      <c r="AE104" s="287"/>
      <c r="AF104" s="317"/>
    </row>
    <row r="105" spans="1:32">
      <c r="A105" s="256">
        <f>ROWS($B$5:B103)</f>
        <v>99</v>
      </c>
      <c r="B105" s="256">
        <v>40512</v>
      </c>
      <c r="C105" s="256" t="s">
        <v>1955</v>
      </c>
      <c r="D105" s="256" t="s">
        <v>1907</v>
      </c>
      <c r="E105" s="256" t="s">
        <v>154</v>
      </c>
      <c r="F105" s="290"/>
      <c r="G105" s="236" t="b">
        <v>0</v>
      </c>
      <c r="H105" s="236" t="b">
        <v>0</v>
      </c>
      <c r="I105" s="236" t="b">
        <v>0</v>
      </c>
      <c r="J105" s="236" t="b">
        <v>1</v>
      </c>
      <c r="K105" s="236" t="b">
        <v>0</v>
      </c>
      <c r="L105" s="236" t="b">
        <v>0</v>
      </c>
      <c r="M105" s="236" t="b">
        <v>0</v>
      </c>
      <c r="N105" s="236" t="b">
        <v>1</v>
      </c>
      <c r="O105" s="236" t="b">
        <v>1</v>
      </c>
      <c r="P105" s="236" t="b">
        <v>1</v>
      </c>
      <c r="Q105" s="236" t="b">
        <v>1</v>
      </c>
      <c r="R105" s="236" t="b">
        <v>0</v>
      </c>
      <c r="S105" s="236" t="b">
        <v>0</v>
      </c>
      <c r="T105" s="236" t="b">
        <v>0</v>
      </c>
      <c r="U105" s="236" t="b">
        <v>0</v>
      </c>
      <c r="V105" s="236" t="b">
        <v>1</v>
      </c>
      <c r="W105" s="236" t="b">
        <v>1</v>
      </c>
      <c r="X105" s="236" t="b">
        <v>0</v>
      </c>
      <c r="Y105" s="236" t="b">
        <v>0</v>
      </c>
      <c r="Z105" s="236" t="b">
        <v>0</v>
      </c>
      <c r="AA105" s="236" t="b">
        <v>0</v>
      </c>
      <c r="AB105" s="236" t="b">
        <v>0</v>
      </c>
      <c r="AC105" s="236" t="b">
        <v>0</v>
      </c>
      <c r="AD105" s="256" t="str">
        <f t="shared" si="0"/>
        <v>Đủ điều kiện</v>
      </c>
      <c r="AE105" s="287"/>
      <c r="AF105" s="317"/>
    </row>
    <row r="106" spans="1:32">
      <c r="A106" s="256">
        <f>ROWS($B$5:B104)</f>
        <v>100</v>
      </c>
      <c r="B106" s="256">
        <v>40529</v>
      </c>
      <c r="C106" s="256" t="s">
        <v>1956</v>
      </c>
      <c r="D106" s="256" t="s">
        <v>1907</v>
      </c>
      <c r="E106" s="256" t="s">
        <v>154</v>
      </c>
      <c r="F106" s="290"/>
      <c r="G106" s="236" t="b">
        <v>0</v>
      </c>
      <c r="H106" s="236" t="b">
        <v>0</v>
      </c>
      <c r="I106" s="236" t="b">
        <v>0</v>
      </c>
      <c r="J106" s="236" t="b">
        <v>0</v>
      </c>
      <c r="K106" s="236" t="b">
        <v>0</v>
      </c>
      <c r="L106" s="236" t="b">
        <v>0</v>
      </c>
      <c r="M106" s="236" t="b">
        <v>0</v>
      </c>
      <c r="N106" s="236" t="b">
        <v>0</v>
      </c>
      <c r="O106" s="236" t="b">
        <v>0</v>
      </c>
      <c r="P106" s="236" t="b">
        <v>0</v>
      </c>
      <c r="Q106" s="236" t="b">
        <v>0</v>
      </c>
      <c r="R106" s="236" t="b">
        <v>0</v>
      </c>
      <c r="S106" s="236" t="b">
        <v>0</v>
      </c>
      <c r="T106" s="236" t="b">
        <v>0</v>
      </c>
      <c r="U106" s="236" t="b">
        <v>0</v>
      </c>
      <c r="V106" s="236" t="b">
        <v>0</v>
      </c>
      <c r="W106" s="236" t="b">
        <v>0</v>
      </c>
      <c r="X106" s="236" t="b">
        <v>0</v>
      </c>
      <c r="Y106" s="236" t="b">
        <v>0</v>
      </c>
      <c r="Z106" s="236" t="b">
        <v>0</v>
      </c>
      <c r="AA106" s="236" t="b">
        <v>0</v>
      </c>
      <c r="AB106" s="236" t="b">
        <v>0</v>
      </c>
      <c r="AC106" s="236" t="b">
        <v>0</v>
      </c>
      <c r="AD106" s="256" t="str">
        <f t="shared" si="0"/>
        <v>Thiếu chứng nhận</v>
      </c>
      <c r="AE106" s="287"/>
      <c r="AF106" s="317"/>
    </row>
    <row r="107" spans="1:32">
      <c r="A107" s="256">
        <f>ROWS($B$5:B105)</f>
        <v>101</v>
      </c>
      <c r="B107" s="256">
        <v>40532</v>
      </c>
      <c r="C107" s="256" t="s">
        <v>1957</v>
      </c>
      <c r="D107" s="256" t="s">
        <v>1907</v>
      </c>
      <c r="E107" s="256" t="s">
        <v>154</v>
      </c>
      <c r="F107" s="290"/>
      <c r="G107" s="236" t="b">
        <v>0</v>
      </c>
      <c r="H107" s="236" t="b">
        <v>0</v>
      </c>
      <c r="I107" s="236" t="b">
        <v>0</v>
      </c>
      <c r="J107" s="236" t="b">
        <v>0</v>
      </c>
      <c r="K107" s="236" t="b">
        <v>0</v>
      </c>
      <c r="L107" s="236" t="b">
        <v>0</v>
      </c>
      <c r="M107" s="236" t="b">
        <v>0</v>
      </c>
      <c r="N107" s="236" t="b">
        <v>0</v>
      </c>
      <c r="O107" s="236" t="b">
        <v>0</v>
      </c>
      <c r="P107" s="236" t="b">
        <v>0</v>
      </c>
      <c r="Q107" s="236" t="b">
        <v>0</v>
      </c>
      <c r="R107" s="236" t="b">
        <v>0</v>
      </c>
      <c r="S107" s="236" t="b">
        <v>0</v>
      </c>
      <c r="T107" s="236" t="b">
        <v>0</v>
      </c>
      <c r="U107" s="236" t="b">
        <v>0</v>
      </c>
      <c r="V107" s="236" t="b">
        <v>0</v>
      </c>
      <c r="W107" s="236" t="b">
        <v>0</v>
      </c>
      <c r="X107" s="236" t="b">
        <v>0</v>
      </c>
      <c r="Y107" s="236" t="b">
        <v>0</v>
      </c>
      <c r="Z107" s="236" t="b">
        <v>0</v>
      </c>
      <c r="AA107" s="236" t="b">
        <v>0</v>
      </c>
      <c r="AB107" s="236" t="b">
        <v>0</v>
      </c>
      <c r="AC107" s="236" t="b">
        <v>0</v>
      </c>
      <c r="AD107" s="256" t="str">
        <f t="shared" si="0"/>
        <v>Thiếu chứng nhận</v>
      </c>
      <c r="AE107" s="287"/>
      <c r="AF107" s="317"/>
    </row>
    <row r="108" spans="1:32">
      <c r="A108" s="256">
        <f>ROWS($B$5:B106)</f>
        <v>102</v>
      </c>
      <c r="B108" s="256">
        <v>40562</v>
      </c>
      <c r="C108" s="256" t="s">
        <v>1958</v>
      </c>
      <c r="D108" s="256" t="s">
        <v>1907</v>
      </c>
      <c r="E108" s="256" t="s">
        <v>154</v>
      </c>
      <c r="F108" s="290"/>
      <c r="G108" s="236" t="b">
        <v>0</v>
      </c>
      <c r="H108" s="236" t="b">
        <v>0</v>
      </c>
      <c r="I108" s="236" t="b">
        <v>0</v>
      </c>
      <c r="J108" s="236" t="b">
        <v>1</v>
      </c>
      <c r="K108" s="236" t="b">
        <v>0</v>
      </c>
      <c r="L108" s="236" t="b">
        <v>0</v>
      </c>
      <c r="M108" s="236" t="b">
        <v>0</v>
      </c>
      <c r="N108" s="236" t="b">
        <v>1</v>
      </c>
      <c r="O108" s="236" t="b">
        <v>0</v>
      </c>
      <c r="P108" s="236" t="b">
        <v>0</v>
      </c>
      <c r="Q108" s="236" t="b">
        <v>0</v>
      </c>
      <c r="R108" s="236" t="b">
        <v>1</v>
      </c>
      <c r="S108" s="236" t="b">
        <v>0</v>
      </c>
      <c r="T108" s="236" t="b">
        <v>0</v>
      </c>
      <c r="U108" s="236" t="b">
        <v>1</v>
      </c>
      <c r="V108" s="236" t="b">
        <v>0</v>
      </c>
      <c r="W108" s="236" t="b">
        <v>0</v>
      </c>
      <c r="X108" s="236" t="b">
        <v>0</v>
      </c>
      <c r="Y108" s="236" t="b">
        <v>0</v>
      </c>
      <c r="Z108" s="236" t="b">
        <v>0</v>
      </c>
      <c r="AA108" s="236" t="b">
        <v>0</v>
      </c>
      <c r="AB108" s="236" t="b">
        <v>0</v>
      </c>
      <c r="AC108" s="236" t="b">
        <v>0</v>
      </c>
      <c r="AD108" s="256" t="str">
        <f t="shared" si="0"/>
        <v>Đủ điều kiện</v>
      </c>
      <c r="AE108" s="287"/>
      <c r="AF108" s="317"/>
    </row>
    <row r="109" spans="1:32">
      <c r="A109" s="256">
        <f>ROWS($B$5:B107)</f>
        <v>103</v>
      </c>
      <c r="B109" s="256">
        <v>40658</v>
      </c>
      <c r="C109" s="256" t="s">
        <v>1959</v>
      </c>
      <c r="D109" s="256" t="s">
        <v>1907</v>
      </c>
      <c r="E109" s="256" t="s">
        <v>154</v>
      </c>
      <c r="F109" s="290"/>
      <c r="G109" s="236" t="b">
        <v>0</v>
      </c>
      <c r="H109" s="236" t="b">
        <v>0</v>
      </c>
      <c r="I109" s="236" t="b">
        <v>0</v>
      </c>
      <c r="J109" s="236" t="b">
        <v>1</v>
      </c>
      <c r="K109" s="236" t="b">
        <v>0</v>
      </c>
      <c r="L109" s="236" t="b">
        <v>0</v>
      </c>
      <c r="M109" s="236" t="b">
        <v>0</v>
      </c>
      <c r="N109" s="236" t="b">
        <v>1</v>
      </c>
      <c r="O109" s="236" t="b">
        <v>0</v>
      </c>
      <c r="P109" s="236" t="b">
        <v>0</v>
      </c>
      <c r="Q109" s="236" t="b">
        <v>0</v>
      </c>
      <c r="R109" s="236" t="b">
        <v>0</v>
      </c>
      <c r="S109" s="236" t="b">
        <v>0</v>
      </c>
      <c r="T109" s="236" t="b">
        <v>0</v>
      </c>
      <c r="U109" s="236" t="b">
        <v>1</v>
      </c>
      <c r="V109" s="236" t="b">
        <v>0</v>
      </c>
      <c r="W109" s="236" t="b">
        <v>1</v>
      </c>
      <c r="X109" s="236" t="b">
        <v>0</v>
      </c>
      <c r="Y109" s="236" t="b">
        <v>0</v>
      </c>
      <c r="Z109" s="236" t="b">
        <v>0</v>
      </c>
      <c r="AA109" s="236" t="b">
        <v>0</v>
      </c>
      <c r="AB109" s="236" t="b">
        <v>0</v>
      </c>
      <c r="AC109" s="236" t="b">
        <v>0</v>
      </c>
      <c r="AD109" s="256" t="str">
        <f t="shared" si="0"/>
        <v>Đủ điều kiện</v>
      </c>
      <c r="AE109" s="287"/>
      <c r="AF109" s="317"/>
    </row>
    <row r="110" spans="1:32">
      <c r="A110" s="256">
        <f>ROWS($B$5:B108)</f>
        <v>104</v>
      </c>
      <c r="B110" s="256">
        <v>4492</v>
      </c>
      <c r="C110" s="256" t="s">
        <v>873</v>
      </c>
      <c r="D110" s="256" t="s">
        <v>1960</v>
      </c>
      <c r="E110" s="256" t="s">
        <v>794</v>
      </c>
      <c r="F110" s="290"/>
      <c r="G110" s="236" t="b">
        <v>0</v>
      </c>
      <c r="H110" s="236" t="b">
        <v>0</v>
      </c>
      <c r="I110" s="236" t="b">
        <v>0</v>
      </c>
      <c r="J110" s="236" t="b">
        <v>0</v>
      </c>
      <c r="K110" s="236" t="b">
        <v>0</v>
      </c>
      <c r="L110" s="236" t="b">
        <v>0</v>
      </c>
      <c r="M110" s="236" t="b">
        <v>0</v>
      </c>
      <c r="N110" s="236" t="b">
        <v>0</v>
      </c>
      <c r="O110" s="236" t="b">
        <v>0</v>
      </c>
      <c r="P110" s="236" t="b">
        <v>0</v>
      </c>
      <c r="Q110" s="236" t="b">
        <v>0</v>
      </c>
      <c r="R110" s="236" t="b">
        <v>0</v>
      </c>
      <c r="S110" s="236" t="b">
        <v>0</v>
      </c>
      <c r="T110" s="236" t="b">
        <v>0</v>
      </c>
      <c r="U110" s="236" t="b">
        <v>0</v>
      </c>
      <c r="V110" s="236" t="b">
        <v>0</v>
      </c>
      <c r="W110" s="236" t="b">
        <v>0</v>
      </c>
      <c r="X110" s="236" t="b">
        <v>0</v>
      </c>
      <c r="Y110" s="236" t="b">
        <v>0</v>
      </c>
      <c r="Z110" s="236" t="b">
        <v>0</v>
      </c>
      <c r="AA110" s="236" t="b">
        <v>0</v>
      </c>
      <c r="AB110" s="236" t="b">
        <v>0</v>
      </c>
      <c r="AC110" s="236" t="b">
        <v>0</v>
      </c>
      <c r="AD110" s="256" t="str">
        <f t="shared" si="0"/>
        <v>Thiếu chứng nhận</v>
      </c>
      <c r="AE110" s="287"/>
      <c r="AF110" s="317"/>
    </row>
    <row r="111" spans="1:32">
      <c r="A111" s="256">
        <f>ROWS($B$5:B109)</f>
        <v>105</v>
      </c>
      <c r="B111" s="256">
        <v>3891</v>
      </c>
      <c r="C111" s="256" t="s">
        <v>1961</v>
      </c>
      <c r="D111" s="256" t="s">
        <v>1293</v>
      </c>
      <c r="E111" s="256" t="s">
        <v>794</v>
      </c>
      <c r="F111" s="290"/>
      <c r="G111" s="236" t="b">
        <v>0</v>
      </c>
      <c r="H111" s="236" t="b">
        <v>0</v>
      </c>
      <c r="I111" s="236" t="b">
        <v>0</v>
      </c>
      <c r="J111" s="236" t="b">
        <v>0</v>
      </c>
      <c r="K111" s="236" t="b">
        <v>0</v>
      </c>
      <c r="L111" s="236" t="b">
        <v>0</v>
      </c>
      <c r="M111" s="236" t="b">
        <v>0</v>
      </c>
      <c r="N111" s="236" t="b">
        <v>0</v>
      </c>
      <c r="O111" s="236" t="b">
        <v>0</v>
      </c>
      <c r="P111" s="236" t="b">
        <v>0</v>
      </c>
      <c r="Q111" s="236" t="b">
        <v>0</v>
      </c>
      <c r="R111" s="236" t="b">
        <v>0</v>
      </c>
      <c r="S111" s="236" t="b">
        <v>0</v>
      </c>
      <c r="T111" s="236" t="b">
        <v>0</v>
      </c>
      <c r="U111" s="236" t="b">
        <v>0</v>
      </c>
      <c r="V111" s="236" t="b">
        <v>0</v>
      </c>
      <c r="W111" s="236" t="b">
        <v>0</v>
      </c>
      <c r="X111" s="236" t="b">
        <v>0</v>
      </c>
      <c r="Y111" s="236" t="b">
        <v>0</v>
      </c>
      <c r="Z111" s="236" t="b">
        <v>0</v>
      </c>
      <c r="AA111" s="236" t="b">
        <v>0</v>
      </c>
      <c r="AB111" s="236" t="b">
        <v>0</v>
      </c>
      <c r="AC111" s="236" t="b">
        <v>0</v>
      </c>
      <c r="AD111" s="256" t="str">
        <f t="shared" si="0"/>
        <v>Thiếu chứng nhận</v>
      </c>
      <c r="AE111" s="287"/>
      <c r="AF111" s="317"/>
    </row>
    <row r="112" spans="1:32">
      <c r="A112" s="256">
        <f>ROWS($B$5:B110)</f>
        <v>106</v>
      </c>
      <c r="B112" s="256">
        <v>5068</v>
      </c>
      <c r="C112" s="256" t="s">
        <v>876</v>
      </c>
      <c r="D112" s="256" t="s">
        <v>1962</v>
      </c>
      <c r="E112" s="256" t="s">
        <v>794</v>
      </c>
      <c r="F112" s="290"/>
      <c r="G112" s="236" t="b">
        <v>1</v>
      </c>
      <c r="H112" s="236" t="b">
        <v>1</v>
      </c>
      <c r="I112" s="236" t="b">
        <v>1</v>
      </c>
      <c r="J112" s="236" t="b">
        <v>1</v>
      </c>
      <c r="K112" s="236" t="b">
        <v>0</v>
      </c>
      <c r="L112" s="236" t="b">
        <v>1</v>
      </c>
      <c r="M112" s="236" t="b">
        <v>0</v>
      </c>
      <c r="N112" s="236" t="b">
        <v>1</v>
      </c>
      <c r="O112" s="236" t="b">
        <v>0</v>
      </c>
      <c r="P112" s="236" t="b">
        <v>1</v>
      </c>
      <c r="Q112" s="236" t="b">
        <v>1</v>
      </c>
      <c r="R112" s="236" t="b">
        <v>0</v>
      </c>
      <c r="S112" s="236" t="b">
        <v>1</v>
      </c>
      <c r="T112" s="236" t="b">
        <v>0</v>
      </c>
      <c r="U112" s="236" t="b">
        <v>0</v>
      </c>
      <c r="V112" s="236" t="b">
        <v>0</v>
      </c>
      <c r="W112" s="236" t="b">
        <v>0</v>
      </c>
      <c r="X112" s="236" t="b">
        <v>0</v>
      </c>
      <c r="Y112" s="236" t="b">
        <v>0</v>
      </c>
      <c r="Z112" s="236" t="b">
        <v>0</v>
      </c>
      <c r="AA112" s="236" t="b">
        <v>0</v>
      </c>
      <c r="AB112" s="236" t="b">
        <v>0</v>
      </c>
      <c r="AC112" s="236" t="b">
        <v>0</v>
      </c>
      <c r="AD112" s="256" t="str">
        <f t="shared" si="0"/>
        <v>Đủ điều kiện</v>
      </c>
      <c r="AE112" s="287"/>
      <c r="AF112" s="317"/>
    </row>
    <row r="113" spans="1:32">
      <c r="A113" s="256">
        <f>ROWS($B$5:B111)</f>
        <v>107</v>
      </c>
      <c r="B113" s="256">
        <v>4708</v>
      </c>
      <c r="C113" s="256" t="s">
        <v>882</v>
      </c>
      <c r="D113" s="256" t="s">
        <v>1963</v>
      </c>
      <c r="E113" s="256" t="s">
        <v>794</v>
      </c>
      <c r="F113" s="290"/>
      <c r="G113" s="236" t="b">
        <v>0</v>
      </c>
      <c r="H113" s="236" t="b">
        <v>0</v>
      </c>
      <c r="I113" s="236" t="b">
        <v>0</v>
      </c>
      <c r="J113" s="236" t="b">
        <v>1</v>
      </c>
      <c r="K113" s="236" t="b">
        <v>0</v>
      </c>
      <c r="L113" s="236" t="b">
        <v>1</v>
      </c>
      <c r="M113" s="236" t="b">
        <v>0</v>
      </c>
      <c r="N113" s="236" t="b">
        <v>1</v>
      </c>
      <c r="O113" s="236" t="b">
        <v>0</v>
      </c>
      <c r="P113" s="236" t="b">
        <v>0</v>
      </c>
      <c r="Q113" s="236" t="b">
        <v>0</v>
      </c>
      <c r="R113" s="236" t="b">
        <v>0</v>
      </c>
      <c r="S113" s="236" t="b">
        <v>0</v>
      </c>
      <c r="T113" s="236" t="b">
        <v>0</v>
      </c>
      <c r="U113" s="236" t="b">
        <v>1</v>
      </c>
      <c r="V113" s="236" t="b">
        <v>0</v>
      </c>
      <c r="W113" s="236" t="b">
        <v>0</v>
      </c>
      <c r="X113" s="236" t="b">
        <v>0</v>
      </c>
      <c r="Y113" s="236" t="b">
        <v>0</v>
      </c>
      <c r="Z113" s="236" t="b">
        <v>0</v>
      </c>
      <c r="AA113" s="236" t="b">
        <v>0</v>
      </c>
      <c r="AB113" s="236" t="b">
        <v>0</v>
      </c>
      <c r="AC113" s="236" t="b">
        <v>0</v>
      </c>
      <c r="AD113" s="256" t="str">
        <f t="shared" si="0"/>
        <v>Đủ điều kiện</v>
      </c>
      <c r="AE113" s="287"/>
      <c r="AF113" s="317"/>
    </row>
    <row r="114" spans="1:32">
      <c r="A114" s="256">
        <f>ROWS($B$5:B112)</f>
        <v>108</v>
      </c>
      <c r="B114" s="256">
        <v>4712</v>
      </c>
      <c r="C114" s="256" t="s">
        <v>879</v>
      </c>
      <c r="D114" s="256" t="s">
        <v>1964</v>
      </c>
      <c r="E114" s="256" t="s">
        <v>794</v>
      </c>
      <c r="F114" s="290"/>
      <c r="G114" s="236" t="b">
        <v>0</v>
      </c>
      <c r="H114" s="236" t="b">
        <v>0</v>
      </c>
      <c r="I114" s="236" t="b">
        <v>0</v>
      </c>
      <c r="J114" s="236" t="b">
        <v>0</v>
      </c>
      <c r="K114" s="236" t="b">
        <v>0</v>
      </c>
      <c r="L114" s="236" t="b">
        <v>0</v>
      </c>
      <c r="M114" s="236" t="b">
        <v>0</v>
      </c>
      <c r="N114" s="236" t="b">
        <v>0</v>
      </c>
      <c r="O114" s="236" t="b">
        <v>0</v>
      </c>
      <c r="P114" s="236" t="b">
        <v>0</v>
      </c>
      <c r="Q114" s="236" t="b">
        <v>0</v>
      </c>
      <c r="R114" s="236" t="b">
        <v>0</v>
      </c>
      <c r="S114" s="236" t="b">
        <v>0</v>
      </c>
      <c r="T114" s="236" t="b">
        <v>0</v>
      </c>
      <c r="U114" s="236" t="b">
        <v>0</v>
      </c>
      <c r="V114" s="236" t="b">
        <v>0</v>
      </c>
      <c r="W114" s="236" t="b">
        <v>0</v>
      </c>
      <c r="X114" s="236" t="b">
        <v>0</v>
      </c>
      <c r="Y114" s="236" t="b">
        <v>0</v>
      </c>
      <c r="Z114" s="236" t="b">
        <v>0</v>
      </c>
      <c r="AA114" s="236" t="b">
        <v>0</v>
      </c>
      <c r="AB114" s="236" t="b">
        <v>0</v>
      </c>
      <c r="AC114" s="236" t="b">
        <v>0</v>
      </c>
      <c r="AD114" s="256" t="str">
        <f t="shared" si="0"/>
        <v>Thiếu chứng nhận</v>
      </c>
      <c r="AE114" s="287"/>
      <c r="AF114" s="317"/>
    </row>
    <row r="115" spans="1:32">
      <c r="A115" s="256">
        <f>ROWS($B$5:B113)</f>
        <v>109</v>
      </c>
      <c r="B115" s="256">
        <v>5045</v>
      </c>
      <c r="C115" s="256" t="s">
        <v>869</v>
      </c>
      <c r="D115" s="256" t="s">
        <v>1903</v>
      </c>
      <c r="E115" s="256" t="s">
        <v>794</v>
      </c>
      <c r="F115" s="290"/>
      <c r="G115" s="236" t="b">
        <v>1</v>
      </c>
      <c r="H115" s="236" t="b">
        <v>1</v>
      </c>
      <c r="I115" s="236" t="b">
        <v>0</v>
      </c>
      <c r="J115" s="236" t="b">
        <v>1</v>
      </c>
      <c r="K115" s="236" t="b">
        <v>0</v>
      </c>
      <c r="L115" s="236" t="b">
        <v>1</v>
      </c>
      <c r="M115" s="236" t="b">
        <v>0</v>
      </c>
      <c r="N115" s="236" t="b">
        <v>1</v>
      </c>
      <c r="O115" s="236" t="b">
        <v>0</v>
      </c>
      <c r="P115" s="236" t="b">
        <v>0</v>
      </c>
      <c r="Q115" s="236" t="b">
        <v>0</v>
      </c>
      <c r="R115" s="236" t="b">
        <v>0</v>
      </c>
      <c r="S115" s="236" t="b">
        <v>1</v>
      </c>
      <c r="T115" s="236" t="b">
        <v>0</v>
      </c>
      <c r="U115" s="236" t="b">
        <v>1</v>
      </c>
      <c r="V115" s="236" t="b">
        <v>0</v>
      </c>
      <c r="W115" s="236" t="b">
        <v>0</v>
      </c>
      <c r="X115" s="236" t="b">
        <v>0</v>
      </c>
      <c r="Y115" s="236" t="b">
        <v>0</v>
      </c>
      <c r="Z115" s="236" t="b">
        <v>0</v>
      </c>
      <c r="AA115" s="236" t="b">
        <v>0</v>
      </c>
      <c r="AB115" s="236" t="b">
        <v>0</v>
      </c>
      <c r="AC115" s="236" t="b">
        <v>0</v>
      </c>
      <c r="AD115" s="256" t="str">
        <f t="shared" si="0"/>
        <v>Đủ điều kiện</v>
      </c>
      <c r="AE115" s="287"/>
      <c r="AF115" s="317"/>
    </row>
    <row r="116" spans="1:32">
      <c r="A116" s="256">
        <f>ROWS($B$5:B114)</f>
        <v>110</v>
      </c>
      <c r="B116" s="256">
        <v>5046</v>
      </c>
      <c r="C116" s="256" t="s">
        <v>872</v>
      </c>
      <c r="D116" s="256" t="s">
        <v>1916</v>
      </c>
      <c r="E116" s="256" t="s">
        <v>794</v>
      </c>
      <c r="F116" s="290"/>
      <c r="G116" s="236" t="b">
        <v>1</v>
      </c>
      <c r="H116" s="236" t="b">
        <v>1</v>
      </c>
      <c r="I116" s="236" t="b">
        <v>0</v>
      </c>
      <c r="J116" s="236" t="b">
        <v>1</v>
      </c>
      <c r="K116" s="236" t="b">
        <v>0</v>
      </c>
      <c r="L116" s="236" t="b">
        <v>1</v>
      </c>
      <c r="M116" s="236" t="b">
        <v>0</v>
      </c>
      <c r="N116" s="236" t="b">
        <v>1</v>
      </c>
      <c r="O116" s="236" t="b">
        <v>1</v>
      </c>
      <c r="P116" s="236" t="b">
        <v>1</v>
      </c>
      <c r="Q116" s="236" t="b">
        <v>1</v>
      </c>
      <c r="R116" s="236" t="b">
        <v>0</v>
      </c>
      <c r="S116" s="236" t="b">
        <v>1</v>
      </c>
      <c r="T116" s="236" t="b">
        <v>0</v>
      </c>
      <c r="U116" s="236" t="b">
        <v>1</v>
      </c>
      <c r="V116" s="236" t="b">
        <v>0</v>
      </c>
      <c r="W116" s="236" t="b">
        <v>1</v>
      </c>
      <c r="X116" s="236" t="b">
        <v>0</v>
      </c>
      <c r="Y116" s="236" t="b">
        <v>0</v>
      </c>
      <c r="Z116" s="236" t="b">
        <v>0</v>
      </c>
      <c r="AA116" s="236" t="b">
        <v>0</v>
      </c>
      <c r="AB116" s="236" t="b">
        <v>0</v>
      </c>
      <c r="AC116" s="236" t="b">
        <v>0</v>
      </c>
      <c r="AD116" s="256" t="str">
        <f t="shared" si="0"/>
        <v>Đủ điều kiện</v>
      </c>
      <c r="AE116" s="287"/>
      <c r="AF116" s="317"/>
    </row>
    <row r="117" spans="1:32">
      <c r="A117" s="256">
        <f>ROWS($B$5:B115)</f>
        <v>111</v>
      </c>
      <c r="B117" s="256">
        <v>5092</v>
      </c>
      <c r="C117" s="256" t="s">
        <v>881</v>
      </c>
      <c r="D117" s="256" t="s">
        <v>1964</v>
      </c>
      <c r="E117" s="256" t="s">
        <v>794</v>
      </c>
      <c r="F117" s="290"/>
      <c r="G117" s="236" t="b">
        <v>0</v>
      </c>
      <c r="H117" s="236" t="b">
        <v>0</v>
      </c>
      <c r="I117" s="236" t="b">
        <v>0</v>
      </c>
      <c r="J117" s="236" t="b">
        <v>0</v>
      </c>
      <c r="K117" s="236" t="b">
        <v>0</v>
      </c>
      <c r="L117" s="236" t="b">
        <v>0</v>
      </c>
      <c r="M117" s="236" t="b">
        <v>0</v>
      </c>
      <c r="N117" s="236" t="b">
        <v>0</v>
      </c>
      <c r="O117" s="236" t="b">
        <v>0</v>
      </c>
      <c r="P117" s="236" t="b">
        <v>0</v>
      </c>
      <c r="Q117" s="236" t="b">
        <v>0</v>
      </c>
      <c r="R117" s="236" t="b">
        <v>0</v>
      </c>
      <c r="S117" s="236" t="b">
        <v>0</v>
      </c>
      <c r="T117" s="236" t="b">
        <v>0</v>
      </c>
      <c r="U117" s="236" t="b">
        <v>0</v>
      </c>
      <c r="V117" s="236" t="b">
        <v>0</v>
      </c>
      <c r="W117" s="236" t="b">
        <v>0</v>
      </c>
      <c r="X117" s="236" t="b">
        <v>0</v>
      </c>
      <c r="Y117" s="236" t="b">
        <v>0</v>
      </c>
      <c r="Z117" s="236" t="b">
        <v>0</v>
      </c>
      <c r="AA117" s="236" t="b">
        <v>0</v>
      </c>
      <c r="AB117" s="236" t="b">
        <v>0</v>
      </c>
      <c r="AC117" s="236" t="b">
        <v>0</v>
      </c>
      <c r="AD117" s="256" t="str">
        <f t="shared" si="0"/>
        <v>Thiếu chứng nhận</v>
      </c>
      <c r="AE117" s="287"/>
      <c r="AF117" s="317"/>
    </row>
    <row r="118" spans="1:32">
      <c r="A118" s="256">
        <f>ROWS($B$5:B116)</f>
        <v>112</v>
      </c>
      <c r="B118" s="256">
        <v>5105</v>
      </c>
      <c r="C118" s="256" t="s">
        <v>877</v>
      </c>
      <c r="D118" s="256" t="s">
        <v>1963</v>
      </c>
      <c r="E118" s="256" t="s">
        <v>794</v>
      </c>
      <c r="F118" s="290"/>
      <c r="G118" s="236" t="b">
        <v>1</v>
      </c>
      <c r="H118" s="236" t="b">
        <v>1</v>
      </c>
      <c r="I118" s="236" t="b">
        <v>1</v>
      </c>
      <c r="J118" s="236" t="b">
        <v>1</v>
      </c>
      <c r="K118" s="236" t="b">
        <v>0</v>
      </c>
      <c r="L118" s="236" t="b">
        <v>1</v>
      </c>
      <c r="M118" s="236" t="b">
        <v>0</v>
      </c>
      <c r="N118" s="236" t="b">
        <v>1</v>
      </c>
      <c r="O118" s="236" t="b">
        <v>1</v>
      </c>
      <c r="P118" s="236" t="b">
        <v>1</v>
      </c>
      <c r="Q118" s="236" t="b">
        <v>1</v>
      </c>
      <c r="R118" s="236" t="b">
        <v>0</v>
      </c>
      <c r="S118" s="236" t="b">
        <v>1</v>
      </c>
      <c r="T118" s="236" t="b">
        <v>0</v>
      </c>
      <c r="U118" s="236" t="b">
        <v>1</v>
      </c>
      <c r="V118" s="236" t="b">
        <v>0</v>
      </c>
      <c r="W118" s="236" t="b">
        <v>1</v>
      </c>
      <c r="X118" s="236" t="b">
        <v>0</v>
      </c>
      <c r="Y118" s="236" t="b">
        <v>0</v>
      </c>
      <c r="Z118" s="236" t="b">
        <v>0</v>
      </c>
      <c r="AA118" s="236" t="b">
        <v>0</v>
      </c>
      <c r="AB118" s="236" t="b">
        <v>0</v>
      </c>
      <c r="AC118" s="236" t="b">
        <v>0</v>
      </c>
      <c r="AD118" s="256" t="str">
        <f t="shared" si="0"/>
        <v>Đủ điều kiện</v>
      </c>
      <c r="AE118" s="287"/>
      <c r="AF118" s="317"/>
    </row>
    <row r="119" spans="1:32">
      <c r="A119" s="256">
        <f>ROWS($B$5:B117)</f>
        <v>113</v>
      </c>
      <c r="B119" s="256">
        <v>5210</v>
      </c>
      <c r="C119" s="256" t="s">
        <v>878</v>
      </c>
      <c r="D119" s="256" t="s">
        <v>1965</v>
      </c>
      <c r="E119" s="256" t="s">
        <v>794</v>
      </c>
      <c r="F119" s="290"/>
      <c r="G119" s="236" t="b">
        <v>1</v>
      </c>
      <c r="H119" s="236" t="b">
        <v>1</v>
      </c>
      <c r="I119" s="236" t="b">
        <v>0</v>
      </c>
      <c r="J119" s="236" t="b">
        <v>1</v>
      </c>
      <c r="K119" s="236" t="b">
        <v>0</v>
      </c>
      <c r="L119" s="236" t="b">
        <v>1</v>
      </c>
      <c r="M119" s="236" t="b">
        <v>0</v>
      </c>
      <c r="N119" s="236" t="b">
        <v>1</v>
      </c>
      <c r="O119" s="236" t="b">
        <v>1</v>
      </c>
      <c r="P119" s="236" t="b">
        <v>1</v>
      </c>
      <c r="Q119" s="236" t="b">
        <v>1</v>
      </c>
      <c r="R119" s="236" t="b">
        <v>0</v>
      </c>
      <c r="S119" s="236" t="b">
        <v>1</v>
      </c>
      <c r="T119" s="236" t="b">
        <v>0</v>
      </c>
      <c r="U119" s="236" t="b">
        <v>1</v>
      </c>
      <c r="V119" s="236" t="b">
        <v>0</v>
      </c>
      <c r="W119" s="236" t="b">
        <v>1</v>
      </c>
      <c r="X119" s="236" t="b">
        <v>0</v>
      </c>
      <c r="Y119" s="236" t="b">
        <v>0</v>
      </c>
      <c r="Z119" s="236" t="b">
        <v>0</v>
      </c>
      <c r="AA119" s="236" t="b">
        <v>0</v>
      </c>
      <c r="AB119" s="236" t="b">
        <v>0</v>
      </c>
      <c r="AC119" s="236" t="b">
        <v>0</v>
      </c>
      <c r="AD119" s="256" t="str">
        <f t="shared" si="0"/>
        <v>Đủ điều kiện</v>
      </c>
      <c r="AE119" s="287"/>
      <c r="AF119" s="317"/>
    </row>
    <row r="120" spans="1:32">
      <c r="A120" s="256">
        <f>ROWS($B$5:B118)</f>
        <v>114</v>
      </c>
      <c r="B120" s="256">
        <v>5308</v>
      </c>
      <c r="C120" s="256" t="s">
        <v>875</v>
      </c>
      <c r="D120" s="256" t="s">
        <v>1903</v>
      </c>
      <c r="E120" s="256" t="s">
        <v>794</v>
      </c>
      <c r="F120" s="290"/>
      <c r="G120" s="236" t="b">
        <v>0</v>
      </c>
      <c r="H120" s="236" t="b">
        <v>0</v>
      </c>
      <c r="I120" s="236" t="b">
        <v>0</v>
      </c>
      <c r="J120" s="236" t="b">
        <v>0</v>
      </c>
      <c r="K120" s="236" t="b">
        <v>0</v>
      </c>
      <c r="L120" s="236" t="b">
        <v>0</v>
      </c>
      <c r="M120" s="236" t="b">
        <v>0</v>
      </c>
      <c r="N120" s="236" t="b">
        <v>0</v>
      </c>
      <c r="O120" s="236" t="b">
        <v>0</v>
      </c>
      <c r="P120" s="236" t="b">
        <v>0</v>
      </c>
      <c r="Q120" s="236" t="b">
        <v>0</v>
      </c>
      <c r="R120" s="236" t="b">
        <v>0</v>
      </c>
      <c r="S120" s="236" t="b">
        <v>0</v>
      </c>
      <c r="T120" s="236" t="b">
        <v>0</v>
      </c>
      <c r="U120" s="236" t="b">
        <v>0</v>
      </c>
      <c r="V120" s="236" t="b">
        <v>0</v>
      </c>
      <c r="W120" s="236" t="b">
        <v>0</v>
      </c>
      <c r="X120" s="236" t="b">
        <v>0</v>
      </c>
      <c r="Y120" s="236" t="b">
        <v>0</v>
      </c>
      <c r="Z120" s="236" t="b">
        <v>0</v>
      </c>
      <c r="AA120" s="236" t="b">
        <v>0</v>
      </c>
      <c r="AB120" s="236" t="b">
        <v>0</v>
      </c>
      <c r="AC120" s="236" t="b">
        <v>0</v>
      </c>
      <c r="AD120" s="256" t="str">
        <f t="shared" si="0"/>
        <v>Thiếu chứng nhận</v>
      </c>
      <c r="AE120" s="287"/>
      <c r="AF120" s="317"/>
    </row>
    <row r="121" spans="1:32">
      <c r="A121" s="256">
        <f>ROWS($B$5:B119)</f>
        <v>115</v>
      </c>
      <c r="B121" s="256">
        <v>5334</v>
      </c>
      <c r="C121" s="256" t="s">
        <v>880</v>
      </c>
      <c r="D121" s="256" t="s">
        <v>1903</v>
      </c>
      <c r="E121" s="256" t="s">
        <v>794</v>
      </c>
      <c r="F121" s="290"/>
      <c r="G121" s="236" t="b">
        <v>0</v>
      </c>
      <c r="H121" s="236" t="b">
        <v>0</v>
      </c>
      <c r="I121" s="236" t="b">
        <v>0</v>
      </c>
      <c r="J121" s="236" t="b">
        <v>0</v>
      </c>
      <c r="K121" s="236" t="b">
        <v>0</v>
      </c>
      <c r="L121" s="236" t="b">
        <v>0</v>
      </c>
      <c r="M121" s="236" t="b">
        <v>0</v>
      </c>
      <c r="N121" s="236" t="b">
        <v>0</v>
      </c>
      <c r="O121" s="236" t="b">
        <v>0</v>
      </c>
      <c r="P121" s="236" t="b">
        <v>0</v>
      </c>
      <c r="Q121" s="236" t="b">
        <v>0</v>
      </c>
      <c r="R121" s="236" t="b">
        <v>0</v>
      </c>
      <c r="S121" s="236" t="b">
        <v>0</v>
      </c>
      <c r="T121" s="236" t="b">
        <v>0</v>
      </c>
      <c r="U121" s="236" t="b">
        <v>0</v>
      </c>
      <c r="V121" s="236" t="b">
        <v>0</v>
      </c>
      <c r="W121" s="236" t="b">
        <v>0</v>
      </c>
      <c r="X121" s="236" t="b">
        <v>0</v>
      </c>
      <c r="Y121" s="236" t="b">
        <v>0</v>
      </c>
      <c r="Z121" s="236" t="b">
        <v>0</v>
      </c>
      <c r="AA121" s="236" t="b">
        <v>0</v>
      </c>
      <c r="AB121" s="236" t="b">
        <v>0</v>
      </c>
      <c r="AC121" s="236" t="b">
        <v>0</v>
      </c>
      <c r="AD121" s="256" t="str">
        <f t="shared" si="0"/>
        <v>Thiếu chứng nhận</v>
      </c>
      <c r="AE121" s="287"/>
      <c r="AF121" s="317"/>
    </row>
    <row r="122" spans="1:32">
      <c r="A122" s="256">
        <f>ROWS($B$5:B120)</f>
        <v>116</v>
      </c>
      <c r="B122" s="256">
        <v>40537</v>
      </c>
      <c r="C122" s="256" t="s">
        <v>183</v>
      </c>
      <c r="D122" s="256" t="s">
        <v>1907</v>
      </c>
      <c r="E122" s="256" t="s">
        <v>794</v>
      </c>
      <c r="F122" s="290"/>
      <c r="G122" s="236" t="b">
        <v>0</v>
      </c>
      <c r="H122" s="236" t="b">
        <v>0</v>
      </c>
      <c r="I122" s="236" t="b">
        <v>0</v>
      </c>
      <c r="J122" s="236" t="b">
        <v>0</v>
      </c>
      <c r="K122" s="236" t="b">
        <v>0</v>
      </c>
      <c r="L122" s="236" t="b">
        <v>0</v>
      </c>
      <c r="M122" s="236" t="b">
        <v>0</v>
      </c>
      <c r="N122" s="236" t="b">
        <v>0</v>
      </c>
      <c r="O122" s="236" t="b">
        <v>0</v>
      </c>
      <c r="P122" s="236" t="b">
        <v>0</v>
      </c>
      <c r="Q122" s="236" t="b">
        <v>0</v>
      </c>
      <c r="R122" s="236" t="b">
        <v>0</v>
      </c>
      <c r="S122" s="236" t="b">
        <v>0</v>
      </c>
      <c r="T122" s="236" t="b">
        <v>0</v>
      </c>
      <c r="U122" s="236" t="b">
        <v>0</v>
      </c>
      <c r="V122" s="236" t="b">
        <v>0</v>
      </c>
      <c r="W122" s="236" t="b">
        <v>0</v>
      </c>
      <c r="X122" s="236" t="b">
        <v>0</v>
      </c>
      <c r="Y122" s="236" t="b">
        <v>0</v>
      </c>
      <c r="Z122" s="236" t="b">
        <v>0</v>
      </c>
      <c r="AA122" s="236" t="b">
        <v>0</v>
      </c>
      <c r="AB122" s="236" t="b">
        <v>0</v>
      </c>
      <c r="AC122" s="236" t="b">
        <v>0</v>
      </c>
      <c r="AD122" s="256" t="str">
        <f t="shared" si="0"/>
        <v>Thiếu chứng nhận</v>
      </c>
      <c r="AE122" s="287"/>
      <c r="AF122" s="317"/>
    </row>
    <row r="123" spans="1:32">
      <c r="A123" s="256">
        <f>ROWS($B$5:B121)</f>
        <v>117</v>
      </c>
      <c r="B123" s="256">
        <v>5154</v>
      </c>
      <c r="C123" s="256" t="s">
        <v>1966</v>
      </c>
      <c r="D123" s="256" t="s">
        <v>1903</v>
      </c>
      <c r="E123" s="256" t="s">
        <v>1189</v>
      </c>
      <c r="F123" s="290"/>
      <c r="G123" s="236" t="b">
        <v>0</v>
      </c>
      <c r="H123" s="236" t="b">
        <v>0</v>
      </c>
      <c r="I123" s="236" t="b">
        <v>0</v>
      </c>
      <c r="J123" s="236" t="b">
        <v>0</v>
      </c>
      <c r="K123" s="236" t="b">
        <v>0</v>
      </c>
      <c r="L123" s="236" t="b">
        <v>0</v>
      </c>
      <c r="M123" s="236" t="b">
        <v>0</v>
      </c>
      <c r="N123" s="236" t="b">
        <v>0</v>
      </c>
      <c r="O123" s="236" t="b">
        <v>0</v>
      </c>
      <c r="P123" s="236" t="b">
        <v>0</v>
      </c>
      <c r="Q123" s="236" t="b">
        <v>0</v>
      </c>
      <c r="R123" s="236" t="b">
        <v>0</v>
      </c>
      <c r="S123" s="236" t="b">
        <v>0</v>
      </c>
      <c r="T123" s="236" t="b">
        <v>0</v>
      </c>
      <c r="U123" s="236" t="b">
        <v>0</v>
      </c>
      <c r="V123" s="236" t="b">
        <v>0</v>
      </c>
      <c r="W123" s="236" t="b">
        <v>0</v>
      </c>
      <c r="X123" s="236" t="b">
        <v>0</v>
      </c>
      <c r="Y123" s="236" t="b">
        <v>0</v>
      </c>
      <c r="Z123" s="236" t="b">
        <v>0</v>
      </c>
      <c r="AA123" s="236" t="b">
        <v>0</v>
      </c>
      <c r="AB123" s="236" t="b">
        <v>0</v>
      </c>
      <c r="AC123" s="236" t="b">
        <v>0</v>
      </c>
      <c r="AD123" s="256" t="str">
        <f t="shared" si="0"/>
        <v>Thiếu chứng nhận</v>
      </c>
      <c r="AE123" s="287"/>
      <c r="AF123" s="317"/>
    </row>
    <row r="124" spans="1:32">
      <c r="A124" s="256">
        <f>ROWS($B$5:B122)</f>
        <v>118</v>
      </c>
      <c r="B124" s="256">
        <v>39978</v>
      </c>
      <c r="C124" s="256" t="s">
        <v>1967</v>
      </c>
      <c r="D124" s="256" t="s">
        <v>1907</v>
      </c>
      <c r="E124" s="256" t="s">
        <v>1189</v>
      </c>
      <c r="F124" s="290"/>
      <c r="G124" s="236" t="b">
        <v>0</v>
      </c>
      <c r="H124" s="236" t="b">
        <v>0</v>
      </c>
      <c r="I124" s="236" t="b">
        <v>0</v>
      </c>
      <c r="J124" s="236" t="b">
        <v>0</v>
      </c>
      <c r="K124" s="236" t="b">
        <v>0</v>
      </c>
      <c r="L124" s="236" t="b">
        <v>0</v>
      </c>
      <c r="M124" s="236" t="b">
        <v>0</v>
      </c>
      <c r="N124" s="236" t="b">
        <v>0</v>
      </c>
      <c r="O124" s="236" t="b">
        <v>0</v>
      </c>
      <c r="P124" s="236" t="b">
        <v>0</v>
      </c>
      <c r="Q124" s="236" t="b">
        <v>0</v>
      </c>
      <c r="R124" s="236" t="b">
        <v>0</v>
      </c>
      <c r="S124" s="236" t="b">
        <v>0</v>
      </c>
      <c r="T124" s="236" t="b">
        <v>0</v>
      </c>
      <c r="U124" s="236" t="b">
        <v>0</v>
      </c>
      <c r="V124" s="236" t="b">
        <v>0</v>
      </c>
      <c r="W124" s="236" t="b">
        <v>0</v>
      </c>
      <c r="X124" s="236" t="b">
        <v>0</v>
      </c>
      <c r="Y124" s="236" t="b">
        <v>0</v>
      </c>
      <c r="Z124" s="236" t="b">
        <v>0</v>
      </c>
      <c r="AA124" s="236" t="b">
        <v>0</v>
      </c>
      <c r="AB124" s="236" t="b">
        <v>0</v>
      </c>
      <c r="AC124" s="236" t="b">
        <v>0</v>
      </c>
      <c r="AD124" s="256" t="str">
        <f t="shared" si="0"/>
        <v>Thiếu chứng nhận</v>
      </c>
      <c r="AE124" s="287"/>
      <c r="AF124" s="317"/>
    </row>
    <row r="125" spans="1:32">
      <c r="A125" s="256">
        <f>ROWS($B$5:B123)</f>
        <v>119</v>
      </c>
      <c r="B125" s="256">
        <v>40566</v>
      </c>
      <c r="C125" s="256" t="s">
        <v>1968</v>
      </c>
      <c r="D125" s="256" t="s">
        <v>1907</v>
      </c>
      <c r="E125" s="256" t="s">
        <v>1189</v>
      </c>
      <c r="F125" s="290"/>
      <c r="G125" s="236" t="b">
        <v>0</v>
      </c>
      <c r="H125" s="236" t="b">
        <v>0</v>
      </c>
      <c r="I125" s="236" t="b">
        <v>0</v>
      </c>
      <c r="J125" s="236" t="b">
        <v>0</v>
      </c>
      <c r="K125" s="236" t="b">
        <v>0</v>
      </c>
      <c r="L125" s="236" t="b">
        <v>0</v>
      </c>
      <c r="M125" s="236" t="b">
        <v>0</v>
      </c>
      <c r="N125" s="236" t="b">
        <v>0</v>
      </c>
      <c r="O125" s="236" t="b">
        <v>0</v>
      </c>
      <c r="P125" s="236" t="b">
        <v>0</v>
      </c>
      <c r="Q125" s="236" t="b">
        <v>0</v>
      </c>
      <c r="R125" s="236" t="b">
        <v>0</v>
      </c>
      <c r="S125" s="236" t="b">
        <v>0</v>
      </c>
      <c r="T125" s="236" t="b">
        <v>0</v>
      </c>
      <c r="U125" s="236" t="b">
        <v>0</v>
      </c>
      <c r="V125" s="236" t="b">
        <v>0</v>
      </c>
      <c r="W125" s="236" t="b">
        <v>0</v>
      </c>
      <c r="X125" s="236" t="b">
        <v>0</v>
      </c>
      <c r="Y125" s="236" t="b">
        <v>0</v>
      </c>
      <c r="Z125" s="236" t="b">
        <v>0</v>
      </c>
      <c r="AA125" s="236" t="b">
        <v>0</v>
      </c>
      <c r="AB125" s="236" t="b">
        <v>0</v>
      </c>
      <c r="AC125" s="236" t="b">
        <v>0</v>
      </c>
      <c r="AD125" s="256" t="str">
        <f t="shared" si="0"/>
        <v>Thiếu chứng nhận</v>
      </c>
      <c r="AE125" s="287"/>
      <c r="AF125" s="317"/>
    </row>
  </sheetData>
  <autoFilter ref="A6:AF6" xr:uid="{CE54AC52-6D6A-4044-80C1-23842413D73F}"/>
  <mergeCells count="8">
    <mergeCell ref="G5:AC5"/>
    <mergeCell ref="A2:F3"/>
    <mergeCell ref="A5:A6"/>
    <mergeCell ref="B5:B6"/>
    <mergeCell ref="C5:C6"/>
    <mergeCell ref="D5:D6"/>
    <mergeCell ref="E5:E6"/>
    <mergeCell ref="F5:F6"/>
  </mergeCells>
  <conditionalFormatting sqref="B1:C1048576">
    <cfRule type="duplicateValues" dxfId="24" priority="4"/>
  </conditionalFormatting>
  <conditionalFormatting sqref="G7:AC125">
    <cfRule type="containsText" dxfId="23" priority="2" operator="containsText" text="false">
      <formula>NOT(ISERROR(SEARCH("false",G7)))</formula>
    </cfRule>
  </conditionalFormatting>
  <conditionalFormatting sqref="AD1:AD1048576">
    <cfRule type="containsText" dxfId="22" priority="3" operator="containsText" text="THIẾU CHỨNG NHẬN">
      <formula>NOT(ISERROR(SEARCH("THIẾU CHỨNG NHẬN",AD1)))</formula>
    </cfRule>
  </conditionalFormatting>
  <dataValidations count="1">
    <dataValidation type="list" allowBlank="1" showInputMessage="1" showErrorMessage="1" sqref="AE7:AE18" xr:uid="{7A67A18C-0127-4347-B94F-E38F4326ABAC}">
      <formula1>"CHƯA ĐÀO TẠO,ĐANG ĐÀO TẠO,CHỜ ĐÁNH GIÁ,CHỜ CẤP THẺ CNVH,ĐÁNH GIÁ LẠI"</formula1>
    </dataValidation>
  </dataValidations>
  <pageMargins left="0.16" right="0.16" top="0.16" bottom="0.16" header="0.16" footer="0.16"/>
  <pageSetup paperSize="9" scale="42" fitToHeight="0" orientation="landscape" r:id="rId1"/>
  <rowBreaks count="3" manualBreakCount="3">
    <brk id="23" min="1" max="29" man="1"/>
    <brk id="48" min="1" max="29" man="1"/>
    <brk id="92" min="1" max="29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050E-C529-4372-8847-1DEAF2A760CC}">
  <sheetPr>
    <tabColor theme="5"/>
  </sheetPr>
  <dimension ref="A1:I457"/>
  <sheetViews>
    <sheetView showGridLines="0" topLeftCell="A435" zoomScale="85" zoomScaleNormal="85" workbookViewId="0">
      <selection activeCell="F450" sqref="F450"/>
    </sheetView>
  </sheetViews>
  <sheetFormatPr defaultRowHeight="15"/>
  <cols>
    <col min="1" max="1" width="10.42578125" bestFit="1" customWidth="1"/>
    <col min="2" max="2" width="18.42578125" bestFit="1" customWidth="1"/>
    <col min="3" max="3" width="8.85546875" bestFit="1" customWidth="1"/>
    <col min="4" max="4" width="27.5703125" customWidth="1"/>
    <col min="5" max="5" width="30.28515625" bestFit="1" customWidth="1"/>
    <col min="6" max="6" width="19" bestFit="1" customWidth="1"/>
    <col min="7" max="7" width="11.85546875" bestFit="1" customWidth="1"/>
    <col min="8" max="8" width="35.85546875" bestFit="1" customWidth="1"/>
    <col min="9" max="9" width="17.42578125" bestFit="1" customWidth="1"/>
  </cols>
  <sheetData>
    <row r="1" spans="1:9" ht="15.75">
      <c r="A1" s="185" t="s">
        <v>1969</v>
      </c>
      <c r="B1" s="186" t="s">
        <v>1970</v>
      </c>
      <c r="C1" s="187" t="s">
        <v>1971</v>
      </c>
      <c r="D1" s="185" t="s">
        <v>1972</v>
      </c>
      <c r="E1" s="185" t="s">
        <v>1973</v>
      </c>
      <c r="F1" s="185" t="s">
        <v>1974</v>
      </c>
      <c r="G1" s="185" t="s">
        <v>1975</v>
      </c>
      <c r="H1" s="185" t="s">
        <v>24</v>
      </c>
      <c r="I1" s="341" t="s">
        <v>1976</v>
      </c>
    </row>
    <row r="2" spans="1:9">
      <c r="A2" s="111">
        <v>1</v>
      </c>
      <c r="B2" s="112">
        <v>44378</v>
      </c>
      <c r="C2" s="113" t="s">
        <v>441</v>
      </c>
      <c r="D2" s="114" t="s">
        <v>442</v>
      </c>
      <c r="E2" s="115" t="s">
        <v>1296</v>
      </c>
      <c r="F2" s="113" t="s">
        <v>420</v>
      </c>
      <c r="G2" s="116" t="s">
        <v>1977</v>
      </c>
      <c r="H2" s="117" t="s">
        <v>1978</v>
      </c>
    </row>
    <row r="3" spans="1:9">
      <c r="A3" s="111">
        <v>2</v>
      </c>
      <c r="B3" s="112">
        <v>45444</v>
      </c>
      <c r="C3" s="113" t="s">
        <v>554</v>
      </c>
      <c r="D3" s="114" t="s">
        <v>555</v>
      </c>
      <c r="E3" s="115" t="s">
        <v>1296</v>
      </c>
      <c r="F3" s="113" t="s">
        <v>420</v>
      </c>
      <c r="G3" s="116" t="s">
        <v>1977</v>
      </c>
      <c r="H3" s="117" t="s">
        <v>1979</v>
      </c>
    </row>
    <row r="4" spans="1:9">
      <c r="A4" s="111">
        <v>3</v>
      </c>
      <c r="B4" s="112">
        <v>45717</v>
      </c>
      <c r="C4" s="113" t="s">
        <v>739</v>
      </c>
      <c r="D4" s="114" t="s">
        <v>740</v>
      </c>
      <c r="E4" s="115" t="s">
        <v>1225</v>
      </c>
      <c r="F4" s="113" t="s">
        <v>299</v>
      </c>
      <c r="G4" s="116" t="s">
        <v>1977</v>
      </c>
      <c r="H4" s="117" t="s">
        <v>1979</v>
      </c>
    </row>
    <row r="5" spans="1:9">
      <c r="A5" s="111">
        <v>4</v>
      </c>
      <c r="B5" s="112">
        <v>44621</v>
      </c>
      <c r="C5" s="113" t="s">
        <v>1734</v>
      </c>
      <c r="D5" s="114" t="s">
        <v>1735</v>
      </c>
      <c r="E5" s="115" t="s">
        <v>1646</v>
      </c>
      <c r="F5" s="113" t="s">
        <v>299</v>
      </c>
      <c r="G5" s="116" t="s">
        <v>1977</v>
      </c>
      <c r="H5" s="117" t="s">
        <v>1980</v>
      </c>
    </row>
    <row r="6" spans="1:9">
      <c r="A6" s="111">
        <v>5</v>
      </c>
      <c r="B6" s="112">
        <v>44652</v>
      </c>
      <c r="C6" s="113" t="s">
        <v>465</v>
      </c>
      <c r="D6" s="114" t="s">
        <v>466</v>
      </c>
      <c r="E6" s="115" t="s">
        <v>1296</v>
      </c>
      <c r="F6" s="113" t="s">
        <v>420</v>
      </c>
      <c r="G6" s="116" t="s">
        <v>1977</v>
      </c>
      <c r="H6" s="117" t="s">
        <v>1981</v>
      </c>
    </row>
    <row r="7" spans="1:9">
      <c r="A7" s="111">
        <v>6</v>
      </c>
      <c r="B7" s="118">
        <v>46083</v>
      </c>
      <c r="C7" s="119" t="s">
        <v>1982</v>
      </c>
      <c r="D7" s="120" t="s">
        <v>1983</v>
      </c>
      <c r="E7" s="121" t="s">
        <v>1984</v>
      </c>
      <c r="F7" s="119" t="s">
        <v>1985</v>
      </c>
      <c r="G7" s="122" t="s">
        <v>1986</v>
      </c>
      <c r="H7" s="121"/>
    </row>
    <row r="8" spans="1:9">
      <c r="A8" s="111">
        <v>7</v>
      </c>
      <c r="B8" s="118">
        <v>43549</v>
      </c>
      <c r="C8" s="119" t="s">
        <v>1987</v>
      </c>
      <c r="D8" s="120" t="s">
        <v>1937</v>
      </c>
      <c r="E8" s="121" t="s">
        <v>1988</v>
      </c>
      <c r="F8" s="119" t="s">
        <v>1985</v>
      </c>
      <c r="G8" s="122" t="s">
        <v>1986</v>
      </c>
      <c r="H8" s="121"/>
    </row>
    <row r="9" spans="1:9">
      <c r="A9" s="111">
        <v>8</v>
      </c>
      <c r="B9" s="118">
        <v>39034</v>
      </c>
      <c r="C9" s="119" t="s">
        <v>1989</v>
      </c>
      <c r="D9" s="120" t="s">
        <v>1990</v>
      </c>
      <c r="E9" s="123" t="s">
        <v>1988</v>
      </c>
      <c r="F9" s="124" t="s">
        <v>1985</v>
      </c>
      <c r="G9" s="122" t="s">
        <v>1986</v>
      </c>
      <c r="H9" s="117"/>
    </row>
    <row r="10" spans="1:9">
      <c r="A10" s="111">
        <v>9</v>
      </c>
      <c r="B10" s="118">
        <v>40896</v>
      </c>
      <c r="C10" s="119" t="s">
        <v>1991</v>
      </c>
      <c r="D10" s="120" t="s">
        <v>1992</v>
      </c>
      <c r="E10" s="123" t="s">
        <v>1988</v>
      </c>
      <c r="F10" s="124" t="s">
        <v>1985</v>
      </c>
      <c r="G10" s="122" t="s">
        <v>1986</v>
      </c>
      <c r="H10" s="117"/>
    </row>
    <row r="11" spans="1:9">
      <c r="A11" s="111">
        <v>10</v>
      </c>
      <c r="B11" s="118">
        <v>43910</v>
      </c>
      <c r="C11" s="119" t="s">
        <v>1993</v>
      </c>
      <c r="D11" s="120" t="s">
        <v>1994</v>
      </c>
      <c r="E11" s="123" t="s">
        <v>1988</v>
      </c>
      <c r="F11" s="124" t="s">
        <v>1985</v>
      </c>
      <c r="G11" s="122" t="s">
        <v>1986</v>
      </c>
      <c r="H11" s="117"/>
    </row>
    <row r="12" spans="1:9">
      <c r="A12" s="111">
        <v>11</v>
      </c>
      <c r="B12" s="112">
        <v>44348</v>
      </c>
      <c r="C12" s="125" t="s">
        <v>627</v>
      </c>
      <c r="D12" s="126" t="s">
        <v>628</v>
      </c>
      <c r="E12" s="127" t="s">
        <v>1995</v>
      </c>
      <c r="F12" s="119" t="s">
        <v>1985</v>
      </c>
      <c r="G12" s="128" t="s">
        <v>1996</v>
      </c>
      <c r="H12" s="129"/>
    </row>
    <row r="13" spans="1:9">
      <c r="A13" s="111">
        <v>12</v>
      </c>
      <c r="B13" s="130">
        <v>41122</v>
      </c>
      <c r="C13" s="119" t="s">
        <v>1997</v>
      </c>
      <c r="D13" s="117" t="s">
        <v>1998</v>
      </c>
      <c r="E13" s="121" t="s">
        <v>1999</v>
      </c>
      <c r="F13" s="131" t="s">
        <v>1985</v>
      </c>
      <c r="G13" s="119" t="s">
        <v>1996</v>
      </c>
      <c r="H13" s="119"/>
    </row>
    <row r="14" spans="1:9">
      <c r="A14" s="111">
        <v>13</v>
      </c>
      <c r="B14" s="118">
        <v>44166</v>
      </c>
      <c r="C14" s="119" t="s">
        <v>2000</v>
      </c>
      <c r="D14" s="120" t="s">
        <v>2001</v>
      </c>
      <c r="E14" s="121" t="s">
        <v>2002</v>
      </c>
      <c r="F14" s="124" t="s">
        <v>1985</v>
      </c>
      <c r="G14" s="128" t="s">
        <v>1996</v>
      </c>
      <c r="H14" s="117"/>
    </row>
    <row r="15" spans="1:9">
      <c r="A15" s="111">
        <v>14</v>
      </c>
      <c r="B15" s="132">
        <v>41031</v>
      </c>
      <c r="C15" s="133" t="s">
        <v>2003</v>
      </c>
      <c r="D15" s="134" t="s">
        <v>2004</v>
      </c>
      <c r="E15" s="135" t="s">
        <v>2005</v>
      </c>
      <c r="F15" s="133" t="s">
        <v>743</v>
      </c>
      <c r="G15" s="128" t="s">
        <v>2006</v>
      </c>
      <c r="H15" s="129"/>
    </row>
    <row r="16" spans="1:9">
      <c r="A16" s="111">
        <v>15</v>
      </c>
      <c r="B16" s="118">
        <v>40325</v>
      </c>
      <c r="C16" s="133" t="s">
        <v>2007</v>
      </c>
      <c r="D16" s="136" t="s">
        <v>2008</v>
      </c>
      <c r="E16" s="135" t="s">
        <v>2005</v>
      </c>
      <c r="F16" s="137" t="s">
        <v>743</v>
      </c>
      <c r="G16" s="128" t="s">
        <v>1996</v>
      </c>
      <c r="H16" s="117"/>
    </row>
    <row r="17" spans="1:8">
      <c r="A17" s="111">
        <v>16</v>
      </c>
      <c r="B17" s="118">
        <v>45791</v>
      </c>
      <c r="C17" s="138" t="s">
        <v>2009</v>
      </c>
      <c r="D17" s="136" t="s">
        <v>2010</v>
      </c>
      <c r="E17" s="135" t="s">
        <v>2005</v>
      </c>
      <c r="F17" s="137" t="s">
        <v>743</v>
      </c>
      <c r="G17" s="128" t="s">
        <v>2011</v>
      </c>
      <c r="H17" s="139"/>
    </row>
    <row r="18" spans="1:8">
      <c r="A18" s="111">
        <v>17</v>
      </c>
      <c r="B18" s="118">
        <v>40602</v>
      </c>
      <c r="C18" s="133" t="s">
        <v>2012</v>
      </c>
      <c r="D18" s="140" t="s">
        <v>2013</v>
      </c>
      <c r="E18" s="135" t="s">
        <v>1204</v>
      </c>
      <c r="F18" s="137" t="s">
        <v>336</v>
      </c>
      <c r="G18" s="128" t="s">
        <v>2006</v>
      </c>
      <c r="H18" s="117"/>
    </row>
    <row r="19" spans="1:8">
      <c r="A19" s="111">
        <v>18</v>
      </c>
      <c r="B19" s="118">
        <v>45110</v>
      </c>
      <c r="C19" s="133" t="s">
        <v>343</v>
      </c>
      <c r="D19" s="136" t="s">
        <v>344</v>
      </c>
      <c r="E19" s="135" t="s">
        <v>1204</v>
      </c>
      <c r="F19" s="137" t="s">
        <v>336</v>
      </c>
      <c r="G19" s="128" t="s">
        <v>1996</v>
      </c>
      <c r="H19" s="117"/>
    </row>
    <row r="20" spans="1:8">
      <c r="A20" s="111">
        <v>19</v>
      </c>
      <c r="B20" s="112">
        <v>43222</v>
      </c>
      <c r="C20" s="141" t="s">
        <v>1205</v>
      </c>
      <c r="D20" s="142" t="s">
        <v>768</v>
      </c>
      <c r="E20" s="135" t="s">
        <v>1204</v>
      </c>
      <c r="F20" s="133" t="s">
        <v>336</v>
      </c>
      <c r="G20" s="128" t="s">
        <v>2011</v>
      </c>
      <c r="H20" s="117"/>
    </row>
    <row r="21" spans="1:8">
      <c r="A21" s="111">
        <v>20</v>
      </c>
      <c r="B21" s="118">
        <v>44378</v>
      </c>
      <c r="C21" s="119" t="s">
        <v>349</v>
      </c>
      <c r="D21" s="120" t="s">
        <v>350</v>
      </c>
      <c r="E21" s="121" t="s">
        <v>1206</v>
      </c>
      <c r="F21" s="119" t="s">
        <v>336</v>
      </c>
      <c r="G21" s="128" t="s">
        <v>2006</v>
      </c>
      <c r="H21" s="117"/>
    </row>
    <row r="22" spans="1:8">
      <c r="A22" s="111">
        <v>21</v>
      </c>
      <c r="B22" s="118">
        <v>44166</v>
      </c>
      <c r="C22" s="119" t="s">
        <v>389</v>
      </c>
      <c r="D22" s="120" t="s">
        <v>390</v>
      </c>
      <c r="E22" s="121" t="s">
        <v>1207</v>
      </c>
      <c r="F22" s="119" t="s">
        <v>336</v>
      </c>
      <c r="G22" s="128" t="s">
        <v>1996</v>
      </c>
      <c r="H22" s="117"/>
    </row>
    <row r="23" spans="1:8">
      <c r="A23" s="111">
        <v>22</v>
      </c>
      <c r="B23" s="118">
        <v>44986</v>
      </c>
      <c r="C23" s="143" t="s">
        <v>334</v>
      </c>
      <c r="D23" s="120" t="s">
        <v>335</v>
      </c>
      <c r="E23" s="144" t="s">
        <v>1207</v>
      </c>
      <c r="F23" s="119" t="s">
        <v>336</v>
      </c>
      <c r="G23" s="128" t="s">
        <v>2011</v>
      </c>
      <c r="H23" s="139" t="s">
        <v>2014</v>
      </c>
    </row>
    <row r="24" spans="1:8">
      <c r="A24" s="111">
        <v>23</v>
      </c>
      <c r="B24" s="118">
        <v>45139</v>
      </c>
      <c r="C24" s="143" t="s">
        <v>339</v>
      </c>
      <c r="D24" s="120" t="s">
        <v>340</v>
      </c>
      <c r="E24" s="144" t="s">
        <v>1208</v>
      </c>
      <c r="F24" s="119" t="s">
        <v>336</v>
      </c>
      <c r="G24" s="128" t="s">
        <v>2006</v>
      </c>
      <c r="H24" s="139" t="s">
        <v>2015</v>
      </c>
    </row>
    <row r="25" spans="1:8">
      <c r="A25" s="111">
        <v>24</v>
      </c>
      <c r="B25" s="118">
        <v>43222</v>
      </c>
      <c r="C25" s="119" t="s">
        <v>345</v>
      </c>
      <c r="D25" s="120" t="s">
        <v>346</v>
      </c>
      <c r="E25" s="121" t="s">
        <v>1206</v>
      </c>
      <c r="F25" s="119" t="s">
        <v>336</v>
      </c>
      <c r="G25" s="128" t="s">
        <v>2011</v>
      </c>
      <c r="H25" s="121"/>
    </row>
    <row r="26" spans="1:8">
      <c r="A26" s="111">
        <v>25</v>
      </c>
      <c r="B26" s="118">
        <v>40773</v>
      </c>
      <c r="C26" s="119" t="s">
        <v>377</v>
      </c>
      <c r="D26" s="120" t="s">
        <v>378</v>
      </c>
      <c r="E26" s="121" t="s">
        <v>1209</v>
      </c>
      <c r="F26" s="119" t="s">
        <v>336</v>
      </c>
      <c r="G26" s="128" t="s">
        <v>1996</v>
      </c>
      <c r="H26" s="117"/>
    </row>
    <row r="27" spans="1:8">
      <c r="A27" s="111">
        <v>26</v>
      </c>
      <c r="B27" s="118">
        <v>44166</v>
      </c>
      <c r="C27" s="119" t="s">
        <v>381</v>
      </c>
      <c r="D27" s="120" t="s">
        <v>382</v>
      </c>
      <c r="E27" s="144" t="s">
        <v>1210</v>
      </c>
      <c r="F27" s="119" t="s">
        <v>336</v>
      </c>
      <c r="G27" s="128" t="s">
        <v>1996</v>
      </c>
      <c r="H27" s="117"/>
    </row>
    <row r="28" spans="1:8">
      <c r="A28" s="111">
        <v>27</v>
      </c>
      <c r="B28" s="118">
        <v>44743</v>
      </c>
      <c r="C28" s="119" t="s">
        <v>353</v>
      </c>
      <c r="D28" s="120" t="s">
        <v>354</v>
      </c>
      <c r="E28" s="121" t="s">
        <v>1206</v>
      </c>
      <c r="F28" s="119" t="s">
        <v>336</v>
      </c>
      <c r="G28" s="128" t="s">
        <v>1996</v>
      </c>
      <c r="H28" s="117"/>
    </row>
    <row r="29" spans="1:8">
      <c r="A29" s="111">
        <v>28</v>
      </c>
      <c r="B29" s="118">
        <v>44743</v>
      </c>
      <c r="C29" s="119" t="s">
        <v>383</v>
      </c>
      <c r="D29" s="120" t="s">
        <v>384</v>
      </c>
      <c r="E29" s="144" t="s">
        <v>1208</v>
      </c>
      <c r="F29" s="119" t="s">
        <v>336</v>
      </c>
      <c r="G29" s="128" t="s">
        <v>1996</v>
      </c>
      <c r="H29" s="139" t="s">
        <v>2016</v>
      </c>
    </row>
    <row r="30" spans="1:8">
      <c r="A30" s="111">
        <v>29</v>
      </c>
      <c r="B30" s="145">
        <v>45383</v>
      </c>
      <c r="C30" s="146" t="s">
        <v>369</v>
      </c>
      <c r="D30" s="120" t="s">
        <v>370</v>
      </c>
      <c r="E30" s="144" t="s">
        <v>1211</v>
      </c>
      <c r="F30" s="119" t="s">
        <v>336</v>
      </c>
      <c r="G30" s="128" t="s">
        <v>2011</v>
      </c>
      <c r="H30" s="139"/>
    </row>
    <row r="31" spans="1:8">
      <c r="A31" s="111">
        <v>30</v>
      </c>
      <c r="B31" s="145">
        <v>45413</v>
      </c>
      <c r="C31" s="147" t="s">
        <v>361</v>
      </c>
      <c r="D31" s="120" t="s">
        <v>362</v>
      </c>
      <c r="E31" s="144" t="s">
        <v>1211</v>
      </c>
      <c r="F31" s="119" t="s">
        <v>336</v>
      </c>
      <c r="G31" s="128" t="s">
        <v>1996</v>
      </c>
      <c r="H31" s="139"/>
    </row>
    <row r="32" spans="1:8">
      <c r="A32" s="111">
        <v>31</v>
      </c>
      <c r="B32" s="118">
        <v>43770</v>
      </c>
      <c r="C32" s="143" t="s">
        <v>437</v>
      </c>
      <c r="D32" s="120" t="s">
        <v>438</v>
      </c>
      <c r="E32" s="121" t="s">
        <v>1206</v>
      </c>
      <c r="F32" s="119" t="s">
        <v>336</v>
      </c>
      <c r="G32" s="128" t="s">
        <v>2006</v>
      </c>
      <c r="H32" s="121"/>
    </row>
    <row r="33" spans="1:8">
      <c r="A33" s="111">
        <v>32</v>
      </c>
      <c r="B33" s="145">
        <v>45444</v>
      </c>
      <c r="C33" s="146" t="s">
        <v>359</v>
      </c>
      <c r="D33" s="120" t="s">
        <v>360</v>
      </c>
      <c r="E33" s="144" t="s">
        <v>1208</v>
      </c>
      <c r="F33" s="119" t="s">
        <v>336</v>
      </c>
      <c r="G33" s="128" t="s">
        <v>2011</v>
      </c>
      <c r="H33" s="139" t="s">
        <v>2017</v>
      </c>
    </row>
    <row r="34" spans="1:8">
      <c r="A34" s="111">
        <v>33</v>
      </c>
      <c r="B34" s="118">
        <v>45474</v>
      </c>
      <c r="C34" s="143" t="s">
        <v>623</v>
      </c>
      <c r="D34" s="120" t="s">
        <v>624</v>
      </c>
      <c r="E34" s="123" t="s">
        <v>1208</v>
      </c>
      <c r="F34" s="119" t="s">
        <v>336</v>
      </c>
      <c r="G34" s="128" t="s">
        <v>1996</v>
      </c>
      <c r="H34" s="121" t="s">
        <v>2018</v>
      </c>
    </row>
    <row r="35" spans="1:8">
      <c r="A35" s="111">
        <v>34</v>
      </c>
      <c r="B35" s="145">
        <v>45505</v>
      </c>
      <c r="C35" s="146" t="s">
        <v>367</v>
      </c>
      <c r="D35" s="120" t="s">
        <v>368</v>
      </c>
      <c r="E35" s="144" t="s">
        <v>1211</v>
      </c>
      <c r="F35" s="119" t="s">
        <v>336</v>
      </c>
      <c r="G35" s="128" t="s">
        <v>2006</v>
      </c>
      <c r="H35" s="139"/>
    </row>
    <row r="36" spans="1:8">
      <c r="A36" s="111">
        <v>35</v>
      </c>
      <c r="B36" s="118">
        <v>45658</v>
      </c>
      <c r="C36" s="143" t="s">
        <v>1212</v>
      </c>
      <c r="D36" s="120" t="s">
        <v>625</v>
      </c>
      <c r="E36" s="121" t="s">
        <v>1211</v>
      </c>
      <c r="F36" s="119" t="s">
        <v>336</v>
      </c>
      <c r="G36" s="128" t="s">
        <v>1996</v>
      </c>
      <c r="H36" s="139"/>
    </row>
    <row r="37" spans="1:8">
      <c r="A37" s="111">
        <v>36</v>
      </c>
      <c r="B37" s="118">
        <v>45689</v>
      </c>
      <c r="C37" s="143" t="s">
        <v>1213</v>
      </c>
      <c r="D37" s="120" t="s">
        <v>626</v>
      </c>
      <c r="E37" s="121" t="s">
        <v>1211</v>
      </c>
      <c r="F37" s="119" t="s">
        <v>336</v>
      </c>
      <c r="G37" s="128" t="s">
        <v>2006</v>
      </c>
      <c r="H37" s="139"/>
    </row>
    <row r="38" spans="1:8">
      <c r="A38" s="111">
        <v>37</v>
      </c>
      <c r="B38" s="118">
        <v>40710</v>
      </c>
      <c r="C38" s="143" t="s">
        <v>678</v>
      </c>
      <c r="D38" s="120" t="s">
        <v>679</v>
      </c>
      <c r="E38" s="121" t="s">
        <v>1206</v>
      </c>
      <c r="F38" s="119" t="s">
        <v>336</v>
      </c>
      <c r="G38" s="128" t="s">
        <v>1996</v>
      </c>
      <c r="H38" s="139"/>
    </row>
    <row r="39" spans="1:8">
      <c r="A39" s="111">
        <v>38</v>
      </c>
      <c r="B39" s="118">
        <v>45748</v>
      </c>
      <c r="C39" s="148" t="s">
        <v>357</v>
      </c>
      <c r="D39" s="120" t="s">
        <v>358</v>
      </c>
      <c r="E39" s="121" t="s">
        <v>1206</v>
      </c>
      <c r="F39" s="119" t="s">
        <v>336</v>
      </c>
      <c r="G39" s="128" t="s">
        <v>2006</v>
      </c>
      <c r="H39" s="139"/>
    </row>
    <row r="40" spans="1:8">
      <c r="A40" s="111">
        <v>39</v>
      </c>
      <c r="B40" s="118">
        <v>45778</v>
      </c>
      <c r="C40" s="143" t="s">
        <v>371</v>
      </c>
      <c r="D40" s="120" t="s">
        <v>372</v>
      </c>
      <c r="E40" s="121" t="s">
        <v>1206</v>
      </c>
      <c r="F40" s="125" t="s">
        <v>336</v>
      </c>
      <c r="G40" s="128" t="s">
        <v>2011</v>
      </c>
      <c r="H40" s="139"/>
    </row>
    <row r="41" spans="1:8">
      <c r="A41" s="111">
        <v>40</v>
      </c>
      <c r="B41" s="118">
        <v>45536</v>
      </c>
      <c r="C41" s="149" t="s">
        <v>1214</v>
      </c>
      <c r="D41" s="120" t="s">
        <v>887</v>
      </c>
      <c r="E41" s="121" t="s">
        <v>1215</v>
      </c>
      <c r="F41" s="125" t="s">
        <v>336</v>
      </c>
      <c r="G41" s="128" t="s">
        <v>2006</v>
      </c>
      <c r="H41" s="139"/>
    </row>
    <row r="42" spans="1:8">
      <c r="A42" s="111">
        <v>41</v>
      </c>
      <c r="B42" s="118">
        <v>45870</v>
      </c>
      <c r="C42" s="143" t="s">
        <v>1216</v>
      </c>
      <c r="D42" s="120" t="s">
        <v>1217</v>
      </c>
      <c r="E42" s="121" t="s">
        <v>1211</v>
      </c>
      <c r="F42" s="125" t="s">
        <v>336</v>
      </c>
      <c r="G42" s="128" t="s">
        <v>2019</v>
      </c>
      <c r="H42" s="139"/>
    </row>
    <row r="43" spans="1:8">
      <c r="A43" s="111">
        <v>42</v>
      </c>
      <c r="B43" s="118">
        <v>45901</v>
      </c>
      <c r="C43" s="143" t="s">
        <v>1218</v>
      </c>
      <c r="D43" s="120" t="s">
        <v>868</v>
      </c>
      <c r="E43" s="144" t="s">
        <v>1208</v>
      </c>
      <c r="F43" s="125" t="s">
        <v>336</v>
      </c>
      <c r="G43" s="128" t="s">
        <v>2006</v>
      </c>
      <c r="H43" s="139" t="s">
        <v>2017</v>
      </c>
    </row>
    <row r="44" spans="1:8">
      <c r="A44" s="111">
        <v>43</v>
      </c>
      <c r="B44" s="118">
        <v>45931</v>
      </c>
      <c r="C44" s="143" t="s">
        <v>1219</v>
      </c>
      <c r="D44" s="120" t="s">
        <v>860</v>
      </c>
      <c r="E44" s="121" t="s">
        <v>1211</v>
      </c>
      <c r="F44" s="125" t="s">
        <v>336</v>
      </c>
      <c r="G44" s="128" t="s">
        <v>2011</v>
      </c>
      <c r="H44" s="139"/>
    </row>
    <row r="45" spans="1:8">
      <c r="A45" s="111">
        <v>44</v>
      </c>
      <c r="B45" s="118">
        <v>46054</v>
      </c>
      <c r="C45" s="148" t="s">
        <v>1220</v>
      </c>
      <c r="D45" s="120" t="s">
        <v>1221</v>
      </c>
      <c r="E45" s="123" t="s">
        <v>1222</v>
      </c>
      <c r="F45" s="125" t="s">
        <v>336</v>
      </c>
      <c r="G45" s="128" t="s">
        <v>1996</v>
      </c>
      <c r="H45" s="139"/>
    </row>
    <row r="46" spans="1:8">
      <c r="A46" s="111">
        <v>45</v>
      </c>
      <c r="B46" s="118">
        <v>46174</v>
      </c>
      <c r="C46" s="342" t="s">
        <v>1250</v>
      </c>
      <c r="D46" s="120" t="s">
        <v>1251</v>
      </c>
      <c r="E46" s="121" t="s">
        <v>1252</v>
      </c>
      <c r="F46" s="125" t="s">
        <v>336</v>
      </c>
      <c r="G46" s="128" t="s">
        <v>1996</v>
      </c>
      <c r="H46" s="121"/>
    </row>
    <row r="47" spans="1:8">
      <c r="A47" s="111">
        <v>46</v>
      </c>
      <c r="B47" s="118">
        <v>46113</v>
      </c>
      <c r="C47" s="156" t="s">
        <v>1223</v>
      </c>
      <c r="D47" s="150" t="s">
        <v>1224</v>
      </c>
      <c r="E47" s="121" t="s">
        <v>1225</v>
      </c>
      <c r="F47" s="125" t="s">
        <v>336</v>
      </c>
      <c r="G47" s="128" t="s">
        <v>2011</v>
      </c>
      <c r="H47" s="139"/>
    </row>
    <row r="48" spans="1:8">
      <c r="A48" s="111">
        <v>47</v>
      </c>
      <c r="B48" s="118">
        <v>46024</v>
      </c>
      <c r="C48" s="151" t="s">
        <v>1228</v>
      </c>
      <c r="D48" s="150" t="s">
        <v>809</v>
      </c>
      <c r="E48" s="121" t="s">
        <v>1225</v>
      </c>
      <c r="F48" s="125" t="s">
        <v>336</v>
      </c>
      <c r="G48" s="128" t="s">
        <v>2006</v>
      </c>
      <c r="H48" s="139"/>
    </row>
    <row r="49" spans="1:8">
      <c r="A49" s="111">
        <v>48</v>
      </c>
      <c r="B49" s="118">
        <v>45962</v>
      </c>
      <c r="C49" s="152" t="s">
        <v>1229</v>
      </c>
      <c r="D49" s="153" t="s">
        <v>760</v>
      </c>
      <c r="E49" s="127" t="s">
        <v>1225</v>
      </c>
      <c r="F49" s="125" t="s">
        <v>336</v>
      </c>
      <c r="G49" s="128" t="s">
        <v>2006</v>
      </c>
      <c r="H49" s="139"/>
    </row>
    <row r="50" spans="1:8">
      <c r="A50" s="111">
        <v>49</v>
      </c>
      <c r="B50" s="118">
        <v>45992</v>
      </c>
      <c r="C50" s="154" t="s">
        <v>1230</v>
      </c>
      <c r="D50" s="150" t="s">
        <v>759</v>
      </c>
      <c r="E50" s="121" t="s">
        <v>1225</v>
      </c>
      <c r="F50" s="125" t="s">
        <v>336</v>
      </c>
      <c r="G50" s="128" t="s">
        <v>1996</v>
      </c>
      <c r="H50" s="139"/>
    </row>
    <row r="51" spans="1:8">
      <c r="A51" s="111">
        <v>50</v>
      </c>
      <c r="B51" s="118">
        <v>46144</v>
      </c>
      <c r="C51" s="152" t="s">
        <v>1231</v>
      </c>
      <c r="D51" s="153" t="s">
        <v>1232</v>
      </c>
      <c r="E51" s="127" t="s">
        <v>1225</v>
      </c>
      <c r="F51" s="125" t="s">
        <v>336</v>
      </c>
      <c r="G51" s="128" t="s">
        <v>1996</v>
      </c>
      <c r="H51" s="139"/>
    </row>
    <row r="52" spans="1:8">
      <c r="A52" s="111">
        <v>51</v>
      </c>
      <c r="B52" s="118">
        <v>46113</v>
      </c>
      <c r="C52" s="156" t="s">
        <v>1233</v>
      </c>
      <c r="D52" s="150" t="s">
        <v>1234</v>
      </c>
      <c r="E52" s="121" t="s">
        <v>1225</v>
      </c>
      <c r="F52" s="125" t="s">
        <v>336</v>
      </c>
      <c r="G52" s="128" t="s">
        <v>2011</v>
      </c>
      <c r="H52" s="139"/>
    </row>
    <row r="53" spans="1:8">
      <c r="A53" s="111">
        <v>52</v>
      </c>
      <c r="B53" s="118">
        <v>46144</v>
      </c>
      <c r="C53" s="152" t="s">
        <v>1235</v>
      </c>
      <c r="D53" s="150" t="s">
        <v>626</v>
      </c>
      <c r="E53" s="121" t="s">
        <v>1225</v>
      </c>
      <c r="F53" s="125" t="s">
        <v>336</v>
      </c>
      <c r="G53" s="128" t="s">
        <v>1996</v>
      </c>
      <c r="H53" s="139"/>
    </row>
    <row r="54" spans="1:8">
      <c r="A54" s="111">
        <v>53</v>
      </c>
      <c r="B54" s="118">
        <v>46077</v>
      </c>
      <c r="C54" s="157" t="s">
        <v>1236</v>
      </c>
      <c r="D54" s="150" t="s">
        <v>1237</v>
      </c>
      <c r="E54" s="121" t="s">
        <v>1225</v>
      </c>
      <c r="F54" s="125" t="s">
        <v>336</v>
      </c>
      <c r="G54" s="128" t="s">
        <v>2011</v>
      </c>
      <c r="H54" s="121"/>
    </row>
    <row r="55" spans="1:8">
      <c r="A55" s="111">
        <v>54</v>
      </c>
      <c r="B55" s="118">
        <v>46086</v>
      </c>
      <c r="C55" s="157" t="s">
        <v>1240</v>
      </c>
      <c r="D55" s="150" t="s">
        <v>1241</v>
      </c>
      <c r="E55" s="121" t="s">
        <v>1225</v>
      </c>
      <c r="F55" s="125" t="s">
        <v>336</v>
      </c>
      <c r="G55" s="128" t="s">
        <v>2006</v>
      </c>
      <c r="H55" s="121"/>
    </row>
    <row r="56" spans="1:8">
      <c r="A56" s="111">
        <v>55</v>
      </c>
      <c r="B56" s="118">
        <v>46093</v>
      </c>
      <c r="C56" s="157" t="s">
        <v>1242</v>
      </c>
      <c r="D56" s="150" t="s">
        <v>1243</v>
      </c>
      <c r="E56" s="121" t="s">
        <v>1225</v>
      </c>
      <c r="F56" s="125" t="s">
        <v>336</v>
      </c>
      <c r="G56" s="128" t="s">
        <v>2011</v>
      </c>
      <c r="H56" s="121"/>
    </row>
    <row r="57" spans="1:8">
      <c r="A57" s="111">
        <v>56</v>
      </c>
      <c r="B57" s="118">
        <v>46094</v>
      </c>
      <c r="C57" s="157" t="s">
        <v>1244</v>
      </c>
      <c r="D57" s="150" t="s">
        <v>1245</v>
      </c>
      <c r="E57" s="121" t="s">
        <v>1225</v>
      </c>
      <c r="F57" s="125" t="s">
        <v>336</v>
      </c>
      <c r="G57" s="128" t="s">
        <v>2011</v>
      </c>
      <c r="H57" s="121"/>
    </row>
    <row r="58" spans="1:8">
      <c r="A58" s="111">
        <v>58</v>
      </c>
      <c r="B58" s="118">
        <v>46107</v>
      </c>
      <c r="C58" s="157" t="s">
        <v>1248</v>
      </c>
      <c r="D58" s="150" t="s">
        <v>1249</v>
      </c>
      <c r="E58" s="121" t="s">
        <v>1225</v>
      </c>
      <c r="F58" s="125" t="s">
        <v>336</v>
      </c>
      <c r="G58" s="128" t="s">
        <v>1996</v>
      </c>
      <c r="H58" s="121"/>
    </row>
    <row r="59" spans="1:8">
      <c r="A59" s="111">
        <v>59</v>
      </c>
      <c r="B59" s="118">
        <v>46112</v>
      </c>
      <c r="C59" s="157" t="s">
        <v>1253</v>
      </c>
      <c r="D59" s="150" t="s">
        <v>1254</v>
      </c>
      <c r="E59" s="121" t="s">
        <v>1225</v>
      </c>
      <c r="F59" s="125" t="s">
        <v>336</v>
      </c>
      <c r="G59" s="128" t="s">
        <v>2011</v>
      </c>
      <c r="H59" s="121"/>
    </row>
    <row r="60" spans="1:8">
      <c r="A60" s="111">
        <v>60</v>
      </c>
      <c r="B60" s="118">
        <v>39700</v>
      </c>
      <c r="C60" s="133" t="s">
        <v>489</v>
      </c>
      <c r="D60" s="136" t="s">
        <v>490</v>
      </c>
      <c r="E60" s="158" t="s">
        <v>1292</v>
      </c>
      <c r="F60" s="133" t="s">
        <v>420</v>
      </c>
      <c r="G60" s="128" t="s">
        <v>2006</v>
      </c>
      <c r="H60" s="117"/>
    </row>
    <row r="61" spans="1:8">
      <c r="A61" s="111">
        <v>61</v>
      </c>
      <c r="B61" s="118">
        <v>40646</v>
      </c>
      <c r="C61" s="133" t="s">
        <v>491</v>
      </c>
      <c r="D61" s="136" t="s">
        <v>492</v>
      </c>
      <c r="E61" s="158" t="s">
        <v>1292</v>
      </c>
      <c r="F61" s="133" t="s">
        <v>420</v>
      </c>
      <c r="G61" s="128" t="s">
        <v>1996</v>
      </c>
      <c r="H61" s="117"/>
    </row>
    <row r="62" spans="1:8">
      <c r="A62" s="111">
        <v>62</v>
      </c>
      <c r="B62" s="118">
        <v>40992</v>
      </c>
      <c r="C62" s="133" t="s">
        <v>493</v>
      </c>
      <c r="D62" s="140" t="s">
        <v>494</v>
      </c>
      <c r="E62" s="158" t="s">
        <v>1292</v>
      </c>
      <c r="F62" s="133" t="s">
        <v>420</v>
      </c>
      <c r="G62" s="128" t="s">
        <v>2011</v>
      </c>
      <c r="H62" s="117"/>
    </row>
    <row r="63" spans="1:8">
      <c r="A63" s="111">
        <v>63</v>
      </c>
      <c r="B63" s="118">
        <v>44621</v>
      </c>
      <c r="C63" s="119" t="s">
        <v>451</v>
      </c>
      <c r="D63" s="120" t="s">
        <v>452</v>
      </c>
      <c r="E63" s="121" t="s">
        <v>1296</v>
      </c>
      <c r="F63" s="119" t="s">
        <v>420</v>
      </c>
      <c r="G63" s="128" t="s">
        <v>1996</v>
      </c>
      <c r="H63" s="129"/>
    </row>
    <row r="64" spans="1:8">
      <c r="A64" s="111">
        <v>64</v>
      </c>
      <c r="B64" s="118">
        <v>43222</v>
      </c>
      <c r="C64" s="119" t="s">
        <v>565</v>
      </c>
      <c r="D64" s="120" t="s">
        <v>566</v>
      </c>
      <c r="E64" s="121" t="s">
        <v>1293</v>
      </c>
      <c r="F64" s="119" t="s">
        <v>420</v>
      </c>
      <c r="G64" s="128" t="s">
        <v>2006</v>
      </c>
      <c r="H64" s="160"/>
    </row>
    <row r="65" spans="1:8">
      <c r="A65" s="111">
        <v>65</v>
      </c>
      <c r="B65" s="118">
        <v>44621</v>
      </c>
      <c r="C65" s="119" t="s">
        <v>447</v>
      </c>
      <c r="D65" s="120" t="s">
        <v>448</v>
      </c>
      <c r="E65" s="121" t="s">
        <v>1296</v>
      </c>
      <c r="F65" s="119" t="s">
        <v>420</v>
      </c>
      <c r="G65" s="159" t="s">
        <v>1996</v>
      </c>
      <c r="H65" s="117" t="s">
        <v>2020</v>
      </c>
    </row>
    <row r="66" spans="1:8">
      <c r="A66" s="111">
        <v>66</v>
      </c>
      <c r="B66" s="118">
        <v>40924</v>
      </c>
      <c r="C66" s="119" t="s">
        <v>563</v>
      </c>
      <c r="D66" s="139" t="s">
        <v>564</v>
      </c>
      <c r="E66" s="121" t="s">
        <v>1293</v>
      </c>
      <c r="F66" s="161" t="s">
        <v>420</v>
      </c>
      <c r="G66" s="128" t="s">
        <v>1996</v>
      </c>
      <c r="H66" s="129"/>
    </row>
    <row r="67" spans="1:8">
      <c r="A67" s="111">
        <v>67</v>
      </c>
      <c r="B67" s="145">
        <v>44166</v>
      </c>
      <c r="C67" s="119" t="s">
        <v>704</v>
      </c>
      <c r="D67" s="139" t="s">
        <v>705</v>
      </c>
      <c r="E67" s="144" t="s">
        <v>1294</v>
      </c>
      <c r="F67" s="161" t="s">
        <v>420</v>
      </c>
      <c r="G67" s="128" t="s">
        <v>2011</v>
      </c>
      <c r="H67" s="117"/>
    </row>
    <row r="68" spans="1:8">
      <c r="A68" s="111">
        <v>68</v>
      </c>
      <c r="B68" s="118">
        <v>40730</v>
      </c>
      <c r="C68" s="119" t="s">
        <v>631</v>
      </c>
      <c r="D68" s="120" t="s">
        <v>632</v>
      </c>
      <c r="E68" s="121" t="s">
        <v>1296</v>
      </c>
      <c r="F68" s="119" t="s">
        <v>420</v>
      </c>
      <c r="G68" s="128" t="s">
        <v>1996</v>
      </c>
      <c r="H68" s="117"/>
    </row>
    <row r="69" spans="1:8">
      <c r="A69" s="111">
        <v>69</v>
      </c>
      <c r="B69" s="118">
        <v>40595</v>
      </c>
      <c r="C69" s="119" t="s">
        <v>507</v>
      </c>
      <c r="D69" s="120" t="s">
        <v>508</v>
      </c>
      <c r="E69" s="121" t="s">
        <v>1295</v>
      </c>
      <c r="F69" s="119" t="s">
        <v>420</v>
      </c>
      <c r="G69" s="128" t="s">
        <v>2011</v>
      </c>
      <c r="H69" s="162"/>
    </row>
    <row r="70" spans="1:8">
      <c r="A70" s="111">
        <v>70</v>
      </c>
      <c r="B70" s="118">
        <v>40639</v>
      </c>
      <c r="C70" s="119" t="s">
        <v>423</v>
      </c>
      <c r="D70" s="117" t="s">
        <v>424</v>
      </c>
      <c r="E70" s="121" t="s">
        <v>1294</v>
      </c>
      <c r="F70" s="125" t="s">
        <v>420</v>
      </c>
      <c r="G70" s="128" t="s">
        <v>2011</v>
      </c>
      <c r="H70" s="117"/>
    </row>
    <row r="71" spans="1:8">
      <c r="A71" s="111">
        <v>71</v>
      </c>
      <c r="B71" s="118">
        <v>44621</v>
      </c>
      <c r="C71" s="119" t="s">
        <v>457</v>
      </c>
      <c r="D71" s="120" t="s">
        <v>458</v>
      </c>
      <c r="E71" s="121" t="s">
        <v>1296</v>
      </c>
      <c r="F71" s="119" t="s">
        <v>420</v>
      </c>
      <c r="G71" s="128" t="s">
        <v>2011</v>
      </c>
      <c r="H71" s="117"/>
    </row>
    <row r="72" spans="1:8">
      <c r="A72" s="111">
        <v>72</v>
      </c>
      <c r="B72" s="118">
        <v>44652</v>
      </c>
      <c r="C72" s="119" t="s">
        <v>463</v>
      </c>
      <c r="D72" s="120" t="s">
        <v>464</v>
      </c>
      <c r="E72" s="144" t="s">
        <v>1303</v>
      </c>
      <c r="F72" s="119" t="s">
        <v>420</v>
      </c>
      <c r="G72" s="128" t="s">
        <v>1996</v>
      </c>
      <c r="H72" s="139" t="s">
        <v>2016</v>
      </c>
    </row>
    <row r="73" spans="1:8">
      <c r="A73" s="111">
        <v>73</v>
      </c>
      <c r="B73" s="118">
        <v>44805</v>
      </c>
      <c r="C73" s="119" t="s">
        <v>485</v>
      </c>
      <c r="D73" s="120" t="s">
        <v>486</v>
      </c>
      <c r="E73" s="121" t="s">
        <v>1296</v>
      </c>
      <c r="F73" s="119" t="s">
        <v>420</v>
      </c>
      <c r="G73" s="128" t="s">
        <v>2011</v>
      </c>
      <c r="H73" s="117"/>
    </row>
    <row r="74" spans="1:8">
      <c r="A74" s="111">
        <v>74</v>
      </c>
      <c r="B74" s="118">
        <v>44805</v>
      </c>
      <c r="C74" s="119" t="s">
        <v>487</v>
      </c>
      <c r="D74" s="120" t="s">
        <v>488</v>
      </c>
      <c r="E74" s="121" t="s">
        <v>1296</v>
      </c>
      <c r="F74" s="119" t="s">
        <v>420</v>
      </c>
      <c r="G74" s="128" t="s">
        <v>1996</v>
      </c>
      <c r="H74" s="117"/>
    </row>
    <row r="75" spans="1:8">
      <c r="A75" s="111">
        <v>75</v>
      </c>
      <c r="B75" s="118">
        <v>44743</v>
      </c>
      <c r="C75" s="119" t="s">
        <v>467</v>
      </c>
      <c r="D75" s="120" t="s">
        <v>468</v>
      </c>
      <c r="E75" s="144" t="s">
        <v>1369</v>
      </c>
      <c r="F75" s="119" t="s">
        <v>420</v>
      </c>
      <c r="G75" s="128" t="s">
        <v>1996</v>
      </c>
      <c r="H75" s="117"/>
    </row>
    <row r="76" spans="1:8">
      <c r="A76" s="111">
        <v>76</v>
      </c>
      <c r="B76" s="118">
        <v>43770</v>
      </c>
      <c r="C76" s="119" t="s">
        <v>435</v>
      </c>
      <c r="D76" s="120" t="s">
        <v>436</v>
      </c>
      <c r="E76" s="144" t="s">
        <v>1294</v>
      </c>
      <c r="F76" s="163" t="s">
        <v>420</v>
      </c>
      <c r="G76" s="128" t="s">
        <v>2006</v>
      </c>
      <c r="H76" s="229"/>
    </row>
    <row r="77" spans="1:8">
      <c r="A77" s="111">
        <v>77</v>
      </c>
      <c r="B77" s="118">
        <v>44166</v>
      </c>
      <c r="C77" s="119" t="s">
        <v>439</v>
      </c>
      <c r="D77" s="120" t="s">
        <v>440</v>
      </c>
      <c r="E77" s="144" t="s">
        <v>1303</v>
      </c>
      <c r="F77" s="119" t="s">
        <v>420</v>
      </c>
      <c r="G77" s="128" t="s">
        <v>2006</v>
      </c>
      <c r="H77" s="121"/>
    </row>
    <row r="78" spans="1:8">
      <c r="A78" s="111">
        <v>78</v>
      </c>
      <c r="B78" s="118">
        <v>40301</v>
      </c>
      <c r="C78" s="119" t="s">
        <v>505</v>
      </c>
      <c r="D78" s="117" t="s">
        <v>506</v>
      </c>
      <c r="E78" s="117" t="s">
        <v>1295</v>
      </c>
      <c r="F78" s="119" t="s">
        <v>420</v>
      </c>
      <c r="G78" s="128" t="s">
        <v>2006</v>
      </c>
      <c r="H78" s="117"/>
    </row>
    <row r="79" spans="1:8">
      <c r="A79" s="111">
        <v>79</v>
      </c>
      <c r="B79" s="118">
        <v>43222</v>
      </c>
      <c r="C79" s="119" t="s">
        <v>567</v>
      </c>
      <c r="D79" s="120" t="s">
        <v>568</v>
      </c>
      <c r="E79" s="121" t="s">
        <v>1293</v>
      </c>
      <c r="F79" s="119" t="s">
        <v>420</v>
      </c>
      <c r="G79" s="128" t="s">
        <v>1996</v>
      </c>
      <c r="H79" s="117"/>
    </row>
    <row r="80" spans="1:8">
      <c r="A80" s="111">
        <v>80</v>
      </c>
      <c r="B80" s="164">
        <v>43770</v>
      </c>
      <c r="C80" s="119" t="s">
        <v>556</v>
      </c>
      <c r="D80" s="165" t="s">
        <v>557</v>
      </c>
      <c r="E80" s="121" t="s">
        <v>1297</v>
      </c>
      <c r="F80" s="119" t="s">
        <v>420</v>
      </c>
      <c r="G80" s="128" t="s">
        <v>2006</v>
      </c>
      <c r="H80" s="117"/>
    </row>
    <row r="81" spans="1:8">
      <c r="A81" s="111">
        <v>81</v>
      </c>
      <c r="B81" s="118">
        <v>44044</v>
      </c>
      <c r="C81" s="119" t="s">
        <v>569</v>
      </c>
      <c r="D81" s="120" t="s">
        <v>570</v>
      </c>
      <c r="E81" s="121" t="s">
        <v>1297</v>
      </c>
      <c r="F81" s="124" t="s">
        <v>420</v>
      </c>
      <c r="G81" s="128" t="s">
        <v>2011</v>
      </c>
      <c r="H81" s="139" t="s">
        <v>2021</v>
      </c>
    </row>
    <row r="82" spans="1:8">
      <c r="A82" s="111">
        <v>82</v>
      </c>
      <c r="B82" s="118">
        <v>44531</v>
      </c>
      <c r="C82" s="119" t="s">
        <v>573</v>
      </c>
      <c r="D82" s="120" t="s">
        <v>450</v>
      </c>
      <c r="E82" s="121" t="s">
        <v>1293</v>
      </c>
      <c r="F82" s="119" t="s">
        <v>420</v>
      </c>
      <c r="G82" s="128" t="s">
        <v>2006</v>
      </c>
      <c r="H82" s="117"/>
    </row>
    <row r="83" spans="1:8">
      <c r="A83" s="111">
        <v>83</v>
      </c>
      <c r="B83" s="118">
        <v>44621</v>
      </c>
      <c r="C83" s="119" t="s">
        <v>449</v>
      </c>
      <c r="D83" s="120" t="s">
        <v>450</v>
      </c>
      <c r="E83" s="121" t="s">
        <v>1296</v>
      </c>
      <c r="F83" s="119" t="s">
        <v>420</v>
      </c>
      <c r="G83" s="128" t="s">
        <v>1996</v>
      </c>
      <c r="H83" s="117"/>
    </row>
    <row r="84" spans="1:8">
      <c r="A84" s="111">
        <v>84</v>
      </c>
      <c r="B84" s="118">
        <v>40967</v>
      </c>
      <c r="C84" s="119" t="s">
        <v>427</v>
      </c>
      <c r="D84" s="120" t="s">
        <v>428</v>
      </c>
      <c r="E84" s="121" t="s">
        <v>1294</v>
      </c>
      <c r="F84" s="119" t="s">
        <v>420</v>
      </c>
      <c r="G84" s="128" t="s">
        <v>2006</v>
      </c>
      <c r="H84" s="117"/>
    </row>
    <row r="85" spans="1:8">
      <c r="A85" s="111">
        <v>85</v>
      </c>
      <c r="B85" s="118">
        <v>40707</v>
      </c>
      <c r="C85" s="119" t="s">
        <v>425</v>
      </c>
      <c r="D85" s="120" t="s">
        <v>426</v>
      </c>
      <c r="E85" s="121" t="s">
        <v>1298</v>
      </c>
      <c r="F85" s="119" t="s">
        <v>420</v>
      </c>
      <c r="G85" s="128" t="s">
        <v>2011</v>
      </c>
      <c r="H85" s="139" t="s">
        <v>2015</v>
      </c>
    </row>
    <row r="86" spans="1:8">
      <c r="A86" s="111">
        <v>86</v>
      </c>
      <c r="B86" s="118">
        <v>44621</v>
      </c>
      <c r="C86" s="119" t="s">
        <v>453</v>
      </c>
      <c r="D86" s="120" t="s">
        <v>454</v>
      </c>
      <c r="E86" s="144" t="s">
        <v>1293</v>
      </c>
      <c r="F86" s="119" t="s">
        <v>420</v>
      </c>
      <c r="G86" s="128" t="s">
        <v>1996</v>
      </c>
      <c r="H86" s="139" t="s">
        <v>2014</v>
      </c>
    </row>
    <row r="87" spans="1:8">
      <c r="A87" s="111">
        <v>87</v>
      </c>
      <c r="B87" s="118">
        <v>39424</v>
      </c>
      <c r="C87" s="119" t="s">
        <v>421</v>
      </c>
      <c r="D87" s="120" t="s">
        <v>422</v>
      </c>
      <c r="E87" s="121" t="s">
        <v>1299</v>
      </c>
      <c r="F87" s="119" t="s">
        <v>420</v>
      </c>
      <c r="G87" s="128" t="s">
        <v>2011</v>
      </c>
      <c r="H87" s="117"/>
    </row>
    <row r="88" spans="1:8">
      <c r="A88" s="111">
        <v>88</v>
      </c>
      <c r="B88" s="118">
        <v>44743</v>
      </c>
      <c r="C88" s="119" t="s">
        <v>469</v>
      </c>
      <c r="D88" s="120" t="s">
        <v>470</v>
      </c>
      <c r="E88" s="123" t="s">
        <v>1298</v>
      </c>
      <c r="F88" s="119" t="s">
        <v>420</v>
      </c>
      <c r="G88" s="128" t="s">
        <v>2006</v>
      </c>
      <c r="H88" s="121" t="s">
        <v>2018</v>
      </c>
    </row>
    <row r="89" spans="1:8">
      <c r="A89" s="111">
        <v>89</v>
      </c>
      <c r="B89" s="118">
        <v>44805</v>
      </c>
      <c r="C89" s="119" t="s">
        <v>477</v>
      </c>
      <c r="D89" s="120" t="s">
        <v>478</v>
      </c>
      <c r="E89" s="121" t="s">
        <v>1296</v>
      </c>
      <c r="F89" s="119" t="s">
        <v>420</v>
      </c>
      <c r="G89" s="128" t="s">
        <v>2011</v>
      </c>
      <c r="H89" s="117"/>
    </row>
    <row r="90" spans="1:8">
      <c r="A90" s="111">
        <v>90</v>
      </c>
      <c r="B90" s="118">
        <v>44805</v>
      </c>
      <c r="C90" s="119" t="s">
        <v>558</v>
      </c>
      <c r="D90" s="120" t="s">
        <v>338</v>
      </c>
      <c r="E90" s="121" t="s">
        <v>1297</v>
      </c>
      <c r="F90" s="119" t="s">
        <v>420</v>
      </c>
      <c r="G90" s="128" t="s">
        <v>1996</v>
      </c>
      <c r="H90" s="117"/>
    </row>
    <row r="91" spans="1:8">
      <c r="A91" s="111">
        <v>91</v>
      </c>
      <c r="B91" s="118">
        <v>44805</v>
      </c>
      <c r="C91" s="119" t="s">
        <v>479</v>
      </c>
      <c r="D91" s="120" t="s">
        <v>480</v>
      </c>
      <c r="E91" s="121" t="s">
        <v>1296</v>
      </c>
      <c r="F91" s="119" t="s">
        <v>420</v>
      </c>
      <c r="G91" s="128" t="s">
        <v>2011</v>
      </c>
      <c r="H91" s="117"/>
    </row>
    <row r="92" spans="1:8">
      <c r="A92" s="111">
        <v>92</v>
      </c>
      <c r="B92" s="118">
        <v>39423</v>
      </c>
      <c r="C92" s="119" t="s">
        <v>418</v>
      </c>
      <c r="D92" s="117" t="s">
        <v>419</v>
      </c>
      <c r="E92" s="121" t="s">
        <v>1301</v>
      </c>
      <c r="F92" s="119" t="s">
        <v>420</v>
      </c>
      <c r="G92" s="128" t="s">
        <v>2006</v>
      </c>
      <c r="H92" s="117"/>
    </row>
    <row r="93" spans="1:8">
      <c r="A93" s="111">
        <v>93</v>
      </c>
      <c r="B93" s="118">
        <v>40521</v>
      </c>
      <c r="C93" s="119" t="s">
        <v>495</v>
      </c>
      <c r="D93" s="120" t="s">
        <v>496</v>
      </c>
      <c r="E93" s="121" t="s">
        <v>1302</v>
      </c>
      <c r="F93" s="119" t="s">
        <v>420</v>
      </c>
      <c r="G93" s="128" t="s">
        <v>1996</v>
      </c>
      <c r="H93" s="117"/>
    </row>
    <row r="94" spans="1:8">
      <c r="A94" s="111">
        <v>94</v>
      </c>
      <c r="B94" s="118">
        <v>44378</v>
      </c>
      <c r="C94" s="119" t="s">
        <v>443</v>
      </c>
      <c r="D94" s="120" t="s">
        <v>444</v>
      </c>
      <c r="E94" s="121" t="s">
        <v>1296</v>
      </c>
      <c r="F94" s="119" t="s">
        <v>420</v>
      </c>
      <c r="G94" s="128" t="s">
        <v>1996</v>
      </c>
      <c r="H94" s="117"/>
    </row>
    <row r="95" spans="1:8">
      <c r="A95" s="111">
        <v>95</v>
      </c>
      <c r="B95" s="118">
        <v>44378</v>
      </c>
      <c r="C95" s="119" t="s">
        <v>445</v>
      </c>
      <c r="D95" s="120" t="s">
        <v>446</v>
      </c>
      <c r="E95" s="144" t="s">
        <v>1303</v>
      </c>
      <c r="F95" s="119" t="s">
        <v>420</v>
      </c>
      <c r="G95" s="128" t="s">
        <v>1996</v>
      </c>
      <c r="H95" s="117"/>
    </row>
    <row r="96" spans="1:8">
      <c r="A96" s="111">
        <v>96</v>
      </c>
      <c r="B96" s="118">
        <v>44652</v>
      </c>
      <c r="C96" s="119" t="s">
        <v>461</v>
      </c>
      <c r="D96" s="120" t="s">
        <v>462</v>
      </c>
      <c r="E96" s="121" t="s">
        <v>1296</v>
      </c>
      <c r="F96" s="119" t="s">
        <v>420</v>
      </c>
      <c r="G96" s="128" t="s">
        <v>2011</v>
      </c>
      <c r="H96" s="117"/>
    </row>
    <row r="97" spans="1:8">
      <c r="A97" s="111">
        <v>97</v>
      </c>
      <c r="B97" s="118">
        <v>44652</v>
      </c>
      <c r="C97" s="119" t="s">
        <v>710</v>
      </c>
      <c r="D97" s="120" t="s">
        <v>711</v>
      </c>
      <c r="E97" s="144" t="s">
        <v>1294</v>
      </c>
      <c r="F97" s="119" t="s">
        <v>420</v>
      </c>
      <c r="G97" s="128" t="s">
        <v>1996</v>
      </c>
      <c r="H97" s="117"/>
    </row>
    <row r="98" spans="1:8">
      <c r="A98" s="111">
        <v>98</v>
      </c>
      <c r="B98" s="118">
        <v>44652</v>
      </c>
      <c r="C98" s="119" t="s">
        <v>459</v>
      </c>
      <c r="D98" s="120" t="s">
        <v>460</v>
      </c>
      <c r="E98" s="121" t="s">
        <v>1296</v>
      </c>
      <c r="F98" s="119" t="s">
        <v>420</v>
      </c>
      <c r="G98" s="128" t="s">
        <v>1996</v>
      </c>
      <c r="H98" s="117"/>
    </row>
    <row r="99" spans="1:8">
      <c r="A99" s="111">
        <v>99</v>
      </c>
      <c r="B99" s="118">
        <v>40896</v>
      </c>
      <c r="C99" s="119" t="s">
        <v>561</v>
      </c>
      <c r="D99" s="120" t="s">
        <v>562</v>
      </c>
      <c r="E99" s="144" t="s">
        <v>1303</v>
      </c>
      <c r="F99" s="119" t="s">
        <v>420</v>
      </c>
      <c r="G99" s="128" t="s">
        <v>1996</v>
      </c>
      <c r="H99" s="139" t="s">
        <v>2016</v>
      </c>
    </row>
    <row r="100" spans="1:8">
      <c r="A100" s="111">
        <v>100</v>
      </c>
      <c r="B100" s="118">
        <v>40997</v>
      </c>
      <c r="C100" s="119" t="s">
        <v>429</v>
      </c>
      <c r="D100" s="120" t="s">
        <v>430</v>
      </c>
      <c r="E100" s="121" t="s">
        <v>1294</v>
      </c>
      <c r="F100" s="119" t="s">
        <v>420</v>
      </c>
      <c r="G100" s="128" t="s">
        <v>2006</v>
      </c>
      <c r="H100" s="117"/>
    </row>
    <row r="101" spans="1:8">
      <c r="A101" s="111">
        <v>101</v>
      </c>
      <c r="B101" s="118">
        <v>44166</v>
      </c>
      <c r="C101" s="119" t="s">
        <v>571</v>
      </c>
      <c r="D101" s="120" t="s">
        <v>572</v>
      </c>
      <c r="E101" s="121" t="s">
        <v>1293</v>
      </c>
      <c r="F101" s="119" t="s">
        <v>420</v>
      </c>
      <c r="G101" s="128" t="s">
        <v>2011</v>
      </c>
      <c r="H101" s="117"/>
    </row>
    <row r="102" spans="1:8">
      <c r="A102" s="111">
        <v>102</v>
      </c>
      <c r="B102" s="118">
        <v>44805</v>
      </c>
      <c r="C102" s="119" t="s">
        <v>501</v>
      </c>
      <c r="D102" s="120" t="s">
        <v>502</v>
      </c>
      <c r="E102" s="121" t="s">
        <v>1302</v>
      </c>
      <c r="F102" s="119" t="s">
        <v>420</v>
      </c>
      <c r="G102" s="128" t="s">
        <v>2006</v>
      </c>
      <c r="H102" s="117"/>
    </row>
    <row r="103" spans="1:8">
      <c r="A103" s="111">
        <v>103</v>
      </c>
      <c r="B103" s="118">
        <v>44805</v>
      </c>
      <c r="C103" s="119" t="s">
        <v>481</v>
      </c>
      <c r="D103" s="120" t="s">
        <v>482</v>
      </c>
      <c r="E103" s="144" t="s">
        <v>1301</v>
      </c>
      <c r="F103" s="119" t="s">
        <v>420</v>
      </c>
      <c r="G103" s="128" t="s">
        <v>2011</v>
      </c>
      <c r="H103" s="117"/>
    </row>
    <row r="104" spans="1:8">
      <c r="A104" s="111">
        <v>104</v>
      </c>
      <c r="B104" s="118">
        <v>44743</v>
      </c>
      <c r="C104" s="119" t="s">
        <v>499</v>
      </c>
      <c r="D104" s="120" t="s">
        <v>500</v>
      </c>
      <c r="E104" s="121" t="s">
        <v>1302</v>
      </c>
      <c r="F104" s="119" t="s">
        <v>420</v>
      </c>
      <c r="G104" s="128" t="s">
        <v>2011</v>
      </c>
      <c r="H104" s="117"/>
    </row>
    <row r="105" spans="1:8">
      <c r="A105" s="111">
        <v>105</v>
      </c>
      <c r="B105" s="118">
        <v>39455</v>
      </c>
      <c r="C105" s="119" t="s">
        <v>559</v>
      </c>
      <c r="D105" s="120" t="s">
        <v>560</v>
      </c>
      <c r="E105" s="121" t="s">
        <v>1293</v>
      </c>
      <c r="F105" s="119" t="s">
        <v>420</v>
      </c>
      <c r="G105" s="128" t="s">
        <v>2011</v>
      </c>
      <c r="H105" s="117"/>
    </row>
    <row r="106" spans="1:8">
      <c r="A106" s="111">
        <v>106</v>
      </c>
      <c r="B106" s="145">
        <v>43222</v>
      </c>
      <c r="C106" s="143" t="s">
        <v>433</v>
      </c>
      <c r="D106" s="120" t="s">
        <v>434</v>
      </c>
      <c r="E106" s="121" t="s">
        <v>1296</v>
      </c>
      <c r="F106" s="119" t="s">
        <v>420</v>
      </c>
      <c r="G106" s="128" t="s">
        <v>2006</v>
      </c>
      <c r="H106" s="120"/>
    </row>
    <row r="107" spans="1:8">
      <c r="A107" s="111">
        <v>107</v>
      </c>
      <c r="B107" s="145">
        <v>42074</v>
      </c>
      <c r="C107" s="143" t="s">
        <v>431</v>
      </c>
      <c r="D107" s="120" t="s">
        <v>432</v>
      </c>
      <c r="E107" s="121" t="s">
        <v>1296</v>
      </c>
      <c r="F107" s="119" t="s">
        <v>420</v>
      </c>
      <c r="G107" s="128" t="s">
        <v>2011</v>
      </c>
      <c r="H107" s="120"/>
    </row>
    <row r="108" spans="1:8">
      <c r="A108" s="111">
        <v>108</v>
      </c>
      <c r="B108" s="112">
        <v>44333</v>
      </c>
      <c r="C108" s="147" t="s">
        <v>473</v>
      </c>
      <c r="D108" s="120" t="s">
        <v>474</v>
      </c>
      <c r="E108" s="121" t="s">
        <v>1296</v>
      </c>
      <c r="F108" s="119" t="s">
        <v>420</v>
      </c>
      <c r="G108" s="128" t="s">
        <v>1996</v>
      </c>
      <c r="H108" s="139"/>
    </row>
    <row r="109" spans="1:8">
      <c r="A109" s="111">
        <v>109</v>
      </c>
      <c r="B109" s="118">
        <v>44743</v>
      </c>
      <c r="C109" s="119" t="s">
        <v>471</v>
      </c>
      <c r="D109" s="120" t="s">
        <v>472</v>
      </c>
      <c r="E109" s="121" t="s">
        <v>1296</v>
      </c>
      <c r="F109" s="119" t="s">
        <v>420</v>
      </c>
      <c r="G109" s="128" t="s">
        <v>1996</v>
      </c>
      <c r="H109" s="117"/>
    </row>
    <row r="110" spans="1:8">
      <c r="A110" s="111">
        <v>110</v>
      </c>
      <c r="B110" s="118">
        <v>44652</v>
      </c>
      <c r="C110" s="119" t="s">
        <v>497</v>
      </c>
      <c r="D110" s="120" t="s">
        <v>498</v>
      </c>
      <c r="E110" s="117" t="s">
        <v>1302</v>
      </c>
      <c r="F110" s="119" t="s">
        <v>420</v>
      </c>
      <c r="G110" s="128" t="s">
        <v>1996</v>
      </c>
      <c r="H110" s="121"/>
    </row>
    <row r="111" spans="1:8">
      <c r="A111" s="111">
        <v>111</v>
      </c>
      <c r="B111" s="118">
        <v>45323</v>
      </c>
      <c r="C111" s="143" t="s">
        <v>515</v>
      </c>
      <c r="D111" s="120" t="s">
        <v>516</v>
      </c>
      <c r="E111" s="121" t="s">
        <v>1305</v>
      </c>
      <c r="F111" s="119" t="s">
        <v>420</v>
      </c>
      <c r="G111" s="128" t="s">
        <v>1996</v>
      </c>
      <c r="H111" s="121"/>
    </row>
    <row r="112" spans="1:8">
      <c r="A112" s="111">
        <v>112</v>
      </c>
      <c r="B112" s="118">
        <v>45323</v>
      </c>
      <c r="C112" s="143" t="s">
        <v>513</v>
      </c>
      <c r="D112" s="120" t="s">
        <v>514</v>
      </c>
      <c r="E112" s="121" t="s">
        <v>1294</v>
      </c>
      <c r="F112" s="119" t="s">
        <v>420</v>
      </c>
      <c r="G112" s="128" t="s">
        <v>1996</v>
      </c>
      <c r="H112" s="139"/>
    </row>
    <row r="113" spans="1:8">
      <c r="A113" s="111">
        <v>113</v>
      </c>
      <c r="B113" s="118">
        <v>45352</v>
      </c>
      <c r="C113" s="143" t="s">
        <v>538</v>
      </c>
      <c r="D113" s="120" t="s">
        <v>539</v>
      </c>
      <c r="E113" s="144" t="s">
        <v>1303</v>
      </c>
      <c r="F113" s="119" t="s">
        <v>420</v>
      </c>
      <c r="G113" s="128" t="s">
        <v>2011</v>
      </c>
      <c r="H113" s="139" t="s">
        <v>2015</v>
      </c>
    </row>
    <row r="114" spans="1:8">
      <c r="A114" s="111">
        <v>114</v>
      </c>
      <c r="B114" s="118">
        <v>44652</v>
      </c>
      <c r="C114" s="143" t="s">
        <v>351</v>
      </c>
      <c r="D114" s="120" t="s">
        <v>352</v>
      </c>
      <c r="E114" s="121" t="s">
        <v>1294</v>
      </c>
      <c r="F114" s="119" t="s">
        <v>420</v>
      </c>
      <c r="G114" s="128" t="s">
        <v>2006</v>
      </c>
      <c r="H114" s="139"/>
    </row>
    <row r="115" spans="1:8">
      <c r="A115" s="111">
        <v>115</v>
      </c>
      <c r="B115" s="118">
        <v>45566</v>
      </c>
      <c r="C115" s="166" t="s">
        <v>548</v>
      </c>
      <c r="D115" s="120" t="s">
        <v>549</v>
      </c>
      <c r="E115" s="144" t="s">
        <v>1304</v>
      </c>
      <c r="F115" s="119" t="s">
        <v>420</v>
      </c>
      <c r="G115" s="128" t="s">
        <v>2011</v>
      </c>
      <c r="H115" s="139" t="s">
        <v>2016</v>
      </c>
    </row>
    <row r="116" spans="1:8">
      <c r="A116" s="111">
        <v>116</v>
      </c>
      <c r="B116" s="118">
        <v>45627</v>
      </c>
      <c r="C116" s="149" t="s">
        <v>523</v>
      </c>
      <c r="D116" s="120" t="s">
        <v>524</v>
      </c>
      <c r="E116" s="123" t="s">
        <v>1303</v>
      </c>
      <c r="F116" s="119" t="s">
        <v>420</v>
      </c>
      <c r="G116" s="128" t="s">
        <v>2006</v>
      </c>
      <c r="H116" s="121" t="s">
        <v>2018</v>
      </c>
    </row>
    <row r="117" spans="1:8">
      <c r="A117" s="111">
        <v>117</v>
      </c>
      <c r="B117" s="118">
        <v>45627</v>
      </c>
      <c r="C117" s="149" t="s">
        <v>289</v>
      </c>
      <c r="D117" s="139" t="s">
        <v>290</v>
      </c>
      <c r="E117" s="121" t="s">
        <v>1296</v>
      </c>
      <c r="F117" s="119" t="s">
        <v>420</v>
      </c>
      <c r="G117" s="159" t="s">
        <v>1996</v>
      </c>
      <c r="H117" s="120" t="s">
        <v>2022</v>
      </c>
    </row>
    <row r="118" spans="1:8">
      <c r="A118" s="111">
        <v>118</v>
      </c>
      <c r="B118" s="118">
        <v>45717</v>
      </c>
      <c r="C118" s="143" t="s">
        <v>1335</v>
      </c>
      <c r="D118" s="120" t="s">
        <v>730</v>
      </c>
      <c r="E118" s="144" t="s">
        <v>1303</v>
      </c>
      <c r="F118" s="119" t="s">
        <v>420</v>
      </c>
      <c r="G118" s="128" t="s">
        <v>2006</v>
      </c>
      <c r="H118" s="139" t="s">
        <v>2016</v>
      </c>
    </row>
    <row r="119" spans="1:8">
      <c r="A119" s="111">
        <v>119</v>
      </c>
      <c r="B119" s="118">
        <v>45748</v>
      </c>
      <c r="C119" s="148" t="s">
        <v>536</v>
      </c>
      <c r="D119" s="120" t="s">
        <v>537</v>
      </c>
      <c r="E119" s="121" t="s">
        <v>1296</v>
      </c>
      <c r="F119" s="119" t="s">
        <v>420</v>
      </c>
      <c r="G119" s="128" t="s">
        <v>2011</v>
      </c>
      <c r="H119" s="139"/>
    </row>
    <row r="120" spans="1:8">
      <c r="A120" s="111">
        <v>120</v>
      </c>
      <c r="B120" s="118">
        <v>45748</v>
      </c>
      <c r="C120" s="148" t="s">
        <v>676</v>
      </c>
      <c r="D120" s="120" t="s">
        <v>677</v>
      </c>
      <c r="E120" s="121" t="s">
        <v>1305</v>
      </c>
      <c r="F120" s="119" t="s">
        <v>420</v>
      </c>
      <c r="G120" s="128" t="s">
        <v>2011</v>
      </c>
      <c r="H120" s="139"/>
    </row>
    <row r="121" spans="1:8">
      <c r="A121" s="111">
        <v>121</v>
      </c>
      <c r="B121" s="145">
        <v>45809</v>
      </c>
      <c r="C121" s="147" t="s">
        <v>527</v>
      </c>
      <c r="D121" s="120" t="s">
        <v>528</v>
      </c>
      <c r="E121" s="121" t="s">
        <v>1296</v>
      </c>
      <c r="F121" s="119" t="s">
        <v>420</v>
      </c>
      <c r="G121" s="128" t="s">
        <v>2006</v>
      </c>
      <c r="H121" s="121"/>
    </row>
    <row r="122" spans="1:8">
      <c r="A122" s="111">
        <v>122</v>
      </c>
      <c r="B122" s="145">
        <v>45809</v>
      </c>
      <c r="C122" s="147" t="s">
        <v>511</v>
      </c>
      <c r="D122" s="120" t="s">
        <v>512</v>
      </c>
      <c r="E122" s="121" t="s">
        <v>1296</v>
      </c>
      <c r="F122" s="119" t="s">
        <v>420</v>
      </c>
      <c r="G122" s="128" t="s">
        <v>2006</v>
      </c>
      <c r="H122" s="139"/>
    </row>
    <row r="123" spans="1:8">
      <c r="A123" s="111">
        <v>123</v>
      </c>
      <c r="B123" s="145">
        <v>45809</v>
      </c>
      <c r="C123" s="147" t="s">
        <v>690</v>
      </c>
      <c r="D123" s="120" t="s">
        <v>691</v>
      </c>
      <c r="E123" s="144" t="s">
        <v>1303</v>
      </c>
      <c r="F123" s="119" t="s">
        <v>420</v>
      </c>
      <c r="G123" s="128" t="s">
        <v>2011</v>
      </c>
      <c r="H123" s="139" t="s">
        <v>2017</v>
      </c>
    </row>
    <row r="124" spans="1:8">
      <c r="A124" s="111">
        <v>124</v>
      </c>
      <c r="B124" s="145">
        <v>45809</v>
      </c>
      <c r="C124" s="147" t="s">
        <v>1306</v>
      </c>
      <c r="D124" s="120" t="s">
        <v>714</v>
      </c>
      <c r="E124" s="121" t="s">
        <v>1294</v>
      </c>
      <c r="F124" s="119" t="s">
        <v>420</v>
      </c>
      <c r="G124" s="128" t="s">
        <v>2011</v>
      </c>
      <c r="H124" s="139"/>
    </row>
    <row r="125" spans="1:8">
      <c r="A125" s="111">
        <v>125</v>
      </c>
      <c r="B125" s="118">
        <v>45778</v>
      </c>
      <c r="C125" s="147" t="s">
        <v>375</v>
      </c>
      <c r="D125" s="120" t="s">
        <v>376</v>
      </c>
      <c r="E125" s="121" t="s">
        <v>1222</v>
      </c>
      <c r="F125" s="119" t="s">
        <v>420</v>
      </c>
      <c r="G125" s="128" t="s">
        <v>1996</v>
      </c>
      <c r="H125" s="139"/>
    </row>
    <row r="126" spans="1:8">
      <c r="A126" s="111">
        <v>126</v>
      </c>
      <c r="B126" s="118">
        <v>45839</v>
      </c>
      <c r="C126" s="167" t="s">
        <v>671</v>
      </c>
      <c r="D126" s="120" t="s">
        <v>672</v>
      </c>
      <c r="E126" s="121" t="s">
        <v>1296</v>
      </c>
      <c r="F126" s="119" t="s">
        <v>420</v>
      </c>
      <c r="G126" s="128" t="s">
        <v>2011</v>
      </c>
      <c r="H126" s="139"/>
    </row>
    <row r="127" spans="1:8">
      <c r="A127" s="111">
        <v>127</v>
      </c>
      <c r="B127" s="118">
        <v>45839</v>
      </c>
      <c r="C127" s="167" t="s">
        <v>1307</v>
      </c>
      <c r="D127" s="120" t="s">
        <v>731</v>
      </c>
      <c r="E127" s="121" t="s">
        <v>1296</v>
      </c>
      <c r="F127" s="119" t="s">
        <v>420</v>
      </c>
      <c r="G127" s="128" t="s">
        <v>2011</v>
      </c>
      <c r="H127" s="139"/>
    </row>
    <row r="128" spans="1:8">
      <c r="A128" s="111">
        <v>128</v>
      </c>
      <c r="B128" s="118">
        <v>45870</v>
      </c>
      <c r="C128" s="143" t="s">
        <v>532</v>
      </c>
      <c r="D128" s="120" t="s">
        <v>533</v>
      </c>
      <c r="E128" s="121" t="s">
        <v>1296</v>
      </c>
      <c r="F128" s="119" t="s">
        <v>420</v>
      </c>
      <c r="G128" s="128" t="s">
        <v>2011</v>
      </c>
      <c r="H128" s="120"/>
    </row>
    <row r="129" spans="1:8">
      <c r="A129" s="111">
        <v>129</v>
      </c>
      <c r="B129" s="118">
        <v>45870</v>
      </c>
      <c r="C129" s="143" t="s">
        <v>363</v>
      </c>
      <c r="D129" s="120" t="s">
        <v>364</v>
      </c>
      <c r="E129" s="121" t="s">
        <v>1296</v>
      </c>
      <c r="F129" s="119" t="s">
        <v>420</v>
      </c>
      <c r="G129" s="128" t="s">
        <v>2006</v>
      </c>
      <c r="H129" s="139"/>
    </row>
    <row r="130" spans="1:8">
      <c r="A130" s="111">
        <v>130</v>
      </c>
      <c r="B130" s="118">
        <v>45901</v>
      </c>
      <c r="C130" s="143" t="s">
        <v>517</v>
      </c>
      <c r="D130" s="120" t="s">
        <v>518</v>
      </c>
      <c r="E130" s="121" t="s">
        <v>1302</v>
      </c>
      <c r="F130" s="119" t="s">
        <v>420</v>
      </c>
      <c r="G130" s="128" t="s">
        <v>2006</v>
      </c>
      <c r="H130" s="121"/>
    </row>
    <row r="131" spans="1:8">
      <c r="A131" s="111">
        <v>131</v>
      </c>
      <c r="B131" s="118">
        <v>45931</v>
      </c>
      <c r="C131" s="143" t="s">
        <v>552</v>
      </c>
      <c r="D131" s="120" t="s">
        <v>553</v>
      </c>
      <c r="E131" s="121" t="s">
        <v>1296</v>
      </c>
      <c r="F131" s="119" t="s">
        <v>420</v>
      </c>
      <c r="G131" s="128" t="s">
        <v>2011</v>
      </c>
      <c r="H131" s="117"/>
    </row>
    <row r="132" spans="1:8">
      <c r="A132" s="111">
        <v>132</v>
      </c>
      <c r="B132" s="118">
        <v>45931</v>
      </c>
      <c r="C132" s="143" t="s">
        <v>629</v>
      </c>
      <c r="D132" s="120" t="s">
        <v>630</v>
      </c>
      <c r="E132" s="144" t="s">
        <v>1303</v>
      </c>
      <c r="F132" s="119" t="s">
        <v>420</v>
      </c>
      <c r="G132" s="128" t="s">
        <v>1996</v>
      </c>
      <c r="H132" s="139" t="s">
        <v>2017</v>
      </c>
    </row>
    <row r="133" spans="1:8">
      <c r="A133" s="111">
        <v>133</v>
      </c>
      <c r="B133" s="118">
        <v>45962</v>
      </c>
      <c r="C133" s="148" t="s">
        <v>1336</v>
      </c>
      <c r="D133" s="120" t="s">
        <v>675</v>
      </c>
      <c r="E133" s="123" t="s">
        <v>1309</v>
      </c>
      <c r="F133" s="119" t="s">
        <v>420</v>
      </c>
      <c r="G133" s="128" t="s">
        <v>2006</v>
      </c>
      <c r="H133" s="139"/>
    </row>
    <row r="134" spans="1:8">
      <c r="A134" s="111">
        <v>134</v>
      </c>
      <c r="B134" s="118">
        <v>45962</v>
      </c>
      <c r="C134" s="148" t="s">
        <v>1370</v>
      </c>
      <c r="D134" s="120" t="s">
        <v>700</v>
      </c>
      <c r="E134" s="123" t="s">
        <v>1309</v>
      </c>
      <c r="F134" s="119" t="s">
        <v>420</v>
      </c>
      <c r="G134" s="128" t="s">
        <v>1996</v>
      </c>
      <c r="H134" s="139"/>
    </row>
    <row r="135" spans="1:8">
      <c r="A135" s="111">
        <v>135</v>
      </c>
      <c r="B135" s="118">
        <v>45962</v>
      </c>
      <c r="C135" s="148" t="s">
        <v>1308</v>
      </c>
      <c r="D135" s="120" t="s">
        <v>900</v>
      </c>
      <c r="E135" s="123" t="s">
        <v>1309</v>
      </c>
      <c r="F135" s="119" t="s">
        <v>420</v>
      </c>
      <c r="G135" s="128" t="s">
        <v>2011</v>
      </c>
      <c r="H135" s="121"/>
    </row>
    <row r="136" spans="1:8">
      <c r="A136" s="111">
        <v>136</v>
      </c>
      <c r="B136" s="145">
        <v>45992</v>
      </c>
      <c r="C136" s="167" t="s">
        <v>1337</v>
      </c>
      <c r="D136" s="120" t="s">
        <v>670</v>
      </c>
      <c r="E136" s="121" t="s">
        <v>1296</v>
      </c>
      <c r="F136" s="119" t="s">
        <v>420</v>
      </c>
      <c r="G136" s="128" t="s">
        <v>2006</v>
      </c>
      <c r="H136" s="139"/>
    </row>
    <row r="137" spans="1:8">
      <c r="A137" s="111">
        <v>137</v>
      </c>
      <c r="B137" s="145">
        <v>45992</v>
      </c>
      <c r="C137" s="167" t="s">
        <v>1338</v>
      </c>
      <c r="D137" s="120" t="s">
        <v>729</v>
      </c>
      <c r="E137" s="121" t="s">
        <v>1296</v>
      </c>
      <c r="F137" s="119" t="s">
        <v>420</v>
      </c>
      <c r="G137" s="128" t="s">
        <v>2006</v>
      </c>
      <c r="H137" s="139"/>
    </row>
    <row r="138" spans="1:8">
      <c r="A138" s="111">
        <v>138</v>
      </c>
      <c r="B138" s="118">
        <v>46023</v>
      </c>
      <c r="C138" s="148" t="s">
        <v>1371</v>
      </c>
      <c r="D138" s="120" t="s">
        <v>530</v>
      </c>
      <c r="E138" s="121" t="s">
        <v>1296</v>
      </c>
      <c r="F138" s="119" t="s">
        <v>420</v>
      </c>
      <c r="G138" s="128" t="s">
        <v>1996</v>
      </c>
      <c r="H138" s="139"/>
    </row>
    <row r="139" spans="1:8">
      <c r="A139" s="111">
        <v>139</v>
      </c>
      <c r="B139" s="118">
        <v>46023</v>
      </c>
      <c r="C139" s="143" t="s">
        <v>1310</v>
      </c>
      <c r="D139" s="120" t="s">
        <v>687</v>
      </c>
      <c r="E139" s="121" t="s">
        <v>1296</v>
      </c>
      <c r="F139" s="119" t="s">
        <v>420</v>
      </c>
      <c r="G139" s="128" t="s">
        <v>2011</v>
      </c>
      <c r="H139" s="139"/>
    </row>
    <row r="140" spans="1:8">
      <c r="A140" s="111">
        <v>140</v>
      </c>
      <c r="B140" s="118">
        <v>46054</v>
      </c>
      <c r="C140" s="148" t="s">
        <v>1311</v>
      </c>
      <c r="D140" s="120" t="s">
        <v>755</v>
      </c>
      <c r="E140" s="123" t="s">
        <v>1296</v>
      </c>
      <c r="F140" s="119" t="s">
        <v>420</v>
      </c>
      <c r="G140" s="128" t="s">
        <v>2011</v>
      </c>
      <c r="H140" s="121"/>
    </row>
    <row r="141" spans="1:8">
      <c r="A141" s="111">
        <v>141</v>
      </c>
      <c r="B141" s="118">
        <v>46054</v>
      </c>
      <c r="C141" s="148" t="s">
        <v>1372</v>
      </c>
      <c r="D141" s="120" t="s">
        <v>897</v>
      </c>
      <c r="E141" s="123" t="s">
        <v>1296</v>
      </c>
      <c r="F141" s="119" t="s">
        <v>420</v>
      </c>
      <c r="G141" s="128" t="s">
        <v>1996</v>
      </c>
      <c r="H141" s="121"/>
    </row>
    <row r="142" spans="1:8">
      <c r="A142" s="111">
        <v>142</v>
      </c>
      <c r="B142" s="118">
        <v>46113</v>
      </c>
      <c r="C142" s="148" t="s">
        <v>1373</v>
      </c>
      <c r="D142" s="120" t="s">
        <v>1374</v>
      </c>
      <c r="E142" s="121" t="s">
        <v>1296</v>
      </c>
      <c r="F142" s="119" t="s">
        <v>420</v>
      </c>
      <c r="G142" s="128" t="s">
        <v>1996</v>
      </c>
      <c r="H142" s="139"/>
    </row>
    <row r="143" spans="1:8">
      <c r="A143" s="111">
        <v>143</v>
      </c>
      <c r="B143" s="118">
        <v>45992</v>
      </c>
      <c r="C143" s="148" t="s">
        <v>1400</v>
      </c>
      <c r="D143" s="120" t="s">
        <v>1401</v>
      </c>
      <c r="E143" s="121" t="s">
        <v>1296</v>
      </c>
      <c r="F143" s="119" t="s">
        <v>420</v>
      </c>
      <c r="G143" s="128" t="s">
        <v>1996</v>
      </c>
      <c r="H143" s="139"/>
    </row>
    <row r="144" spans="1:8">
      <c r="A144" s="111">
        <v>144</v>
      </c>
      <c r="B144" s="112">
        <v>46143</v>
      </c>
      <c r="C144" s="343" t="s">
        <v>1355</v>
      </c>
      <c r="D144" s="126" t="s">
        <v>1356</v>
      </c>
      <c r="E144" s="127" t="s">
        <v>1309</v>
      </c>
      <c r="F144" s="119" t="s">
        <v>420</v>
      </c>
      <c r="G144" s="128" t="s">
        <v>2006</v>
      </c>
      <c r="H144" s="170"/>
    </row>
    <row r="145" spans="1:8">
      <c r="A145" s="111">
        <v>145</v>
      </c>
      <c r="B145" s="118">
        <v>46174</v>
      </c>
      <c r="C145" s="342" t="s">
        <v>1340</v>
      </c>
      <c r="D145" s="180" t="s">
        <v>520</v>
      </c>
      <c r="E145" s="121" t="s">
        <v>1341</v>
      </c>
      <c r="F145" s="119" t="s">
        <v>420</v>
      </c>
      <c r="G145" s="128" t="s">
        <v>2006</v>
      </c>
      <c r="H145" s="139"/>
    </row>
    <row r="146" spans="1:8">
      <c r="A146" s="111">
        <v>146</v>
      </c>
      <c r="B146" s="118">
        <v>46174</v>
      </c>
      <c r="C146" s="342" t="s">
        <v>1344</v>
      </c>
      <c r="D146" s="120" t="s">
        <v>726</v>
      </c>
      <c r="E146" s="121" t="s">
        <v>1341</v>
      </c>
      <c r="F146" s="119" t="s">
        <v>420</v>
      </c>
      <c r="G146" s="128" t="s">
        <v>2006</v>
      </c>
      <c r="H146" s="121"/>
    </row>
    <row r="147" spans="1:8">
      <c r="A147" s="111">
        <v>147</v>
      </c>
      <c r="B147" s="112">
        <v>46121</v>
      </c>
      <c r="C147" s="228" t="s">
        <v>1394</v>
      </c>
      <c r="D147" s="150" t="s">
        <v>861</v>
      </c>
      <c r="E147" s="121" t="s">
        <v>1225</v>
      </c>
      <c r="F147" s="119" t="s">
        <v>420</v>
      </c>
      <c r="G147" s="230" t="s">
        <v>1996</v>
      </c>
      <c r="H147" s="117" t="s">
        <v>2023</v>
      </c>
    </row>
    <row r="148" spans="1:8">
      <c r="A148" s="111">
        <v>148</v>
      </c>
      <c r="B148" s="118">
        <v>46024</v>
      </c>
      <c r="C148" s="151" t="s">
        <v>1375</v>
      </c>
      <c r="D148" s="150" t="s">
        <v>544</v>
      </c>
      <c r="E148" s="121" t="s">
        <v>1225</v>
      </c>
      <c r="F148" s="119" t="s">
        <v>420</v>
      </c>
      <c r="G148" s="128" t="s">
        <v>1996</v>
      </c>
      <c r="H148" s="117"/>
    </row>
    <row r="149" spans="1:8">
      <c r="A149" s="111">
        <v>149</v>
      </c>
      <c r="B149" s="118">
        <v>46024</v>
      </c>
      <c r="C149" s="151" t="s">
        <v>1339</v>
      </c>
      <c r="D149" s="150" t="s">
        <v>535</v>
      </c>
      <c r="E149" s="121" t="s">
        <v>1225</v>
      </c>
      <c r="F149" s="119" t="s">
        <v>420</v>
      </c>
      <c r="G149" s="128" t="s">
        <v>2006</v>
      </c>
      <c r="H149" s="117"/>
    </row>
    <row r="150" spans="1:8">
      <c r="A150" s="111">
        <v>150</v>
      </c>
      <c r="B150" s="118">
        <v>46024</v>
      </c>
      <c r="C150" s="151" t="s">
        <v>1312</v>
      </c>
      <c r="D150" s="150" t="s">
        <v>544</v>
      </c>
      <c r="E150" s="121" t="s">
        <v>1225</v>
      </c>
      <c r="F150" s="119" t="s">
        <v>420</v>
      </c>
      <c r="G150" s="128" t="s">
        <v>2011</v>
      </c>
      <c r="H150" s="117"/>
    </row>
    <row r="151" spans="1:8">
      <c r="A151" s="111">
        <v>151</v>
      </c>
      <c r="B151" s="145">
        <v>46083</v>
      </c>
      <c r="C151" s="156" t="s">
        <v>1376</v>
      </c>
      <c r="D151" s="150" t="s">
        <v>685</v>
      </c>
      <c r="E151" s="121" t="s">
        <v>1225</v>
      </c>
      <c r="F151" s="119" t="s">
        <v>420</v>
      </c>
      <c r="G151" s="128" t="s">
        <v>1996</v>
      </c>
      <c r="H151" s="139"/>
    </row>
    <row r="152" spans="1:8">
      <c r="A152" s="111">
        <v>152</v>
      </c>
      <c r="B152" s="118">
        <v>46113</v>
      </c>
      <c r="C152" s="156" t="s">
        <v>1313</v>
      </c>
      <c r="D152" s="150" t="s">
        <v>547</v>
      </c>
      <c r="E152" s="121" t="s">
        <v>1225</v>
      </c>
      <c r="F152" s="119" t="s">
        <v>420</v>
      </c>
      <c r="G152" s="128" t="s">
        <v>2011</v>
      </c>
      <c r="H152" s="139"/>
    </row>
    <row r="153" spans="1:8">
      <c r="A153" s="111">
        <v>153</v>
      </c>
      <c r="B153" s="118">
        <v>46174</v>
      </c>
      <c r="C153" s="344" t="s">
        <v>1342</v>
      </c>
      <c r="D153" s="150" t="s">
        <v>689</v>
      </c>
      <c r="E153" s="121" t="s">
        <v>1225</v>
      </c>
      <c r="F153" s="119" t="s">
        <v>420</v>
      </c>
      <c r="G153" s="128" t="s">
        <v>2006</v>
      </c>
      <c r="H153" s="139"/>
    </row>
    <row r="154" spans="1:8">
      <c r="A154" s="111">
        <v>154</v>
      </c>
      <c r="B154" s="118">
        <v>45903</v>
      </c>
      <c r="C154" s="169" t="s">
        <v>720</v>
      </c>
      <c r="D154" s="150" t="s">
        <v>721</v>
      </c>
      <c r="E154" s="121" t="s">
        <v>1225</v>
      </c>
      <c r="F154" s="119" t="s">
        <v>420</v>
      </c>
      <c r="G154" s="128" t="s">
        <v>2011</v>
      </c>
      <c r="H154" s="139"/>
    </row>
    <row r="155" spans="1:8">
      <c r="A155" s="111">
        <v>155</v>
      </c>
      <c r="B155" s="118">
        <v>45903</v>
      </c>
      <c r="C155" s="169" t="s">
        <v>1377</v>
      </c>
      <c r="D155" s="150" t="s">
        <v>754</v>
      </c>
      <c r="E155" s="121" t="s">
        <v>1225</v>
      </c>
      <c r="F155" s="119" t="s">
        <v>420</v>
      </c>
      <c r="G155" s="128" t="s">
        <v>1996</v>
      </c>
      <c r="H155" s="139"/>
    </row>
    <row r="156" spans="1:8">
      <c r="A156" s="111">
        <v>156</v>
      </c>
      <c r="B156" s="118">
        <v>45931</v>
      </c>
      <c r="C156" s="154" t="s">
        <v>1343</v>
      </c>
      <c r="D156" s="150" t="s">
        <v>756</v>
      </c>
      <c r="E156" s="121" t="s">
        <v>1225</v>
      </c>
      <c r="F156" s="119" t="s">
        <v>420</v>
      </c>
      <c r="G156" s="128" t="s">
        <v>2006</v>
      </c>
      <c r="H156" s="139"/>
    </row>
    <row r="157" spans="1:8">
      <c r="A157" s="111">
        <v>157</v>
      </c>
      <c r="B157" s="118">
        <v>45931</v>
      </c>
      <c r="C157" s="154" t="s">
        <v>1314</v>
      </c>
      <c r="D157" s="150" t="s">
        <v>722</v>
      </c>
      <c r="E157" s="121" t="s">
        <v>1225</v>
      </c>
      <c r="F157" s="119" t="s">
        <v>420</v>
      </c>
      <c r="G157" s="128" t="s">
        <v>2011</v>
      </c>
      <c r="H157" s="121"/>
    </row>
    <row r="158" spans="1:8">
      <c r="A158" s="111">
        <v>158</v>
      </c>
      <c r="B158" s="145">
        <v>46083</v>
      </c>
      <c r="C158" s="156" t="s">
        <v>1378</v>
      </c>
      <c r="D158" s="150" t="s">
        <v>956</v>
      </c>
      <c r="E158" s="121" t="s">
        <v>1225</v>
      </c>
      <c r="F158" s="119" t="s">
        <v>420</v>
      </c>
      <c r="G158" s="128" t="s">
        <v>1996</v>
      </c>
      <c r="H158" s="139"/>
    </row>
    <row r="159" spans="1:8">
      <c r="A159" s="111">
        <v>159</v>
      </c>
      <c r="B159" s="145">
        <v>46083</v>
      </c>
      <c r="C159" s="156" t="s">
        <v>1379</v>
      </c>
      <c r="D159" s="150" t="s">
        <v>950</v>
      </c>
      <c r="E159" s="121" t="s">
        <v>1225</v>
      </c>
      <c r="F159" s="119" t="s">
        <v>420</v>
      </c>
      <c r="G159" s="128" t="s">
        <v>1996</v>
      </c>
      <c r="H159" s="139"/>
    </row>
    <row r="160" spans="1:8">
      <c r="A160" s="111">
        <v>160</v>
      </c>
      <c r="B160" s="118">
        <v>46113</v>
      </c>
      <c r="C160" s="156" t="s">
        <v>1380</v>
      </c>
      <c r="D160" s="150" t="s">
        <v>1381</v>
      </c>
      <c r="E160" s="121" t="s">
        <v>1225</v>
      </c>
      <c r="F160" s="119" t="s">
        <v>420</v>
      </c>
      <c r="G160" s="128" t="s">
        <v>1996</v>
      </c>
      <c r="H160" s="139"/>
    </row>
    <row r="161" spans="1:8">
      <c r="A161" s="111">
        <v>161</v>
      </c>
      <c r="B161" s="118">
        <v>46144</v>
      </c>
      <c r="C161" s="152" t="s">
        <v>1345</v>
      </c>
      <c r="D161" s="150" t="s">
        <v>935</v>
      </c>
      <c r="E161" s="121" t="s">
        <v>1225</v>
      </c>
      <c r="F161" s="119" t="s">
        <v>420</v>
      </c>
      <c r="G161" s="128" t="s">
        <v>2006</v>
      </c>
      <c r="H161" s="139"/>
    </row>
    <row r="162" spans="1:8">
      <c r="A162" s="111">
        <v>162</v>
      </c>
      <c r="B162" s="118">
        <v>46144</v>
      </c>
      <c r="C162" s="152" t="s">
        <v>1346</v>
      </c>
      <c r="D162" s="150" t="s">
        <v>929</v>
      </c>
      <c r="E162" s="121" t="s">
        <v>1225</v>
      </c>
      <c r="F162" s="119" t="s">
        <v>420</v>
      </c>
      <c r="G162" s="128" t="s">
        <v>2006</v>
      </c>
      <c r="H162" s="121"/>
    </row>
    <row r="163" spans="1:8">
      <c r="A163" s="111">
        <v>163</v>
      </c>
      <c r="B163" s="118">
        <v>46174</v>
      </c>
      <c r="C163" s="344" t="s">
        <v>1347</v>
      </c>
      <c r="D163" s="150" t="s">
        <v>921</v>
      </c>
      <c r="E163" s="121" t="s">
        <v>1225</v>
      </c>
      <c r="F163" s="119" t="s">
        <v>420</v>
      </c>
      <c r="G163" s="128" t="s">
        <v>2006</v>
      </c>
      <c r="H163" s="121"/>
    </row>
    <row r="164" spans="1:8">
      <c r="A164" s="111">
        <v>164</v>
      </c>
      <c r="B164" s="118">
        <v>46174</v>
      </c>
      <c r="C164" s="344" t="s">
        <v>1348</v>
      </c>
      <c r="D164" s="150" t="s">
        <v>919</v>
      </c>
      <c r="E164" s="121" t="s">
        <v>1225</v>
      </c>
      <c r="F164" s="119" t="s">
        <v>420</v>
      </c>
      <c r="G164" s="128" t="s">
        <v>2006</v>
      </c>
      <c r="H164" s="121"/>
    </row>
    <row r="165" spans="1:8">
      <c r="A165" s="111">
        <v>165</v>
      </c>
      <c r="B165" s="118">
        <v>46174</v>
      </c>
      <c r="C165" s="344" t="s">
        <v>1382</v>
      </c>
      <c r="D165" s="150" t="s">
        <v>969</v>
      </c>
      <c r="E165" s="121" t="s">
        <v>1225</v>
      </c>
      <c r="F165" s="119" t="s">
        <v>420</v>
      </c>
      <c r="G165" s="128" t="s">
        <v>1996</v>
      </c>
      <c r="H165" s="121"/>
    </row>
    <row r="166" spans="1:8">
      <c r="A166" s="111">
        <v>166</v>
      </c>
      <c r="B166" s="118">
        <v>45839</v>
      </c>
      <c r="C166" s="154" t="s">
        <v>1315</v>
      </c>
      <c r="D166" s="150" t="s">
        <v>1316</v>
      </c>
      <c r="E166" s="121" t="s">
        <v>1225</v>
      </c>
      <c r="F166" s="119" t="s">
        <v>420</v>
      </c>
      <c r="G166" s="128" t="s">
        <v>2011</v>
      </c>
      <c r="H166" s="121"/>
    </row>
    <row r="167" spans="1:8">
      <c r="A167" s="111">
        <v>167</v>
      </c>
      <c r="B167" s="118">
        <v>45839</v>
      </c>
      <c r="C167" s="154" t="s">
        <v>1317</v>
      </c>
      <c r="D167" s="150" t="s">
        <v>1318</v>
      </c>
      <c r="E167" s="121" t="s">
        <v>1225</v>
      </c>
      <c r="F167" s="119" t="s">
        <v>420</v>
      </c>
      <c r="G167" s="128" t="s">
        <v>2011</v>
      </c>
      <c r="H167" s="121"/>
    </row>
    <row r="168" spans="1:8">
      <c r="A168" s="111">
        <v>168</v>
      </c>
      <c r="B168" s="118">
        <v>46144</v>
      </c>
      <c r="C168" s="152" t="s">
        <v>1319</v>
      </c>
      <c r="D168" s="153" t="s">
        <v>1320</v>
      </c>
      <c r="E168" s="127" t="s">
        <v>1225</v>
      </c>
      <c r="F168" s="119" t="s">
        <v>420</v>
      </c>
      <c r="G168" s="128" t="s">
        <v>2011</v>
      </c>
      <c r="H168" s="139"/>
    </row>
    <row r="169" spans="1:8">
      <c r="A169" s="111">
        <v>169</v>
      </c>
      <c r="B169" s="118">
        <v>45846</v>
      </c>
      <c r="C169" s="155" t="s">
        <v>1349</v>
      </c>
      <c r="D169" s="153" t="s">
        <v>971</v>
      </c>
      <c r="E169" s="127" t="s">
        <v>1225</v>
      </c>
      <c r="F169" s="119" t="s">
        <v>420</v>
      </c>
      <c r="G169" s="128" t="s">
        <v>2006</v>
      </c>
      <c r="H169" s="139"/>
    </row>
    <row r="170" spans="1:8">
      <c r="A170" s="111">
        <v>170</v>
      </c>
      <c r="B170" s="118">
        <v>45848</v>
      </c>
      <c r="C170" s="155" t="s">
        <v>1350</v>
      </c>
      <c r="D170" s="153" t="s">
        <v>972</v>
      </c>
      <c r="E170" s="127" t="s">
        <v>1225</v>
      </c>
      <c r="F170" s="119" t="s">
        <v>420</v>
      </c>
      <c r="G170" s="128" t="s">
        <v>2006</v>
      </c>
      <c r="H170" s="139"/>
    </row>
    <row r="171" spans="1:8">
      <c r="A171" s="111">
        <v>171</v>
      </c>
      <c r="B171" s="118">
        <v>45848</v>
      </c>
      <c r="C171" s="155" t="s">
        <v>957</v>
      </c>
      <c r="D171" s="153" t="s">
        <v>958</v>
      </c>
      <c r="E171" s="127" t="s">
        <v>1225</v>
      </c>
      <c r="F171" s="119" t="s">
        <v>420</v>
      </c>
      <c r="G171" s="128" t="s">
        <v>1996</v>
      </c>
      <c r="H171" s="139"/>
    </row>
    <row r="172" spans="1:8">
      <c r="A172" s="111">
        <v>172</v>
      </c>
      <c r="B172" s="112">
        <v>45859</v>
      </c>
      <c r="C172" s="155" t="s">
        <v>1321</v>
      </c>
      <c r="D172" s="153" t="s">
        <v>1322</v>
      </c>
      <c r="E172" s="127" t="s">
        <v>1225</v>
      </c>
      <c r="F172" s="119" t="s">
        <v>420</v>
      </c>
      <c r="G172" s="128" t="s">
        <v>2011</v>
      </c>
      <c r="H172" s="170"/>
    </row>
    <row r="173" spans="1:8">
      <c r="A173" s="111">
        <v>173</v>
      </c>
      <c r="B173" s="112">
        <v>45862</v>
      </c>
      <c r="C173" s="155" t="s">
        <v>1351</v>
      </c>
      <c r="D173" s="153" t="s">
        <v>1352</v>
      </c>
      <c r="E173" s="127" t="s">
        <v>1225</v>
      </c>
      <c r="F173" s="119" t="s">
        <v>420</v>
      </c>
      <c r="G173" s="128" t="s">
        <v>2006</v>
      </c>
      <c r="H173" s="170"/>
    </row>
    <row r="174" spans="1:8">
      <c r="A174" s="111">
        <v>174</v>
      </c>
      <c r="B174" s="112">
        <v>45873</v>
      </c>
      <c r="C174" s="155" t="s">
        <v>988</v>
      </c>
      <c r="D174" s="153" t="s">
        <v>989</v>
      </c>
      <c r="E174" s="127" t="s">
        <v>1225</v>
      </c>
      <c r="F174" s="119" t="s">
        <v>420</v>
      </c>
      <c r="G174" s="128" t="s">
        <v>2006</v>
      </c>
      <c r="H174" s="170"/>
    </row>
    <row r="175" spans="1:8">
      <c r="A175" s="111">
        <v>175</v>
      </c>
      <c r="B175" s="112">
        <v>45873</v>
      </c>
      <c r="C175" s="155" t="s">
        <v>1353</v>
      </c>
      <c r="D175" s="153" t="s">
        <v>1354</v>
      </c>
      <c r="E175" s="127" t="s">
        <v>1225</v>
      </c>
      <c r="F175" s="119" t="s">
        <v>420</v>
      </c>
      <c r="G175" s="128" t="s">
        <v>2006</v>
      </c>
      <c r="H175" s="170"/>
    </row>
    <row r="176" spans="1:8">
      <c r="A176" s="111">
        <v>176</v>
      </c>
      <c r="B176" s="118">
        <v>45911</v>
      </c>
      <c r="C176" s="154" t="s">
        <v>1383</v>
      </c>
      <c r="D176" s="150" t="s">
        <v>1384</v>
      </c>
      <c r="E176" s="121" t="s">
        <v>1225</v>
      </c>
      <c r="F176" s="119" t="s">
        <v>420</v>
      </c>
      <c r="G176" s="128" t="s">
        <v>1996</v>
      </c>
      <c r="H176" s="139"/>
    </row>
    <row r="177" spans="1:8">
      <c r="A177" s="111">
        <v>177</v>
      </c>
      <c r="B177" s="118">
        <v>45931</v>
      </c>
      <c r="C177" s="154" t="s">
        <v>1323</v>
      </c>
      <c r="D177" s="150" t="s">
        <v>1324</v>
      </c>
      <c r="E177" s="121" t="s">
        <v>1225</v>
      </c>
      <c r="F177" s="119" t="s">
        <v>420</v>
      </c>
      <c r="G177" s="128" t="s">
        <v>2011</v>
      </c>
      <c r="H177" s="139"/>
    </row>
    <row r="178" spans="1:8">
      <c r="A178" s="111">
        <v>178</v>
      </c>
      <c r="B178" s="118">
        <v>45952</v>
      </c>
      <c r="C178" s="169" t="s">
        <v>1357</v>
      </c>
      <c r="D178" s="168" t="s">
        <v>1358</v>
      </c>
      <c r="E178" s="121" t="s">
        <v>1225</v>
      </c>
      <c r="F178" s="119" t="s">
        <v>420</v>
      </c>
      <c r="G178" s="128" t="s">
        <v>2006</v>
      </c>
      <c r="H178" s="117"/>
    </row>
    <row r="179" spans="1:8">
      <c r="A179" s="111">
        <v>179</v>
      </c>
      <c r="B179" s="118">
        <v>45957</v>
      </c>
      <c r="C179" s="169" t="s">
        <v>1359</v>
      </c>
      <c r="D179" s="168" t="s">
        <v>1360</v>
      </c>
      <c r="E179" s="121" t="s">
        <v>1225</v>
      </c>
      <c r="F179" s="119" t="s">
        <v>420</v>
      </c>
      <c r="G179" s="128" t="s">
        <v>2006</v>
      </c>
      <c r="H179" s="117"/>
    </row>
    <row r="180" spans="1:8">
      <c r="A180" s="111">
        <v>180</v>
      </c>
      <c r="B180" s="118">
        <v>45958</v>
      </c>
      <c r="C180" s="169" t="s">
        <v>1361</v>
      </c>
      <c r="D180" s="168" t="s">
        <v>1362</v>
      </c>
      <c r="E180" s="121" t="s">
        <v>1225</v>
      </c>
      <c r="F180" s="119" t="s">
        <v>420</v>
      </c>
      <c r="G180" s="128" t="s">
        <v>2006</v>
      </c>
      <c r="H180" s="117"/>
    </row>
    <row r="181" spans="1:8">
      <c r="A181" s="111">
        <v>181</v>
      </c>
      <c r="B181" s="118">
        <v>45965</v>
      </c>
      <c r="C181" s="169" t="s">
        <v>1363</v>
      </c>
      <c r="D181" s="168" t="s">
        <v>1364</v>
      </c>
      <c r="E181" s="121" t="s">
        <v>1225</v>
      </c>
      <c r="F181" s="119" t="s">
        <v>420</v>
      </c>
      <c r="G181" s="128" t="s">
        <v>2006</v>
      </c>
      <c r="H181" s="117"/>
    </row>
    <row r="182" spans="1:8">
      <c r="A182" s="111">
        <v>182</v>
      </c>
      <c r="B182" s="118">
        <v>45971</v>
      </c>
      <c r="C182" s="169" t="s">
        <v>1325</v>
      </c>
      <c r="D182" s="168" t="s">
        <v>1326</v>
      </c>
      <c r="E182" s="121" t="s">
        <v>1225</v>
      </c>
      <c r="F182" s="119" t="s">
        <v>420</v>
      </c>
      <c r="G182" s="128" t="s">
        <v>2011</v>
      </c>
      <c r="H182" s="117"/>
    </row>
    <row r="183" spans="1:8">
      <c r="A183" s="111">
        <v>183</v>
      </c>
      <c r="B183" s="118">
        <v>45848</v>
      </c>
      <c r="C183" s="154" t="s">
        <v>2024</v>
      </c>
      <c r="D183" s="150" t="s">
        <v>2025</v>
      </c>
      <c r="E183" s="121" t="s">
        <v>1225</v>
      </c>
      <c r="F183" s="119" t="s">
        <v>420</v>
      </c>
      <c r="G183" s="128" t="s">
        <v>2011</v>
      </c>
      <c r="H183" s="139"/>
    </row>
    <row r="184" spans="1:8">
      <c r="A184" s="111">
        <v>184</v>
      </c>
      <c r="B184" s="118">
        <v>46036</v>
      </c>
      <c r="C184" s="154" t="s">
        <v>1385</v>
      </c>
      <c r="D184" s="150" t="s">
        <v>1386</v>
      </c>
      <c r="E184" s="121" t="s">
        <v>1225</v>
      </c>
      <c r="F184" s="119" t="s">
        <v>420</v>
      </c>
      <c r="G184" s="128" t="s">
        <v>1996</v>
      </c>
      <c r="H184" s="121"/>
    </row>
    <row r="185" spans="1:8">
      <c r="A185" s="111">
        <v>185</v>
      </c>
      <c r="B185" s="118">
        <v>46077</v>
      </c>
      <c r="C185" s="172" t="s">
        <v>1327</v>
      </c>
      <c r="D185" s="150" t="s">
        <v>1328</v>
      </c>
      <c r="E185" s="121" t="s">
        <v>1225</v>
      </c>
      <c r="F185" s="119" t="s">
        <v>420</v>
      </c>
      <c r="G185" s="128" t="s">
        <v>2011</v>
      </c>
      <c r="H185" s="121"/>
    </row>
    <row r="186" spans="1:8">
      <c r="A186" s="111">
        <v>186</v>
      </c>
      <c r="B186" s="118">
        <v>46083</v>
      </c>
      <c r="C186" s="172" t="s">
        <v>1365</v>
      </c>
      <c r="D186" s="150" t="s">
        <v>1366</v>
      </c>
      <c r="E186" s="121" t="s">
        <v>1225</v>
      </c>
      <c r="F186" s="119" t="s">
        <v>420</v>
      </c>
      <c r="G186" s="128" t="s">
        <v>2006</v>
      </c>
      <c r="H186" s="121"/>
    </row>
    <row r="187" spans="1:8">
      <c r="A187" s="111">
        <v>187</v>
      </c>
      <c r="B187" s="118">
        <v>46084</v>
      </c>
      <c r="C187" s="172" t="s">
        <v>1387</v>
      </c>
      <c r="D187" s="150" t="s">
        <v>673</v>
      </c>
      <c r="E187" s="121" t="s">
        <v>1225</v>
      </c>
      <c r="F187" s="119" t="s">
        <v>420</v>
      </c>
      <c r="G187" s="128" t="s">
        <v>1996</v>
      </c>
      <c r="H187" s="121"/>
    </row>
    <row r="188" spans="1:8">
      <c r="A188" s="111">
        <v>188</v>
      </c>
      <c r="B188" s="118">
        <v>46085</v>
      </c>
      <c r="C188" s="172" t="s">
        <v>1329</v>
      </c>
      <c r="D188" s="150" t="s">
        <v>1330</v>
      </c>
      <c r="E188" s="121" t="s">
        <v>1225</v>
      </c>
      <c r="F188" s="119" t="s">
        <v>420</v>
      </c>
      <c r="G188" s="128" t="s">
        <v>2011</v>
      </c>
      <c r="H188" s="121"/>
    </row>
    <row r="189" spans="1:8">
      <c r="A189" s="111">
        <v>189</v>
      </c>
      <c r="B189" s="118">
        <v>46097</v>
      </c>
      <c r="C189" s="172" t="s">
        <v>1367</v>
      </c>
      <c r="D189" s="150" t="s">
        <v>450</v>
      </c>
      <c r="E189" s="121" t="s">
        <v>1225</v>
      </c>
      <c r="F189" s="119" t="s">
        <v>420</v>
      </c>
      <c r="G189" s="128" t="s">
        <v>2006</v>
      </c>
      <c r="H189" s="121"/>
    </row>
    <row r="190" spans="1:8">
      <c r="A190" s="111">
        <v>190</v>
      </c>
      <c r="B190" s="118">
        <v>46097</v>
      </c>
      <c r="C190" s="172" t="s">
        <v>1368</v>
      </c>
      <c r="D190" s="150" t="s">
        <v>970</v>
      </c>
      <c r="E190" s="121" t="s">
        <v>1225</v>
      </c>
      <c r="F190" s="119" t="s">
        <v>420</v>
      </c>
      <c r="G190" s="128" t="s">
        <v>2006</v>
      </c>
      <c r="H190" s="121"/>
    </row>
    <row r="191" spans="1:8">
      <c r="A191" s="111">
        <v>191</v>
      </c>
      <c r="B191" s="118">
        <v>46083</v>
      </c>
      <c r="C191" s="157" t="s">
        <v>1388</v>
      </c>
      <c r="D191" s="150" t="s">
        <v>1389</v>
      </c>
      <c r="E191" s="121" t="s">
        <v>1225</v>
      </c>
      <c r="F191" s="119" t="s">
        <v>420</v>
      </c>
      <c r="G191" s="128" t="s">
        <v>1996</v>
      </c>
      <c r="H191" s="121"/>
    </row>
    <row r="192" spans="1:8">
      <c r="A192" s="111">
        <v>192</v>
      </c>
      <c r="B192" s="118">
        <v>46112</v>
      </c>
      <c r="C192" s="157" t="s">
        <v>1331</v>
      </c>
      <c r="D192" s="150" t="s">
        <v>1332</v>
      </c>
      <c r="E192" s="121" t="s">
        <v>1225</v>
      </c>
      <c r="F192" s="119" t="s">
        <v>420</v>
      </c>
      <c r="G192" s="128" t="s">
        <v>2011</v>
      </c>
      <c r="H192" s="121"/>
    </row>
    <row r="193" spans="1:8">
      <c r="A193" s="111">
        <v>193</v>
      </c>
      <c r="B193" s="118">
        <v>46114</v>
      </c>
      <c r="C193" s="157" t="s">
        <v>1333</v>
      </c>
      <c r="D193" s="150" t="s">
        <v>1334</v>
      </c>
      <c r="E193" s="121" t="s">
        <v>1225</v>
      </c>
      <c r="F193" s="119" t="s">
        <v>420</v>
      </c>
      <c r="G193" s="128" t="s">
        <v>2011</v>
      </c>
      <c r="H193" s="121"/>
    </row>
    <row r="194" spans="1:8">
      <c r="A194" s="111">
        <v>194</v>
      </c>
      <c r="B194" s="118">
        <v>46120</v>
      </c>
      <c r="C194" s="157" t="s">
        <v>1390</v>
      </c>
      <c r="D194" s="150" t="s">
        <v>1391</v>
      </c>
      <c r="E194" s="121" t="s">
        <v>1225</v>
      </c>
      <c r="F194" s="119" t="s">
        <v>420</v>
      </c>
      <c r="G194" s="128" t="s">
        <v>1996</v>
      </c>
      <c r="H194" s="121"/>
    </row>
    <row r="195" spans="1:8">
      <c r="A195" s="111">
        <v>195</v>
      </c>
      <c r="B195" s="118">
        <v>46120</v>
      </c>
      <c r="C195" s="157" t="s">
        <v>1392</v>
      </c>
      <c r="D195" s="150" t="s">
        <v>1393</v>
      </c>
      <c r="E195" s="121" t="s">
        <v>1225</v>
      </c>
      <c r="F195" s="119" t="s">
        <v>420</v>
      </c>
      <c r="G195" s="128" t="s">
        <v>1996</v>
      </c>
      <c r="H195" s="121"/>
    </row>
    <row r="196" spans="1:8">
      <c r="A196" s="111">
        <v>196</v>
      </c>
      <c r="B196" s="118">
        <v>46126</v>
      </c>
      <c r="C196" s="157" t="s">
        <v>1396</v>
      </c>
      <c r="D196" s="150" t="s">
        <v>1397</v>
      </c>
      <c r="E196" s="121" t="s">
        <v>1225</v>
      </c>
      <c r="F196" s="119" t="s">
        <v>420</v>
      </c>
      <c r="G196" s="128" t="s">
        <v>1996</v>
      </c>
      <c r="H196" s="121"/>
    </row>
    <row r="197" spans="1:8">
      <c r="A197" s="111">
        <v>197</v>
      </c>
      <c r="B197" s="118">
        <v>46128</v>
      </c>
      <c r="C197" s="154" t="s">
        <v>1398</v>
      </c>
      <c r="D197" s="150" t="s">
        <v>1399</v>
      </c>
      <c r="E197" s="121" t="s">
        <v>1225</v>
      </c>
      <c r="F197" s="119" t="s">
        <v>420</v>
      </c>
      <c r="G197" s="128" t="s">
        <v>1996</v>
      </c>
      <c r="H197" s="121"/>
    </row>
    <row r="198" spans="1:8">
      <c r="A198" s="111">
        <v>198</v>
      </c>
      <c r="B198" s="118">
        <v>46090</v>
      </c>
      <c r="C198" s="154" t="s">
        <v>1402</v>
      </c>
      <c r="D198" s="150" t="s">
        <v>1403</v>
      </c>
      <c r="E198" s="121" t="s">
        <v>1225</v>
      </c>
      <c r="F198" s="119" t="s">
        <v>420</v>
      </c>
      <c r="G198" s="128" t="s">
        <v>2006</v>
      </c>
      <c r="H198" s="121"/>
    </row>
    <row r="199" spans="1:8">
      <c r="A199" s="111">
        <v>199</v>
      </c>
      <c r="B199" s="118">
        <v>46120</v>
      </c>
      <c r="C199" s="154" t="s">
        <v>1404</v>
      </c>
      <c r="D199" s="150" t="s">
        <v>1405</v>
      </c>
      <c r="E199" s="121" t="s">
        <v>1225</v>
      </c>
      <c r="F199" s="119" t="s">
        <v>420</v>
      </c>
      <c r="G199" s="128" t="s">
        <v>2011</v>
      </c>
      <c r="H199" s="121"/>
    </row>
    <row r="200" spans="1:8">
      <c r="A200" s="111">
        <v>200</v>
      </c>
      <c r="B200" s="118">
        <v>46121</v>
      </c>
      <c r="C200" s="154" t="s">
        <v>1411</v>
      </c>
      <c r="D200" s="150" t="s">
        <v>1412</v>
      </c>
      <c r="E200" s="121" t="s">
        <v>1225</v>
      </c>
      <c r="F200" s="119" t="s">
        <v>420</v>
      </c>
      <c r="G200" s="128" t="s">
        <v>1996</v>
      </c>
      <c r="H200" s="121"/>
    </row>
    <row r="201" spans="1:8">
      <c r="A201" s="111">
        <v>201</v>
      </c>
      <c r="B201" s="118">
        <v>46161</v>
      </c>
      <c r="C201" s="154" t="s">
        <v>1406</v>
      </c>
      <c r="D201" s="150" t="s">
        <v>1407</v>
      </c>
      <c r="E201" s="121" t="s">
        <v>1225</v>
      </c>
      <c r="F201" s="119" t="s">
        <v>420</v>
      </c>
      <c r="G201" s="128" t="s">
        <v>2006</v>
      </c>
      <c r="H201" s="121"/>
    </row>
    <row r="202" spans="1:8">
      <c r="A202" s="111">
        <v>202</v>
      </c>
      <c r="B202" s="118">
        <v>46163</v>
      </c>
      <c r="C202" s="154" t="s">
        <v>1409</v>
      </c>
      <c r="D202" s="150" t="s">
        <v>1410</v>
      </c>
      <c r="E202" s="121" t="s">
        <v>1225</v>
      </c>
      <c r="F202" s="119" t="s">
        <v>420</v>
      </c>
      <c r="G202" s="128" t="s">
        <v>2011</v>
      </c>
      <c r="H202" s="121"/>
    </row>
    <row r="203" spans="1:8">
      <c r="A203" s="111">
        <v>203</v>
      </c>
      <c r="B203" s="118">
        <v>46113</v>
      </c>
      <c r="C203" s="156" t="s">
        <v>1226</v>
      </c>
      <c r="D203" s="150" t="s">
        <v>1227</v>
      </c>
      <c r="E203" s="121" t="s">
        <v>1225</v>
      </c>
      <c r="F203" s="119" t="s">
        <v>420</v>
      </c>
      <c r="G203" s="128" t="s">
        <v>2006</v>
      </c>
      <c r="H203" s="139"/>
    </row>
    <row r="204" spans="1:8">
      <c r="A204" s="111">
        <v>204</v>
      </c>
      <c r="B204" s="118">
        <v>46084</v>
      </c>
      <c r="C204" s="157" t="s">
        <v>1238</v>
      </c>
      <c r="D204" s="150" t="s">
        <v>1239</v>
      </c>
      <c r="E204" s="121" t="s">
        <v>1225</v>
      </c>
      <c r="F204" s="119" t="s">
        <v>420</v>
      </c>
      <c r="G204" s="128" t="s">
        <v>1996</v>
      </c>
      <c r="H204" s="121"/>
    </row>
    <row r="205" spans="1:8">
      <c r="A205" s="111">
        <v>205</v>
      </c>
      <c r="B205" s="118">
        <v>46149</v>
      </c>
      <c r="C205" s="157" t="s">
        <v>1281</v>
      </c>
      <c r="D205" s="150" t="s">
        <v>1282</v>
      </c>
      <c r="E205" s="121" t="s">
        <v>1225</v>
      </c>
      <c r="F205" s="119" t="s">
        <v>420</v>
      </c>
      <c r="G205" s="128" t="s">
        <v>2006</v>
      </c>
      <c r="H205" s="121"/>
    </row>
    <row r="206" spans="1:8">
      <c r="A206" s="111">
        <v>206</v>
      </c>
      <c r="B206" s="118">
        <v>46175</v>
      </c>
      <c r="C206" s="318" t="s">
        <v>1408</v>
      </c>
      <c r="D206" s="150" t="s">
        <v>648</v>
      </c>
      <c r="E206" s="121" t="s">
        <v>1225</v>
      </c>
      <c r="F206" s="119" t="s">
        <v>420</v>
      </c>
      <c r="G206" s="128" t="s">
        <v>2011</v>
      </c>
      <c r="H206" s="121"/>
    </row>
    <row r="207" spans="1:8">
      <c r="A207" s="111">
        <v>207</v>
      </c>
      <c r="B207" s="118">
        <v>40646</v>
      </c>
      <c r="C207" s="133" t="s">
        <v>267</v>
      </c>
      <c r="D207" s="136" t="s">
        <v>268</v>
      </c>
      <c r="E207" s="158" t="s">
        <v>1292</v>
      </c>
      <c r="F207" s="133" t="s">
        <v>262</v>
      </c>
      <c r="G207" s="128" t="s">
        <v>2011</v>
      </c>
      <c r="H207" s="117"/>
    </row>
    <row r="208" spans="1:8">
      <c r="A208" s="111">
        <v>208</v>
      </c>
      <c r="B208" s="132">
        <v>43770</v>
      </c>
      <c r="C208" s="133" t="s">
        <v>269</v>
      </c>
      <c r="D208" s="134" t="s">
        <v>270</v>
      </c>
      <c r="E208" s="158" t="s">
        <v>1292</v>
      </c>
      <c r="F208" s="133" t="s">
        <v>262</v>
      </c>
      <c r="G208" s="128" t="s">
        <v>2006</v>
      </c>
      <c r="H208" s="117"/>
    </row>
    <row r="209" spans="1:8">
      <c r="A209" s="111">
        <v>209</v>
      </c>
      <c r="B209" s="132">
        <v>44166</v>
      </c>
      <c r="C209" s="133" t="s">
        <v>295</v>
      </c>
      <c r="D209" s="134" t="s">
        <v>296</v>
      </c>
      <c r="E209" s="158" t="s">
        <v>1292</v>
      </c>
      <c r="F209" s="133" t="s">
        <v>262</v>
      </c>
      <c r="G209" s="128" t="s">
        <v>1996</v>
      </c>
      <c r="H209" s="121" t="s">
        <v>2018</v>
      </c>
    </row>
    <row r="210" spans="1:8">
      <c r="A210" s="111">
        <v>210</v>
      </c>
      <c r="B210" s="118">
        <v>44743</v>
      </c>
      <c r="C210" s="119" t="s">
        <v>285</v>
      </c>
      <c r="D210" s="120" t="s">
        <v>286</v>
      </c>
      <c r="E210" s="144" t="s">
        <v>1297</v>
      </c>
      <c r="F210" s="119" t="s">
        <v>262</v>
      </c>
      <c r="G210" s="128" t="s">
        <v>1996</v>
      </c>
      <c r="H210" s="117" t="s">
        <v>2026</v>
      </c>
    </row>
    <row r="211" spans="1:8">
      <c r="A211" s="111">
        <v>211</v>
      </c>
      <c r="B211" s="118">
        <v>45139</v>
      </c>
      <c r="C211" s="119" t="s">
        <v>287</v>
      </c>
      <c r="D211" s="120" t="s">
        <v>288</v>
      </c>
      <c r="E211" s="121" t="s">
        <v>1418</v>
      </c>
      <c r="F211" s="119" t="s">
        <v>262</v>
      </c>
      <c r="G211" s="128" t="s">
        <v>2011</v>
      </c>
      <c r="H211" s="121" t="s">
        <v>2016</v>
      </c>
    </row>
    <row r="212" spans="1:8">
      <c r="A212" s="111">
        <v>212</v>
      </c>
      <c r="B212" s="118">
        <v>45261</v>
      </c>
      <c r="C212" s="119" t="s">
        <v>291</v>
      </c>
      <c r="D212" s="120" t="s">
        <v>292</v>
      </c>
      <c r="E212" s="121" t="s">
        <v>1420</v>
      </c>
      <c r="F212" s="119" t="s">
        <v>262</v>
      </c>
      <c r="G212" s="128" t="s">
        <v>2006</v>
      </c>
      <c r="H212" s="121"/>
    </row>
    <row r="213" spans="1:8">
      <c r="A213" s="111">
        <v>213</v>
      </c>
      <c r="B213" s="118">
        <v>43770</v>
      </c>
      <c r="C213" s="119" t="s">
        <v>283</v>
      </c>
      <c r="D213" s="117" t="s">
        <v>284</v>
      </c>
      <c r="E213" s="121" t="s">
        <v>1420</v>
      </c>
      <c r="F213" s="119" t="s">
        <v>262</v>
      </c>
      <c r="G213" s="128" t="s">
        <v>1996</v>
      </c>
      <c r="H213" s="117"/>
    </row>
    <row r="214" spans="1:8">
      <c r="A214" s="111">
        <v>214</v>
      </c>
      <c r="B214" s="118">
        <v>40269</v>
      </c>
      <c r="C214" s="119" t="s">
        <v>260</v>
      </c>
      <c r="D214" s="117" t="s">
        <v>261</v>
      </c>
      <c r="E214" s="121" t="s">
        <v>1433</v>
      </c>
      <c r="F214" s="119" t="s">
        <v>262</v>
      </c>
      <c r="G214" s="128" t="s">
        <v>2006</v>
      </c>
      <c r="H214" s="117"/>
    </row>
    <row r="215" spans="1:8">
      <c r="A215" s="111">
        <v>215</v>
      </c>
      <c r="B215" s="118">
        <v>45017</v>
      </c>
      <c r="C215" s="143" t="s">
        <v>265</v>
      </c>
      <c r="D215" s="120" t="s">
        <v>266</v>
      </c>
      <c r="E215" s="121" t="s">
        <v>1434</v>
      </c>
      <c r="F215" s="119" t="s">
        <v>262</v>
      </c>
      <c r="G215" s="128" t="s">
        <v>2006</v>
      </c>
      <c r="H215" s="121"/>
    </row>
    <row r="216" spans="1:8">
      <c r="A216" s="111">
        <v>216</v>
      </c>
      <c r="B216" s="118">
        <v>40914</v>
      </c>
      <c r="C216" s="119" t="s">
        <v>263</v>
      </c>
      <c r="D216" s="120" t="s">
        <v>264</v>
      </c>
      <c r="E216" s="121" t="s">
        <v>1434</v>
      </c>
      <c r="F216" s="119" t="s">
        <v>262</v>
      </c>
      <c r="G216" s="128" t="s">
        <v>2006</v>
      </c>
      <c r="H216" s="117"/>
    </row>
    <row r="217" spans="1:8">
      <c r="A217" s="111">
        <v>217</v>
      </c>
      <c r="B217" s="145">
        <v>45383</v>
      </c>
      <c r="C217" s="146" t="s">
        <v>1419</v>
      </c>
      <c r="D217" s="120" t="s">
        <v>758</v>
      </c>
      <c r="E217" s="121" t="s">
        <v>1420</v>
      </c>
      <c r="F217" s="119" t="s">
        <v>262</v>
      </c>
      <c r="G217" s="128" t="s">
        <v>2011</v>
      </c>
      <c r="H217" s="120"/>
    </row>
    <row r="218" spans="1:8">
      <c r="A218" s="111">
        <v>218</v>
      </c>
      <c r="B218" s="118">
        <v>45536</v>
      </c>
      <c r="C218" s="149" t="s">
        <v>273</v>
      </c>
      <c r="D218" s="120" t="s">
        <v>274</v>
      </c>
      <c r="E218" s="123" t="s">
        <v>1434</v>
      </c>
      <c r="F218" s="119" t="s">
        <v>262</v>
      </c>
      <c r="G218" s="128" t="s">
        <v>2006</v>
      </c>
      <c r="H218" s="139"/>
    </row>
    <row r="219" spans="1:8">
      <c r="A219" s="111">
        <v>219</v>
      </c>
      <c r="B219" s="118">
        <v>44743</v>
      </c>
      <c r="C219" s="119" t="s">
        <v>693</v>
      </c>
      <c r="D219" s="120" t="s">
        <v>694</v>
      </c>
      <c r="E219" s="144" t="s">
        <v>1433</v>
      </c>
      <c r="F219" s="119" t="s">
        <v>262</v>
      </c>
      <c r="G219" s="128" t="s">
        <v>2006</v>
      </c>
      <c r="H219" s="139" t="s">
        <v>2016</v>
      </c>
    </row>
    <row r="220" spans="1:8">
      <c r="A220" s="111">
        <v>220</v>
      </c>
      <c r="B220" s="145">
        <v>45689</v>
      </c>
      <c r="C220" s="143" t="s">
        <v>1444</v>
      </c>
      <c r="D220" s="120" t="s">
        <v>715</v>
      </c>
      <c r="E220" s="123" t="s">
        <v>1433</v>
      </c>
      <c r="F220" s="119" t="s">
        <v>262</v>
      </c>
      <c r="G220" s="128" t="s">
        <v>1996</v>
      </c>
      <c r="H220" s="121" t="s">
        <v>2018</v>
      </c>
    </row>
    <row r="221" spans="1:8">
      <c r="A221" s="111">
        <v>221</v>
      </c>
      <c r="B221" s="118">
        <v>45717</v>
      </c>
      <c r="C221" s="143" t="s">
        <v>1421</v>
      </c>
      <c r="D221" s="120" t="s">
        <v>668</v>
      </c>
      <c r="E221" s="144" t="s">
        <v>1433</v>
      </c>
      <c r="F221" s="119" t="s">
        <v>262</v>
      </c>
      <c r="G221" s="128" t="s">
        <v>2011</v>
      </c>
      <c r="H221" s="139" t="s">
        <v>2017</v>
      </c>
    </row>
    <row r="222" spans="1:8">
      <c r="A222" s="111">
        <v>222</v>
      </c>
      <c r="B222" s="118">
        <v>45717</v>
      </c>
      <c r="C222" s="143" t="s">
        <v>1435</v>
      </c>
      <c r="D222" s="120" t="s">
        <v>692</v>
      </c>
      <c r="E222" s="144" t="s">
        <v>1434</v>
      </c>
      <c r="F222" s="119" t="s">
        <v>262</v>
      </c>
      <c r="G222" s="128" t="s">
        <v>2006</v>
      </c>
      <c r="H222" s="139"/>
    </row>
    <row r="223" spans="1:8">
      <c r="A223" s="111">
        <v>223</v>
      </c>
      <c r="B223" s="118">
        <v>45839</v>
      </c>
      <c r="C223" s="167" t="s">
        <v>1422</v>
      </c>
      <c r="D223" s="120" t="s">
        <v>856</v>
      </c>
      <c r="E223" s="121" t="s">
        <v>1423</v>
      </c>
      <c r="F223" s="119" t="s">
        <v>262</v>
      </c>
      <c r="G223" s="128" t="s">
        <v>2011</v>
      </c>
      <c r="H223" s="139"/>
    </row>
    <row r="224" spans="1:8">
      <c r="A224" s="111">
        <v>224</v>
      </c>
      <c r="B224" s="118">
        <v>45839</v>
      </c>
      <c r="C224" s="167" t="s">
        <v>1436</v>
      </c>
      <c r="D224" s="120" t="s">
        <v>858</v>
      </c>
      <c r="E224" s="121" t="s">
        <v>1423</v>
      </c>
      <c r="F224" s="119" t="s">
        <v>262</v>
      </c>
      <c r="G224" s="128" t="s">
        <v>2006</v>
      </c>
      <c r="H224" s="121"/>
    </row>
    <row r="225" spans="1:8">
      <c r="A225" s="111">
        <v>226</v>
      </c>
      <c r="B225" s="145">
        <v>45992</v>
      </c>
      <c r="C225" s="167" t="s">
        <v>1445</v>
      </c>
      <c r="D225" s="126" t="s">
        <v>916</v>
      </c>
      <c r="E225" s="121" t="s">
        <v>1420</v>
      </c>
      <c r="F225" s="125" t="s">
        <v>262</v>
      </c>
      <c r="G225" s="128" t="s">
        <v>1996</v>
      </c>
      <c r="H225" s="170"/>
    </row>
    <row r="226" spans="1:8">
      <c r="A226" s="111">
        <v>227</v>
      </c>
      <c r="B226" s="118">
        <v>46113</v>
      </c>
      <c r="C226" s="148" t="s">
        <v>1446</v>
      </c>
      <c r="D226" s="120" t="s">
        <v>824</v>
      </c>
      <c r="E226" s="121" t="s">
        <v>1420</v>
      </c>
      <c r="F226" s="125" t="s">
        <v>262</v>
      </c>
      <c r="G226" s="128" t="s">
        <v>1996</v>
      </c>
      <c r="H226" s="121"/>
    </row>
    <row r="227" spans="1:8">
      <c r="A227" s="111">
        <v>228</v>
      </c>
      <c r="B227" s="112">
        <v>46143</v>
      </c>
      <c r="C227" s="343" t="s">
        <v>1451</v>
      </c>
      <c r="D227" s="120" t="s">
        <v>1452</v>
      </c>
      <c r="E227" s="127" t="s">
        <v>1423</v>
      </c>
      <c r="F227" s="125" t="s">
        <v>262</v>
      </c>
      <c r="G227" s="128" t="s">
        <v>1996</v>
      </c>
      <c r="H227" s="121"/>
    </row>
    <row r="228" spans="1:8">
      <c r="A228" s="111">
        <v>229</v>
      </c>
      <c r="B228" s="118">
        <v>46024</v>
      </c>
      <c r="C228" s="151" t="s">
        <v>1424</v>
      </c>
      <c r="D228" s="150" t="s">
        <v>855</v>
      </c>
      <c r="E228" s="121" t="s">
        <v>1225</v>
      </c>
      <c r="F228" s="119" t="s">
        <v>262</v>
      </c>
      <c r="G228" s="128" t="s">
        <v>2011</v>
      </c>
      <c r="H228" s="139"/>
    </row>
    <row r="229" spans="1:8">
      <c r="A229" s="111">
        <v>230</v>
      </c>
      <c r="B229" s="118">
        <v>45903</v>
      </c>
      <c r="C229" s="169" t="s">
        <v>277</v>
      </c>
      <c r="D229" s="150" t="s">
        <v>278</v>
      </c>
      <c r="E229" s="121" t="s">
        <v>1225</v>
      </c>
      <c r="F229" s="119" t="s">
        <v>262</v>
      </c>
      <c r="G229" s="128" t="s">
        <v>1996</v>
      </c>
      <c r="H229" s="120"/>
    </row>
    <row r="230" spans="1:8">
      <c r="A230" s="111">
        <v>231</v>
      </c>
      <c r="B230" s="118">
        <v>46144</v>
      </c>
      <c r="C230" s="152" t="s">
        <v>1437</v>
      </c>
      <c r="D230" s="153" t="s">
        <v>908</v>
      </c>
      <c r="E230" s="127" t="s">
        <v>1225</v>
      </c>
      <c r="F230" s="125" t="s">
        <v>262</v>
      </c>
      <c r="G230" s="128" t="s">
        <v>2006</v>
      </c>
      <c r="H230" s="170"/>
    </row>
    <row r="231" spans="1:8">
      <c r="A231" s="111">
        <v>232</v>
      </c>
      <c r="B231" s="118">
        <v>46174</v>
      </c>
      <c r="C231" s="344" t="s">
        <v>1425</v>
      </c>
      <c r="D231" s="153" t="s">
        <v>677</v>
      </c>
      <c r="E231" s="127" t="s">
        <v>1225</v>
      </c>
      <c r="F231" s="125" t="s">
        <v>262</v>
      </c>
      <c r="G231" s="128" t="s">
        <v>2011</v>
      </c>
      <c r="H231" s="170"/>
    </row>
    <row r="232" spans="1:8">
      <c r="A232" s="111">
        <v>233</v>
      </c>
      <c r="B232" s="118">
        <v>46174</v>
      </c>
      <c r="C232" s="344" t="s">
        <v>1426</v>
      </c>
      <c r="D232" s="153" t="s">
        <v>910</v>
      </c>
      <c r="E232" s="127" t="s">
        <v>1225</v>
      </c>
      <c r="F232" s="125" t="s">
        <v>262</v>
      </c>
      <c r="G232" s="128" t="s">
        <v>2011</v>
      </c>
      <c r="H232" s="170"/>
    </row>
    <row r="233" spans="1:8">
      <c r="A233" s="111">
        <v>234</v>
      </c>
      <c r="B233" s="118">
        <v>46055</v>
      </c>
      <c r="C233" s="169" t="s">
        <v>1447</v>
      </c>
      <c r="D233" s="150" t="s">
        <v>276</v>
      </c>
      <c r="E233" s="121" t="s">
        <v>1225</v>
      </c>
      <c r="F233" s="125" t="s">
        <v>262</v>
      </c>
      <c r="G233" s="128" t="s">
        <v>1996</v>
      </c>
      <c r="H233" s="139"/>
    </row>
    <row r="234" spans="1:8">
      <c r="A234" s="111">
        <v>235</v>
      </c>
      <c r="B234" s="118">
        <v>45839</v>
      </c>
      <c r="C234" s="154" t="s">
        <v>1448</v>
      </c>
      <c r="D234" s="150" t="s">
        <v>973</v>
      </c>
      <c r="E234" s="121" t="s">
        <v>1225</v>
      </c>
      <c r="F234" s="125" t="s">
        <v>262</v>
      </c>
      <c r="G234" s="128" t="s">
        <v>1996</v>
      </c>
      <c r="H234" s="121"/>
    </row>
    <row r="235" spans="1:8">
      <c r="A235" s="111">
        <v>236</v>
      </c>
      <c r="B235" s="118">
        <v>45919</v>
      </c>
      <c r="C235" s="154" t="s">
        <v>1427</v>
      </c>
      <c r="D235" s="150" t="s">
        <v>1428</v>
      </c>
      <c r="E235" s="121" t="s">
        <v>1225</v>
      </c>
      <c r="F235" s="125" t="s">
        <v>262</v>
      </c>
      <c r="G235" s="128" t="s">
        <v>2011</v>
      </c>
      <c r="H235" s="121"/>
    </row>
    <row r="236" spans="1:8">
      <c r="A236" s="111">
        <v>237</v>
      </c>
      <c r="B236" s="118">
        <v>46034</v>
      </c>
      <c r="C236" s="157" t="s">
        <v>1438</v>
      </c>
      <c r="D236" s="150" t="s">
        <v>1439</v>
      </c>
      <c r="E236" s="121" t="s">
        <v>1225</v>
      </c>
      <c r="F236" s="125" t="s">
        <v>262</v>
      </c>
      <c r="G236" s="128" t="s">
        <v>2006</v>
      </c>
      <c r="H236" s="121"/>
    </row>
    <row r="237" spans="1:8">
      <c r="A237" s="111">
        <v>238</v>
      </c>
      <c r="B237" s="112">
        <v>45933</v>
      </c>
      <c r="C237" s="155" t="s">
        <v>1449</v>
      </c>
      <c r="D237" s="153" t="s">
        <v>1450</v>
      </c>
      <c r="E237" s="127" t="s">
        <v>1225</v>
      </c>
      <c r="F237" s="125" t="s">
        <v>262</v>
      </c>
      <c r="G237" s="128" t="s">
        <v>1996</v>
      </c>
      <c r="H237" s="127"/>
    </row>
    <row r="238" spans="1:8">
      <c r="A238" s="111">
        <v>239</v>
      </c>
      <c r="B238" s="118">
        <v>46010</v>
      </c>
      <c r="C238" s="172" t="s">
        <v>1453</v>
      </c>
      <c r="D238" s="150" t="s">
        <v>1454</v>
      </c>
      <c r="E238" s="121" t="s">
        <v>1225</v>
      </c>
      <c r="F238" s="125" t="s">
        <v>262</v>
      </c>
      <c r="G238" s="128" t="s">
        <v>1996</v>
      </c>
      <c r="H238" s="121"/>
    </row>
    <row r="239" spans="1:8">
      <c r="A239" s="111">
        <v>240</v>
      </c>
      <c r="B239" s="118">
        <v>46077</v>
      </c>
      <c r="C239" s="172" t="s">
        <v>1429</v>
      </c>
      <c r="D239" s="150" t="s">
        <v>1430</v>
      </c>
      <c r="E239" s="121" t="s">
        <v>1225</v>
      </c>
      <c r="F239" s="125" t="s">
        <v>262</v>
      </c>
      <c r="G239" s="128" t="s">
        <v>2011</v>
      </c>
      <c r="H239" s="121"/>
    </row>
    <row r="240" spans="1:8">
      <c r="A240" s="111">
        <v>241</v>
      </c>
      <c r="B240" s="118">
        <v>46080</v>
      </c>
      <c r="C240" s="172" t="s">
        <v>1455</v>
      </c>
      <c r="D240" s="150" t="s">
        <v>1456</v>
      </c>
      <c r="E240" s="121" t="s">
        <v>1225</v>
      </c>
      <c r="F240" s="125" t="s">
        <v>262</v>
      </c>
      <c r="G240" s="128" t="s">
        <v>1996</v>
      </c>
      <c r="H240" s="121"/>
    </row>
    <row r="241" spans="1:8">
      <c r="A241" s="111">
        <v>242</v>
      </c>
      <c r="B241" s="118">
        <v>46080</v>
      </c>
      <c r="C241" s="172" t="s">
        <v>1440</v>
      </c>
      <c r="D241" s="150" t="s">
        <v>1441</v>
      </c>
      <c r="E241" s="121" t="s">
        <v>1225</v>
      </c>
      <c r="F241" s="125" t="s">
        <v>262</v>
      </c>
      <c r="G241" s="128" t="s">
        <v>2006</v>
      </c>
      <c r="H241" s="121"/>
    </row>
    <row r="242" spans="1:8">
      <c r="A242" s="111">
        <v>243</v>
      </c>
      <c r="B242" s="118">
        <v>45992</v>
      </c>
      <c r="C242" s="154" t="s">
        <v>1442</v>
      </c>
      <c r="D242" s="150" t="s">
        <v>1443</v>
      </c>
      <c r="E242" s="121" t="s">
        <v>1225</v>
      </c>
      <c r="F242" s="125" t="s">
        <v>262</v>
      </c>
      <c r="G242" s="128" t="s">
        <v>2006</v>
      </c>
      <c r="H242" s="121"/>
    </row>
    <row r="243" spans="1:8">
      <c r="A243" s="111">
        <v>244</v>
      </c>
      <c r="B243" s="118">
        <v>46101</v>
      </c>
      <c r="C243" s="154" t="s">
        <v>1431</v>
      </c>
      <c r="D243" s="150" t="s">
        <v>1432</v>
      </c>
      <c r="E243" s="121" t="s">
        <v>1225</v>
      </c>
      <c r="F243" s="125" t="s">
        <v>262</v>
      </c>
      <c r="G243" s="128" t="s">
        <v>2011</v>
      </c>
      <c r="H243" s="121"/>
    </row>
    <row r="244" spans="1:8">
      <c r="A244" s="111">
        <v>245</v>
      </c>
      <c r="B244" s="118">
        <v>46024</v>
      </c>
      <c r="C244" s="151" t="s">
        <v>1467</v>
      </c>
      <c r="D244" s="150" t="s">
        <v>280</v>
      </c>
      <c r="E244" s="121" t="s">
        <v>1225</v>
      </c>
      <c r="F244" s="125" t="s">
        <v>262</v>
      </c>
      <c r="G244" s="128" t="s">
        <v>1996</v>
      </c>
      <c r="H244" s="121"/>
    </row>
    <row r="245" spans="1:8">
      <c r="A245" s="111">
        <v>246</v>
      </c>
      <c r="B245" s="118">
        <v>46126</v>
      </c>
      <c r="C245" s="154" t="s">
        <v>1457</v>
      </c>
      <c r="D245" s="150" t="s">
        <v>1458</v>
      </c>
      <c r="E245" s="121" t="s">
        <v>1225</v>
      </c>
      <c r="F245" s="125" t="s">
        <v>262</v>
      </c>
      <c r="G245" s="128" t="s">
        <v>1996</v>
      </c>
      <c r="H245" s="121"/>
    </row>
    <row r="246" spans="1:8">
      <c r="A246" s="111">
        <v>247</v>
      </c>
      <c r="B246" s="118">
        <v>46147</v>
      </c>
      <c r="C246" s="154" t="s">
        <v>1463</v>
      </c>
      <c r="D246" s="150" t="s">
        <v>1464</v>
      </c>
      <c r="E246" s="121" t="s">
        <v>1225</v>
      </c>
      <c r="F246" s="125" t="s">
        <v>262</v>
      </c>
      <c r="G246" s="128" t="s">
        <v>2006</v>
      </c>
      <c r="H246" s="121"/>
    </row>
    <row r="247" spans="1:8">
      <c r="A247" s="111">
        <v>248</v>
      </c>
      <c r="B247" s="118">
        <v>46149</v>
      </c>
      <c r="C247" s="154" t="s">
        <v>1465</v>
      </c>
      <c r="D247" s="150" t="s">
        <v>1466</v>
      </c>
      <c r="E247" s="121" t="s">
        <v>1225</v>
      </c>
      <c r="F247" s="125" t="s">
        <v>262</v>
      </c>
      <c r="G247" s="128" t="s">
        <v>2006</v>
      </c>
      <c r="H247" s="121"/>
    </row>
    <row r="248" spans="1:8">
      <c r="A248" s="111">
        <v>249</v>
      </c>
      <c r="B248" s="118">
        <v>46175</v>
      </c>
      <c r="C248" s="319" t="s">
        <v>1468</v>
      </c>
      <c r="D248" s="150" t="s">
        <v>1469</v>
      </c>
      <c r="E248" s="121" t="s">
        <v>1225</v>
      </c>
      <c r="F248" s="125" t="s">
        <v>262</v>
      </c>
      <c r="G248" s="128" t="s">
        <v>2011</v>
      </c>
      <c r="H248" s="121"/>
    </row>
    <row r="249" spans="1:8">
      <c r="A249" s="111">
        <v>250</v>
      </c>
      <c r="B249" s="173">
        <v>44743</v>
      </c>
      <c r="C249" s="174" t="s">
        <v>609</v>
      </c>
      <c r="D249" s="175" t="s">
        <v>610</v>
      </c>
      <c r="E249" s="176" t="s">
        <v>1420</v>
      </c>
      <c r="F249" s="177" t="s">
        <v>542</v>
      </c>
      <c r="G249" s="128" t="s">
        <v>2011</v>
      </c>
      <c r="H249" s="117"/>
    </row>
    <row r="250" spans="1:8">
      <c r="A250" s="111">
        <v>251</v>
      </c>
      <c r="B250" s="145">
        <v>45413</v>
      </c>
      <c r="C250" s="143" t="s">
        <v>540</v>
      </c>
      <c r="D250" s="120" t="s">
        <v>541</v>
      </c>
      <c r="E250" s="178" t="s">
        <v>1420</v>
      </c>
      <c r="F250" s="119" t="s">
        <v>542</v>
      </c>
      <c r="G250" s="128" t="s">
        <v>1996</v>
      </c>
      <c r="H250" s="139"/>
    </row>
    <row r="251" spans="1:8">
      <c r="A251" s="111">
        <v>252</v>
      </c>
      <c r="B251" s="118">
        <v>46055</v>
      </c>
      <c r="C251" s="169" t="s">
        <v>1459</v>
      </c>
      <c r="D251" s="168" t="s">
        <v>282</v>
      </c>
      <c r="E251" s="121" t="s">
        <v>1225</v>
      </c>
      <c r="F251" s="119" t="s">
        <v>542</v>
      </c>
      <c r="G251" s="128" t="s">
        <v>2011</v>
      </c>
      <c r="H251" s="117"/>
    </row>
    <row r="252" spans="1:8">
      <c r="A252" s="111">
        <v>253</v>
      </c>
      <c r="B252" s="118">
        <v>46144</v>
      </c>
      <c r="C252" s="152" t="s">
        <v>1460</v>
      </c>
      <c r="D252" s="150" t="s">
        <v>909</v>
      </c>
      <c r="E252" s="121" t="s">
        <v>1225</v>
      </c>
      <c r="F252" s="119" t="s">
        <v>542</v>
      </c>
      <c r="G252" s="128" t="s">
        <v>2006</v>
      </c>
      <c r="H252" s="121"/>
    </row>
    <row r="253" spans="1:8">
      <c r="A253" s="111">
        <v>254</v>
      </c>
      <c r="B253" s="118">
        <v>46147</v>
      </c>
      <c r="C253" s="154" t="s">
        <v>1461</v>
      </c>
      <c r="D253" s="150" t="s">
        <v>1462</v>
      </c>
      <c r="E253" s="121" t="s">
        <v>1225</v>
      </c>
      <c r="F253" s="119" t="s">
        <v>542</v>
      </c>
      <c r="G253" s="128" t="s">
        <v>2011</v>
      </c>
      <c r="H253" s="121"/>
    </row>
    <row r="254" spans="1:8">
      <c r="A254" s="111">
        <v>255</v>
      </c>
      <c r="B254" s="118">
        <v>43588</v>
      </c>
      <c r="C254" s="133" t="s">
        <v>2027</v>
      </c>
      <c r="D254" s="136" t="s">
        <v>2028</v>
      </c>
      <c r="E254" s="135" t="s">
        <v>2005</v>
      </c>
      <c r="F254" s="133" t="s">
        <v>743</v>
      </c>
      <c r="G254" s="128" t="s">
        <v>1996</v>
      </c>
      <c r="H254" s="117"/>
    </row>
    <row r="255" spans="1:8">
      <c r="A255" s="111">
        <v>256</v>
      </c>
      <c r="B255" s="118">
        <v>39679</v>
      </c>
      <c r="C255" s="133" t="s">
        <v>2029</v>
      </c>
      <c r="D255" s="136" t="s">
        <v>2030</v>
      </c>
      <c r="E255" s="135" t="s">
        <v>2005</v>
      </c>
      <c r="F255" s="133" t="s">
        <v>743</v>
      </c>
      <c r="G255" s="128" t="s">
        <v>2011</v>
      </c>
      <c r="H255" s="117"/>
    </row>
    <row r="256" spans="1:8">
      <c r="A256" s="111">
        <v>257</v>
      </c>
      <c r="B256" s="118">
        <v>43617</v>
      </c>
      <c r="C256" s="133" t="s">
        <v>810</v>
      </c>
      <c r="D256" s="136" t="s">
        <v>811</v>
      </c>
      <c r="E256" s="158" t="s">
        <v>1292</v>
      </c>
      <c r="F256" s="133" t="s">
        <v>393</v>
      </c>
      <c r="G256" s="128" t="s">
        <v>2011</v>
      </c>
      <c r="H256" s="117"/>
    </row>
    <row r="257" spans="1:8">
      <c r="A257" s="111">
        <v>258</v>
      </c>
      <c r="B257" s="118">
        <v>43222</v>
      </c>
      <c r="C257" s="133" t="s">
        <v>400</v>
      </c>
      <c r="D257" s="136" t="s">
        <v>401</v>
      </c>
      <c r="E257" s="158" t="s">
        <v>1292</v>
      </c>
      <c r="F257" s="133" t="s">
        <v>393</v>
      </c>
      <c r="G257" s="128" t="s">
        <v>1996</v>
      </c>
      <c r="H257" s="117"/>
    </row>
    <row r="258" spans="1:8">
      <c r="A258" s="111">
        <v>259</v>
      </c>
      <c r="B258" s="145">
        <v>45446</v>
      </c>
      <c r="C258" s="133" t="s">
        <v>649</v>
      </c>
      <c r="D258" s="136" t="s">
        <v>650</v>
      </c>
      <c r="E258" s="158" t="s">
        <v>1292</v>
      </c>
      <c r="F258" s="133" t="s">
        <v>393</v>
      </c>
      <c r="G258" s="128" t="s">
        <v>2011</v>
      </c>
      <c r="H258" s="117"/>
    </row>
    <row r="259" spans="1:8">
      <c r="A259" s="111">
        <v>260</v>
      </c>
      <c r="B259" s="112">
        <v>46054</v>
      </c>
      <c r="C259" s="143" t="s">
        <v>2031</v>
      </c>
      <c r="D259" s="120" t="s">
        <v>2032</v>
      </c>
      <c r="E259" s="121" t="s">
        <v>1222</v>
      </c>
      <c r="F259" s="161" t="s">
        <v>393</v>
      </c>
      <c r="G259" s="128" t="s">
        <v>1996</v>
      </c>
      <c r="H259" s="117" t="s">
        <v>2018</v>
      </c>
    </row>
    <row r="260" spans="1:8">
      <c r="A260" s="111">
        <v>261</v>
      </c>
      <c r="B260" s="164">
        <v>43222</v>
      </c>
      <c r="C260" s="119" t="s">
        <v>1529</v>
      </c>
      <c r="D260" s="179" t="s">
        <v>1530</v>
      </c>
      <c r="E260" s="121" t="s">
        <v>1531</v>
      </c>
      <c r="F260" s="119" t="s">
        <v>393</v>
      </c>
      <c r="G260" s="128" t="s">
        <v>2011</v>
      </c>
      <c r="H260" s="117"/>
    </row>
    <row r="261" spans="1:8">
      <c r="A261" s="111">
        <v>262</v>
      </c>
      <c r="B261" s="118">
        <v>44378</v>
      </c>
      <c r="C261" s="119" t="s">
        <v>396</v>
      </c>
      <c r="D261" s="120" t="s">
        <v>397</v>
      </c>
      <c r="E261" s="123" t="s">
        <v>1539</v>
      </c>
      <c r="F261" s="119" t="s">
        <v>393</v>
      </c>
      <c r="G261" s="128" t="s">
        <v>2006</v>
      </c>
      <c r="H261" s="121" t="s">
        <v>2018</v>
      </c>
    </row>
    <row r="262" spans="1:8">
      <c r="A262" s="111">
        <v>263</v>
      </c>
      <c r="B262" s="118">
        <v>40745</v>
      </c>
      <c r="C262" s="119" t="s">
        <v>1532</v>
      </c>
      <c r="D262" s="120" t="s">
        <v>1533</v>
      </c>
      <c r="E262" s="121" t="s">
        <v>1297</v>
      </c>
      <c r="F262" s="119" t="s">
        <v>393</v>
      </c>
      <c r="G262" s="128" t="s">
        <v>2011</v>
      </c>
      <c r="H262" s="117"/>
    </row>
    <row r="263" spans="1:8">
      <c r="A263" s="111">
        <v>264</v>
      </c>
      <c r="B263" s="118">
        <v>44805</v>
      </c>
      <c r="C263" s="119" t="s">
        <v>1534</v>
      </c>
      <c r="D263" s="120" t="s">
        <v>1535</v>
      </c>
      <c r="E263" s="144" t="s">
        <v>1536</v>
      </c>
      <c r="F263" s="119" t="s">
        <v>393</v>
      </c>
      <c r="G263" s="128" t="s">
        <v>1996</v>
      </c>
      <c r="H263" s="160" t="s">
        <v>2033</v>
      </c>
    </row>
    <row r="264" spans="1:8">
      <c r="A264" s="111">
        <v>265</v>
      </c>
      <c r="B264" s="118">
        <v>41066</v>
      </c>
      <c r="C264" s="119" t="s">
        <v>402</v>
      </c>
      <c r="D264" s="120" t="s">
        <v>403</v>
      </c>
      <c r="E264" s="121" t="s">
        <v>1537</v>
      </c>
      <c r="F264" s="119" t="s">
        <v>393</v>
      </c>
      <c r="G264" s="128" t="s">
        <v>2011</v>
      </c>
      <c r="H264" s="117"/>
    </row>
    <row r="265" spans="1:8">
      <c r="A265" s="111">
        <v>266</v>
      </c>
      <c r="B265" s="118">
        <v>43770</v>
      </c>
      <c r="C265" s="119" t="s">
        <v>394</v>
      </c>
      <c r="D265" s="120" t="s">
        <v>395</v>
      </c>
      <c r="E265" s="144" t="s">
        <v>1297</v>
      </c>
      <c r="F265" s="119" t="s">
        <v>393</v>
      </c>
      <c r="G265" s="128" t="s">
        <v>1996</v>
      </c>
      <c r="H265" s="117" t="s">
        <v>2026</v>
      </c>
    </row>
    <row r="266" spans="1:8">
      <c r="A266" s="111">
        <v>267</v>
      </c>
      <c r="B266" s="164">
        <v>43222</v>
      </c>
      <c r="C266" s="119" t="s">
        <v>1538</v>
      </c>
      <c r="D266" s="179" t="s">
        <v>804</v>
      </c>
      <c r="E266" s="144" t="s">
        <v>1539</v>
      </c>
      <c r="F266" s="119" t="s">
        <v>393</v>
      </c>
      <c r="G266" s="128" t="s">
        <v>2011</v>
      </c>
      <c r="H266" s="117"/>
    </row>
    <row r="267" spans="1:8">
      <c r="A267" s="111">
        <v>268</v>
      </c>
      <c r="B267" s="118">
        <v>44743</v>
      </c>
      <c r="C267" s="119" t="s">
        <v>1586</v>
      </c>
      <c r="D267" s="120" t="s">
        <v>1587</v>
      </c>
      <c r="E267" s="144" t="s">
        <v>1531</v>
      </c>
      <c r="F267" s="119" t="s">
        <v>393</v>
      </c>
      <c r="G267" s="128" t="s">
        <v>1996</v>
      </c>
      <c r="H267" s="117"/>
    </row>
    <row r="268" spans="1:8">
      <c r="A268" s="111">
        <v>269</v>
      </c>
      <c r="B268" s="118">
        <v>44378</v>
      </c>
      <c r="C268" s="119" t="s">
        <v>1552</v>
      </c>
      <c r="D268" s="120" t="s">
        <v>1553</v>
      </c>
      <c r="E268" s="121" t="s">
        <v>1297</v>
      </c>
      <c r="F268" s="119" t="s">
        <v>393</v>
      </c>
      <c r="G268" s="128" t="s">
        <v>2006</v>
      </c>
      <c r="H268" s="117"/>
    </row>
    <row r="269" spans="1:8">
      <c r="A269" s="111">
        <v>270</v>
      </c>
      <c r="B269" s="118">
        <v>44805</v>
      </c>
      <c r="C269" s="119" t="s">
        <v>1554</v>
      </c>
      <c r="D269" s="120" t="s">
        <v>800</v>
      </c>
      <c r="E269" s="144" t="s">
        <v>1536</v>
      </c>
      <c r="F269" s="119" t="s">
        <v>393</v>
      </c>
      <c r="G269" s="128" t="s">
        <v>2006</v>
      </c>
      <c r="H269" s="117"/>
    </row>
    <row r="270" spans="1:8">
      <c r="A270" s="111">
        <v>271</v>
      </c>
      <c r="B270" s="118">
        <v>44805</v>
      </c>
      <c r="C270" s="119" t="s">
        <v>1555</v>
      </c>
      <c r="D270" s="120" t="s">
        <v>893</v>
      </c>
      <c r="E270" s="144" t="s">
        <v>1531</v>
      </c>
      <c r="F270" s="119" t="s">
        <v>393</v>
      </c>
      <c r="G270" s="128" t="s">
        <v>2006</v>
      </c>
      <c r="H270" s="139" t="s">
        <v>2017</v>
      </c>
    </row>
    <row r="271" spans="1:8">
      <c r="A271" s="111">
        <v>272</v>
      </c>
      <c r="B271" s="145">
        <v>44378</v>
      </c>
      <c r="C271" s="143" t="s">
        <v>659</v>
      </c>
      <c r="D271" s="120" t="s">
        <v>660</v>
      </c>
      <c r="E271" s="144" t="s">
        <v>1536</v>
      </c>
      <c r="F271" s="119" t="s">
        <v>393</v>
      </c>
      <c r="G271" s="128" t="s">
        <v>1996</v>
      </c>
      <c r="H271" s="120"/>
    </row>
    <row r="272" spans="1:8">
      <c r="A272" s="111">
        <v>273</v>
      </c>
      <c r="B272" s="118">
        <v>45170</v>
      </c>
      <c r="C272" s="147" t="s">
        <v>1540</v>
      </c>
      <c r="D272" s="180" t="s">
        <v>1541</v>
      </c>
      <c r="E272" s="144" t="s">
        <v>1536</v>
      </c>
      <c r="F272" s="119" t="s">
        <v>393</v>
      </c>
      <c r="G272" s="128" t="s">
        <v>2011</v>
      </c>
      <c r="H272" s="171"/>
    </row>
    <row r="273" spans="1:8">
      <c r="A273" s="111">
        <v>274</v>
      </c>
      <c r="B273" s="145">
        <v>45200</v>
      </c>
      <c r="C273" s="147" t="s">
        <v>1588</v>
      </c>
      <c r="D273" s="120" t="s">
        <v>801</v>
      </c>
      <c r="E273" s="144" t="s">
        <v>1536</v>
      </c>
      <c r="F273" s="119" t="s">
        <v>393</v>
      </c>
      <c r="G273" s="128" t="s">
        <v>1996</v>
      </c>
      <c r="H273" s="139"/>
    </row>
    <row r="274" spans="1:8">
      <c r="A274" s="111">
        <v>275</v>
      </c>
      <c r="B274" s="118">
        <v>45231</v>
      </c>
      <c r="C274" s="147" t="s">
        <v>1589</v>
      </c>
      <c r="D274" s="180" t="s">
        <v>1590</v>
      </c>
      <c r="E274" s="121" t="s">
        <v>1536</v>
      </c>
      <c r="F274" s="119" t="s">
        <v>393</v>
      </c>
      <c r="G274" s="128" t="s">
        <v>1996</v>
      </c>
      <c r="H274" s="139" t="s">
        <v>2015</v>
      </c>
    </row>
    <row r="275" spans="1:8">
      <c r="A275" s="111">
        <v>276</v>
      </c>
      <c r="B275" s="145">
        <v>45200</v>
      </c>
      <c r="C275" s="147" t="s">
        <v>1556</v>
      </c>
      <c r="D275" s="120" t="s">
        <v>1557</v>
      </c>
      <c r="E275" s="144" t="s">
        <v>1536</v>
      </c>
      <c r="F275" s="119" t="s">
        <v>393</v>
      </c>
      <c r="G275" s="128" t="s">
        <v>2006</v>
      </c>
      <c r="H275" s="139"/>
    </row>
    <row r="276" spans="1:8">
      <c r="A276" s="111">
        <v>277</v>
      </c>
      <c r="B276" s="118">
        <v>45261</v>
      </c>
      <c r="C276" s="143" t="s">
        <v>1558</v>
      </c>
      <c r="D276" s="120" t="s">
        <v>1559</v>
      </c>
      <c r="E276" s="144" t="s">
        <v>1536</v>
      </c>
      <c r="F276" s="119" t="s">
        <v>393</v>
      </c>
      <c r="G276" s="128" t="s">
        <v>2006</v>
      </c>
      <c r="H276" s="139"/>
    </row>
    <row r="277" spans="1:8">
      <c r="A277" s="111">
        <v>278</v>
      </c>
      <c r="B277" s="118">
        <v>44652</v>
      </c>
      <c r="C277" s="119" t="s">
        <v>737</v>
      </c>
      <c r="D277" s="120" t="s">
        <v>738</v>
      </c>
      <c r="E277" s="144" t="s">
        <v>1536</v>
      </c>
      <c r="F277" s="119" t="s">
        <v>393</v>
      </c>
      <c r="G277" s="128" t="s">
        <v>2011</v>
      </c>
      <c r="H277" s="231"/>
    </row>
    <row r="278" spans="1:8">
      <c r="A278" s="111">
        <v>279</v>
      </c>
      <c r="B278" s="118">
        <v>39518</v>
      </c>
      <c r="C278" s="119" t="s">
        <v>391</v>
      </c>
      <c r="D278" s="120" t="s">
        <v>392</v>
      </c>
      <c r="E278" s="121" t="s">
        <v>1542</v>
      </c>
      <c r="F278" s="119" t="s">
        <v>393</v>
      </c>
      <c r="G278" s="128" t="s">
        <v>2011</v>
      </c>
      <c r="H278" s="117"/>
    </row>
    <row r="279" spans="1:8">
      <c r="A279" s="111">
        <v>280</v>
      </c>
      <c r="B279" s="118">
        <v>44743</v>
      </c>
      <c r="C279" s="119" t="s">
        <v>408</v>
      </c>
      <c r="D279" s="120" t="s">
        <v>409</v>
      </c>
      <c r="E279" s="121" t="s">
        <v>1536</v>
      </c>
      <c r="F279" s="119" t="s">
        <v>393</v>
      </c>
      <c r="G279" s="128" t="s">
        <v>2011</v>
      </c>
      <c r="H279" s="117"/>
    </row>
    <row r="280" spans="1:8">
      <c r="A280" s="111">
        <v>281</v>
      </c>
      <c r="B280" s="118">
        <v>44805</v>
      </c>
      <c r="C280" s="119" t="s">
        <v>398</v>
      </c>
      <c r="D280" s="120" t="s">
        <v>399</v>
      </c>
      <c r="E280" s="144" t="s">
        <v>1545</v>
      </c>
      <c r="F280" s="119" t="s">
        <v>393</v>
      </c>
      <c r="G280" s="128" t="s">
        <v>1996</v>
      </c>
      <c r="H280" s="117"/>
    </row>
    <row r="281" spans="1:8">
      <c r="A281" s="111">
        <v>282</v>
      </c>
      <c r="B281" s="118">
        <v>44743</v>
      </c>
      <c r="C281" s="119" t="s">
        <v>1591</v>
      </c>
      <c r="D281" s="120" t="s">
        <v>1592</v>
      </c>
      <c r="E281" s="144" t="s">
        <v>1531</v>
      </c>
      <c r="F281" s="119" t="s">
        <v>393</v>
      </c>
      <c r="G281" s="128" t="s">
        <v>1996</v>
      </c>
      <c r="H281" s="117"/>
    </row>
    <row r="282" spans="1:8">
      <c r="A282" s="111">
        <v>283</v>
      </c>
      <c r="B282" s="118">
        <v>44743</v>
      </c>
      <c r="C282" s="119" t="s">
        <v>1543</v>
      </c>
      <c r="D282" s="179" t="s">
        <v>1544</v>
      </c>
      <c r="E282" s="144" t="s">
        <v>1536</v>
      </c>
      <c r="F282" s="119" t="s">
        <v>393</v>
      </c>
      <c r="G282" s="128" t="s">
        <v>2011</v>
      </c>
      <c r="H282" s="117"/>
    </row>
    <row r="283" spans="1:8">
      <c r="A283" s="111">
        <v>284</v>
      </c>
      <c r="B283" s="145">
        <v>45444</v>
      </c>
      <c r="C283" s="146" t="s">
        <v>1560</v>
      </c>
      <c r="D283" s="120" t="s">
        <v>1561</v>
      </c>
      <c r="E283" s="123" t="s">
        <v>1531</v>
      </c>
      <c r="F283" s="119" t="s">
        <v>393</v>
      </c>
      <c r="G283" s="128" t="s">
        <v>2006</v>
      </c>
      <c r="H283" s="121" t="s">
        <v>2018</v>
      </c>
    </row>
    <row r="284" spans="1:8">
      <c r="A284" s="111">
        <v>285</v>
      </c>
      <c r="B284" s="145">
        <v>45444</v>
      </c>
      <c r="C284" s="146" t="s">
        <v>1562</v>
      </c>
      <c r="D284" s="120" t="s">
        <v>1563</v>
      </c>
      <c r="E284" s="144" t="s">
        <v>1531</v>
      </c>
      <c r="F284" s="161" t="s">
        <v>393</v>
      </c>
      <c r="G284" s="128" t="s">
        <v>2006</v>
      </c>
      <c r="H284" s="139" t="s">
        <v>2016</v>
      </c>
    </row>
    <row r="285" spans="1:8">
      <c r="A285" s="111">
        <v>286</v>
      </c>
      <c r="B285" s="145">
        <v>45444</v>
      </c>
      <c r="C285" s="146" t="s">
        <v>1564</v>
      </c>
      <c r="D285" s="120" t="s">
        <v>802</v>
      </c>
      <c r="E285" s="144" t="s">
        <v>1565</v>
      </c>
      <c r="F285" s="161" t="s">
        <v>393</v>
      </c>
      <c r="G285" s="128" t="s">
        <v>2006</v>
      </c>
      <c r="H285" s="121"/>
    </row>
    <row r="286" spans="1:8">
      <c r="A286" s="111">
        <v>287</v>
      </c>
      <c r="B286" s="145">
        <v>45505</v>
      </c>
      <c r="C286" s="146" t="s">
        <v>416</v>
      </c>
      <c r="D286" s="120" t="s">
        <v>417</v>
      </c>
      <c r="E286" s="144" t="s">
        <v>1537</v>
      </c>
      <c r="F286" s="119" t="s">
        <v>393</v>
      </c>
      <c r="G286" s="128" t="s">
        <v>2011</v>
      </c>
      <c r="H286" s="121"/>
    </row>
    <row r="287" spans="1:8">
      <c r="A287" s="111">
        <v>288</v>
      </c>
      <c r="B287" s="145">
        <v>45505</v>
      </c>
      <c r="C287" s="146" t="s">
        <v>404</v>
      </c>
      <c r="D287" s="120" t="s">
        <v>405</v>
      </c>
      <c r="E287" s="144" t="s">
        <v>1545</v>
      </c>
      <c r="F287" s="119" t="s">
        <v>393</v>
      </c>
      <c r="G287" s="128" t="s">
        <v>2011</v>
      </c>
      <c r="H287" s="121"/>
    </row>
    <row r="288" spans="1:8">
      <c r="A288" s="111">
        <v>289</v>
      </c>
      <c r="B288" s="118">
        <v>45536</v>
      </c>
      <c r="C288" s="149" t="s">
        <v>697</v>
      </c>
      <c r="D288" s="120" t="s">
        <v>698</v>
      </c>
      <c r="E288" s="144" t="s">
        <v>1545</v>
      </c>
      <c r="F288" s="119" t="s">
        <v>393</v>
      </c>
      <c r="G288" s="128" t="s">
        <v>2006</v>
      </c>
      <c r="H288" s="139" t="s">
        <v>2016</v>
      </c>
    </row>
    <row r="289" spans="1:8">
      <c r="A289" s="111">
        <v>290</v>
      </c>
      <c r="B289" s="118">
        <v>45536</v>
      </c>
      <c r="C289" s="149" t="s">
        <v>1566</v>
      </c>
      <c r="D289" s="120" t="s">
        <v>987</v>
      </c>
      <c r="E289" s="123" t="s">
        <v>1537</v>
      </c>
      <c r="F289" s="119" t="s">
        <v>393</v>
      </c>
      <c r="G289" s="128" t="s">
        <v>2006</v>
      </c>
      <c r="H289" s="121"/>
    </row>
    <row r="290" spans="1:8">
      <c r="A290" s="111">
        <v>291</v>
      </c>
      <c r="B290" s="118">
        <v>45566</v>
      </c>
      <c r="C290" s="166" t="s">
        <v>1567</v>
      </c>
      <c r="D290" s="120" t="s">
        <v>986</v>
      </c>
      <c r="E290" s="178" t="s">
        <v>1537</v>
      </c>
      <c r="F290" s="161" t="s">
        <v>393</v>
      </c>
      <c r="G290" s="128" t="s">
        <v>2011</v>
      </c>
      <c r="H290" s="121"/>
    </row>
    <row r="291" spans="1:8">
      <c r="A291" s="111">
        <v>292</v>
      </c>
      <c r="B291" s="118">
        <v>45566</v>
      </c>
      <c r="C291" s="166" t="s">
        <v>655</v>
      </c>
      <c r="D291" s="120" t="s">
        <v>656</v>
      </c>
      <c r="E291" s="144" t="s">
        <v>1545</v>
      </c>
      <c r="F291" s="161" t="s">
        <v>393</v>
      </c>
      <c r="G291" s="128" t="s">
        <v>2006</v>
      </c>
      <c r="H291" s="139" t="s">
        <v>2017</v>
      </c>
    </row>
    <row r="292" spans="1:8">
      <c r="A292" s="111">
        <v>293</v>
      </c>
      <c r="B292" s="145">
        <v>45809</v>
      </c>
      <c r="C292" s="147" t="s">
        <v>1593</v>
      </c>
      <c r="D292" s="120" t="s">
        <v>1594</v>
      </c>
      <c r="E292" s="121" t="s">
        <v>1537</v>
      </c>
      <c r="F292" s="161" t="s">
        <v>393</v>
      </c>
      <c r="G292" s="128" t="s">
        <v>1996</v>
      </c>
      <c r="H292" s="121"/>
    </row>
    <row r="293" spans="1:8">
      <c r="A293" s="111">
        <v>294</v>
      </c>
      <c r="B293" s="118">
        <v>45839</v>
      </c>
      <c r="C293" s="167" t="s">
        <v>1595</v>
      </c>
      <c r="D293" s="120" t="s">
        <v>1596</v>
      </c>
      <c r="E293" s="121" t="s">
        <v>1537</v>
      </c>
      <c r="F293" s="161" t="s">
        <v>393</v>
      </c>
      <c r="G293" s="128" t="s">
        <v>1996</v>
      </c>
      <c r="H293" s="121"/>
    </row>
    <row r="294" spans="1:8">
      <c r="A294" s="111">
        <v>295</v>
      </c>
      <c r="B294" s="118">
        <v>45839</v>
      </c>
      <c r="C294" s="167" t="s">
        <v>1568</v>
      </c>
      <c r="D294" s="120" t="s">
        <v>1569</v>
      </c>
      <c r="E294" s="121" t="s">
        <v>1537</v>
      </c>
      <c r="F294" s="161" t="s">
        <v>393</v>
      </c>
      <c r="G294" s="128" t="s">
        <v>2006</v>
      </c>
      <c r="H294" s="121"/>
    </row>
    <row r="295" spans="1:8">
      <c r="A295" s="111">
        <v>296</v>
      </c>
      <c r="B295" s="118">
        <v>44743</v>
      </c>
      <c r="C295" s="167" t="s">
        <v>1597</v>
      </c>
      <c r="D295" s="120" t="s">
        <v>776</v>
      </c>
      <c r="E295" s="121" t="s">
        <v>1531</v>
      </c>
      <c r="F295" s="161" t="s">
        <v>393</v>
      </c>
      <c r="G295" s="128" t="s">
        <v>1996</v>
      </c>
      <c r="H295" s="121"/>
    </row>
    <row r="296" spans="1:8">
      <c r="A296" s="111">
        <v>297</v>
      </c>
      <c r="B296" s="118">
        <v>45962</v>
      </c>
      <c r="C296" s="148" t="s">
        <v>1598</v>
      </c>
      <c r="D296" s="120" t="s">
        <v>1599</v>
      </c>
      <c r="E296" s="123" t="s">
        <v>1537</v>
      </c>
      <c r="F296" s="161" t="s">
        <v>393</v>
      </c>
      <c r="G296" s="128" t="s">
        <v>1996</v>
      </c>
      <c r="H296" s="129"/>
    </row>
    <row r="297" spans="1:8">
      <c r="A297" s="111">
        <v>298</v>
      </c>
      <c r="B297" s="112">
        <v>46143</v>
      </c>
      <c r="C297" s="343" t="s">
        <v>1570</v>
      </c>
      <c r="D297" s="120" t="s">
        <v>1571</v>
      </c>
      <c r="E297" s="127" t="s">
        <v>1565</v>
      </c>
      <c r="F297" s="161" t="s">
        <v>393</v>
      </c>
      <c r="G297" s="128" t="s">
        <v>2006</v>
      </c>
      <c r="H297" s="121"/>
    </row>
    <row r="298" spans="1:8">
      <c r="A298" s="111">
        <v>299</v>
      </c>
      <c r="B298" s="118">
        <v>46174</v>
      </c>
      <c r="C298" s="342" t="s">
        <v>1572</v>
      </c>
      <c r="D298" s="120" t="s">
        <v>1573</v>
      </c>
      <c r="E298" s="121" t="s">
        <v>1537</v>
      </c>
      <c r="F298" s="161" t="s">
        <v>393</v>
      </c>
      <c r="G298" s="128" t="s">
        <v>2006</v>
      </c>
      <c r="H298" s="121"/>
    </row>
    <row r="299" spans="1:8">
      <c r="A299" s="111">
        <v>300</v>
      </c>
      <c r="B299" s="118">
        <v>46174</v>
      </c>
      <c r="C299" s="342" t="s">
        <v>1601</v>
      </c>
      <c r="D299" s="120" t="s">
        <v>1602</v>
      </c>
      <c r="E299" s="121" t="s">
        <v>1537</v>
      </c>
      <c r="F299" s="161" t="s">
        <v>393</v>
      </c>
      <c r="G299" s="128" t="s">
        <v>1996</v>
      </c>
      <c r="H299" s="121"/>
    </row>
    <row r="300" spans="1:8">
      <c r="A300" s="111">
        <v>301</v>
      </c>
      <c r="B300" s="118">
        <v>46174</v>
      </c>
      <c r="C300" s="342" t="s">
        <v>1574</v>
      </c>
      <c r="D300" s="120" t="s">
        <v>1575</v>
      </c>
      <c r="E300" s="121" t="s">
        <v>1537</v>
      </c>
      <c r="F300" s="161" t="s">
        <v>393</v>
      </c>
      <c r="G300" s="128" t="s">
        <v>2006</v>
      </c>
      <c r="H300" s="121"/>
    </row>
    <row r="301" spans="1:8">
      <c r="A301" s="111">
        <v>302</v>
      </c>
      <c r="B301" s="118">
        <v>46174</v>
      </c>
      <c r="C301" s="342" t="s">
        <v>1576</v>
      </c>
      <c r="D301" s="120" t="s">
        <v>1577</v>
      </c>
      <c r="E301" s="121" t="s">
        <v>1537</v>
      </c>
      <c r="F301" s="161" t="s">
        <v>393</v>
      </c>
      <c r="G301" s="128" t="s">
        <v>2006</v>
      </c>
      <c r="H301" s="121"/>
    </row>
    <row r="302" spans="1:8">
      <c r="A302" s="111">
        <v>303</v>
      </c>
      <c r="B302" s="118">
        <v>46174</v>
      </c>
      <c r="C302" s="342" t="s">
        <v>1546</v>
      </c>
      <c r="D302" s="120" t="s">
        <v>1547</v>
      </c>
      <c r="E302" s="121" t="s">
        <v>1537</v>
      </c>
      <c r="F302" s="161" t="s">
        <v>393</v>
      </c>
      <c r="G302" s="128" t="s">
        <v>2011</v>
      </c>
      <c r="H302" s="121"/>
    </row>
    <row r="303" spans="1:8">
      <c r="A303" s="111">
        <v>304</v>
      </c>
      <c r="B303" s="118">
        <v>46174</v>
      </c>
      <c r="C303" s="342" t="s">
        <v>1603</v>
      </c>
      <c r="D303" s="120" t="s">
        <v>1604</v>
      </c>
      <c r="E303" s="121" t="s">
        <v>1537</v>
      </c>
      <c r="F303" s="119" t="s">
        <v>393</v>
      </c>
      <c r="G303" s="128" t="s">
        <v>1996</v>
      </c>
      <c r="H303" s="121"/>
    </row>
    <row r="304" spans="1:8">
      <c r="A304" s="111">
        <v>305</v>
      </c>
      <c r="B304" s="118">
        <v>46174</v>
      </c>
      <c r="C304" s="342" t="s">
        <v>1605</v>
      </c>
      <c r="D304" s="120" t="s">
        <v>1606</v>
      </c>
      <c r="E304" s="121" t="s">
        <v>1545</v>
      </c>
      <c r="F304" s="119" t="s">
        <v>393</v>
      </c>
      <c r="G304" s="128" t="s">
        <v>1996</v>
      </c>
      <c r="H304" s="121"/>
    </row>
    <row r="305" spans="1:8">
      <c r="A305" s="111">
        <v>306</v>
      </c>
      <c r="B305" s="118">
        <v>46174</v>
      </c>
      <c r="C305" s="342" t="s">
        <v>1607</v>
      </c>
      <c r="D305" s="120" t="s">
        <v>851</v>
      </c>
      <c r="E305" s="121" t="s">
        <v>1537</v>
      </c>
      <c r="F305" s="119" t="s">
        <v>393</v>
      </c>
      <c r="G305" s="128" t="s">
        <v>1996</v>
      </c>
      <c r="H305" s="121"/>
    </row>
    <row r="306" spans="1:8">
      <c r="A306" s="111">
        <v>307</v>
      </c>
      <c r="B306" s="118">
        <v>46174</v>
      </c>
      <c r="C306" s="344" t="s">
        <v>1600</v>
      </c>
      <c r="D306" s="150" t="s">
        <v>1009</v>
      </c>
      <c r="E306" s="121" t="s">
        <v>1225</v>
      </c>
      <c r="F306" s="161" t="s">
        <v>393</v>
      </c>
      <c r="G306" s="128" t="s">
        <v>1996</v>
      </c>
      <c r="H306" s="121"/>
    </row>
    <row r="307" spans="1:8">
      <c r="A307" s="111">
        <v>308</v>
      </c>
      <c r="B307" s="118">
        <v>46083</v>
      </c>
      <c r="C307" s="154" t="s">
        <v>1548</v>
      </c>
      <c r="D307" s="150" t="s">
        <v>1549</v>
      </c>
      <c r="E307" s="121" t="s">
        <v>1225</v>
      </c>
      <c r="F307" s="119" t="s">
        <v>393</v>
      </c>
      <c r="G307" s="128" t="s">
        <v>2011</v>
      </c>
      <c r="H307" s="121"/>
    </row>
    <row r="308" spans="1:8">
      <c r="A308" s="111">
        <v>309</v>
      </c>
      <c r="B308" s="118">
        <v>46083</v>
      </c>
      <c r="C308" s="154" t="s">
        <v>1550</v>
      </c>
      <c r="D308" s="150" t="s">
        <v>1551</v>
      </c>
      <c r="E308" s="121" t="s">
        <v>1225</v>
      </c>
      <c r="F308" s="119" t="s">
        <v>393</v>
      </c>
      <c r="G308" s="128" t="s">
        <v>2011</v>
      </c>
      <c r="H308" s="121"/>
    </row>
    <row r="309" spans="1:8">
      <c r="A309" s="111">
        <v>310</v>
      </c>
      <c r="B309" s="118">
        <v>46083</v>
      </c>
      <c r="C309" s="154" t="s">
        <v>1578</v>
      </c>
      <c r="D309" s="150" t="s">
        <v>1579</v>
      </c>
      <c r="E309" s="121" t="s">
        <v>1225</v>
      </c>
      <c r="F309" s="119" t="s">
        <v>393</v>
      </c>
      <c r="G309" s="128" t="s">
        <v>2006</v>
      </c>
      <c r="H309" s="121"/>
    </row>
    <row r="310" spans="1:8">
      <c r="A310" s="111">
        <v>311</v>
      </c>
      <c r="B310" s="118">
        <v>46090</v>
      </c>
      <c r="C310" s="154" t="s">
        <v>1608</v>
      </c>
      <c r="D310" s="150" t="s">
        <v>1609</v>
      </c>
      <c r="E310" s="121" t="s">
        <v>1225</v>
      </c>
      <c r="F310" s="119" t="s">
        <v>393</v>
      </c>
      <c r="G310" s="128" t="s">
        <v>1996</v>
      </c>
      <c r="H310" s="121"/>
    </row>
    <row r="311" spans="1:8">
      <c r="A311" s="111">
        <v>312</v>
      </c>
      <c r="B311" s="118">
        <v>46120</v>
      </c>
      <c r="C311" s="154" t="s">
        <v>1580</v>
      </c>
      <c r="D311" s="150" t="s">
        <v>1581</v>
      </c>
      <c r="E311" s="121" t="s">
        <v>1225</v>
      </c>
      <c r="F311" s="119" t="s">
        <v>393</v>
      </c>
      <c r="G311" s="128" t="s">
        <v>2006</v>
      </c>
      <c r="H311" s="121"/>
    </row>
    <row r="312" spans="1:8">
      <c r="A312" s="111">
        <v>313</v>
      </c>
      <c r="B312" s="118">
        <v>46120</v>
      </c>
      <c r="C312" s="154" t="s">
        <v>1582</v>
      </c>
      <c r="D312" s="150" t="s">
        <v>1583</v>
      </c>
      <c r="E312" s="121" t="s">
        <v>1225</v>
      </c>
      <c r="F312" s="119" t="s">
        <v>393</v>
      </c>
      <c r="G312" s="128" t="s">
        <v>2006</v>
      </c>
      <c r="H312" s="121"/>
    </row>
    <row r="313" spans="1:8">
      <c r="A313" s="111">
        <v>314</v>
      </c>
      <c r="B313" s="118">
        <v>46120</v>
      </c>
      <c r="C313" s="154" t="s">
        <v>1584</v>
      </c>
      <c r="D313" s="150" t="s">
        <v>1585</v>
      </c>
      <c r="E313" s="121" t="s">
        <v>1225</v>
      </c>
      <c r="F313" s="119" t="s">
        <v>393</v>
      </c>
      <c r="G313" s="128" t="s">
        <v>2006</v>
      </c>
      <c r="H313" s="121"/>
    </row>
    <row r="314" spans="1:8">
      <c r="A314" s="111">
        <v>315</v>
      </c>
      <c r="B314" s="118">
        <v>46128</v>
      </c>
      <c r="C314" s="154" t="s">
        <v>1642</v>
      </c>
      <c r="D314" s="150" t="s">
        <v>1643</v>
      </c>
      <c r="E314" s="121" t="s">
        <v>1225</v>
      </c>
      <c r="F314" s="119" t="s">
        <v>393</v>
      </c>
      <c r="G314" s="128" t="s">
        <v>2011</v>
      </c>
      <c r="H314" s="121"/>
    </row>
    <row r="315" spans="1:8">
      <c r="A315" s="111">
        <v>316</v>
      </c>
      <c r="B315" s="118">
        <v>46146</v>
      </c>
      <c r="C315" s="154" t="s">
        <v>1610</v>
      </c>
      <c r="D315" s="150" t="s">
        <v>1611</v>
      </c>
      <c r="E315" s="121" t="s">
        <v>1225</v>
      </c>
      <c r="F315" s="119" t="s">
        <v>393</v>
      </c>
      <c r="G315" s="128" t="s">
        <v>2011</v>
      </c>
      <c r="H315" s="121"/>
    </row>
    <row r="316" spans="1:8">
      <c r="A316" s="111">
        <v>317</v>
      </c>
      <c r="B316" s="118">
        <v>46146</v>
      </c>
      <c r="C316" s="154" t="s">
        <v>1612</v>
      </c>
      <c r="D316" s="150" t="s">
        <v>1613</v>
      </c>
      <c r="E316" s="121" t="s">
        <v>1225</v>
      </c>
      <c r="F316" s="119" t="s">
        <v>393</v>
      </c>
      <c r="G316" s="128" t="s">
        <v>2011</v>
      </c>
      <c r="H316" s="121"/>
    </row>
    <row r="317" spans="1:8">
      <c r="A317" s="111">
        <v>318</v>
      </c>
      <c r="B317" s="118">
        <v>46146</v>
      </c>
      <c r="C317" s="154" t="s">
        <v>1614</v>
      </c>
      <c r="D317" s="150" t="s">
        <v>1615</v>
      </c>
      <c r="E317" s="121" t="s">
        <v>1225</v>
      </c>
      <c r="F317" s="119" t="s">
        <v>393</v>
      </c>
      <c r="G317" s="128" t="s">
        <v>2011</v>
      </c>
      <c r="H317" s="121"/>
    </row>
    <row r="318" spans="1:8">
      <c r="A318" s="111">
        <v>319</v>
      </c>
      <c r="B318" s="118">
        <v>46149</v>
      </c>
      <c r="C318" s="154" t="s">
        <v>1616</v>
      </c>
      <c r="D318" s="150" t="s">
        <v>1617</v>
      </c>
      <c r="E318" s="121" t="s">
        <v>1225</v>
      </c>
      <c r="F318" s="119" t="s">
        <v>393</v>
      </c>
      <c r="G318" s="128" t="s">
        <v>1996</v>
      </c>
      <c r="H318" s="121"/>
    </row>
    <row r="319" spans="1:8">
      <c r="A319" s="111">
        <v>320</v>
      </c>
      <c r="B319" s="118">
        <v>46154</v>
      </c>
      <c r="C319" s="154" t="s">
        <v>1618</v>
      </c>
      <c r="D319" s="150" t="s">
        <v>1619</v>
      </c>
      <c r="E319" s="121" t="s">
        <v>1225</v>
      </c>
      <c r="F319" s="119" t="s">
        <v>393</v>
      </c>
      <c r="G319" s="128" t="s">
        <v>2011</v>
      </c>
      <c r="H319" s="121"/>
    </row>
    <row r="320" spans="1:8">
      <c r="A320" s="111">
        <v>321</v>
      </c>
      <c r="B320" s="118">
        <v>46156</v>
      </c>
      <c r="C320" s="154" t="s">
        <v>1620</v>
      </c>
      <c r="D320" s="150" t="s">
        <v>1621</v>
      </c>
      <c r="E320" s="121" t="s">
        <v>1225</v>
      </c>
      <c r="F320" s="119" t="s">
        <v>393</v>
      </c>
      <c r="G320" s="128" t="s">
        <v>2006</v>
      </c>
      <c r="H320" s="121"/>
    </row>
    <row r="321" spans="1:8">
      <c r="A321" s="111">
        <v>322</v>
      </c>
      <c r="B321" s="118">
        <v>46156</v>
      </c>
      <c r="C321" s="154" t="s">
        <v>1622</v>
      </c>
      <c r="D321" s="150" t="s">
        <v>1623</v>
      </c>
      <c r="E321" s="121" t="s">
        <v>1225</v>
      </c>
      <c r="F321" s="119" t="s">
        <v>393</v>
      </c>
      <c r="G321" s="128" t="s">
        <v>1996</v>
      </c>
      <c r="H321" s="121"/>
    </row>
    <row r="322" spans="1:8">
      <c r="A322" s="111">
        <v>323</v>
      </c>
      <c r="B322" s="118">
        <v>46162</v>
      </c>
      <c r="C322" s="154" t="s">
        <v>1640</v>
      </c>
      <c r="D322" s="150" t="s">
        <v>1641</v>
      </c>
      <c r="E322" s="121" t="s">
        <v>1225</v>
      </c>
      <c r="F322" s="119" t="s">
        <v>393</v>
      </c>
      <c r="G322" s="128" t="s">
        <v>1996</v>
      </c>
      <c r="H322" s="121"/>
    </row>
    <row r="323" spans="1:8">
      <c r="A323" s="111">
        <v>324</v>
      </c>
      <c r="B323" s="118">
        <v>46167</v>
      </c>
      <c r="C323" s="154" t="s">
        <v>1624</v>
      </c>
      <c r="D323" s="150" t="s">
        <v>1625</v>
      </c>
      <c r="E323" s="121" t="s">
        <v>1225</v>
      </c>
      <c r="F323" s="119" t="s">
        <v>393</v>
      </c>
      <c r="G323" s="128" t="s">
        <v>2006</v>
      </c>
      <c r="H323" s="121"/>
    </row>
    <row r="324" spans="1:8">
      <c r="A324" s="111">
        <v>325</v>
      </c>
      <c r="B324" s="118">
        <v>46167</v>
      </c>
      <c r="C324" s="154" t="s">
        <v>1626</v>
      </c>
      <c r="D324" s="150" t="s">
        <v>1627</v>
      </c>
      <c r="E324" s="121" t="s">
        <v>1225</v>
      </c>
      <c r="F324" s="119" t="s">
        <v>393</v>
      </c>
      <c r="G324" s="128" t="s">
        <v>2006</v>
      </c>
      <c r="H324" s="121"/>
    </row>
    <row r="325" spans="1:8">
      <c r="A325" s="111">
        <v>326</v>
      </c>
      <c r="B325" s="118">
        <v>46168</v>
      </c>
      <c r="C325" s="154" t="s">
        <v>1628</v>
      </c>
      <c r="D325" s="150" t="s">
        <v>1629</v>
      </c>
      <c r="E325" s="121" t="s">
        <v>1225</v>
      </c>
      <c r="F325" s="119" t="s">
        <v>393</v>
      </c>
      <c r="G325" s="128" t="s">
        <v>1996</v>
      </c>
      <c r="H325" s="121"/>
    </row>
    <row r="326" spans="1:8">
      <c r="A326" s="111">
        <v>327</v>
      </c>
      <c r="B326" s="118">
        <v>46168</v>
      </c>
      <c r="C326" s="154" t="s">
        <v>1630</v>
      </c>
      <c r="D326" s="150" t="s">
        <v>1631</v>
      </c>
      <c r="E326" s="121" t="s">
        <v>1225</v>
      </c>
      <c r="F326" s="119" t="s">
        <v>393</v>
      </c>
      <c r="G326" s="128" t="s">
        <v>1996</v>
      </c>
      <c r="H326" s="121"/>
    </row>
    <row r="327" spans="1:8">
      <c r="A327" s="111">
        <v>328</v>
      </c>
      <c r="B327" s="118">
        <v>46168</v>
      </c>
      <c r="C327" s="154" t="s">
        <v>1632</v>
      </c>
      <c r="D327" s="150" t="s">
        <v>1633</v>
      </c>
      <c r="E327" s="121" t="s">
        <v>1225</v>
      </c>
      <c r="F327" s="119" t="s">
        <v>393</v>
      </c>
      <c r="G327" s="128" t="s">
        <v>2011</v>
      </c>
      <c r="H327" s="121"/>
    </row>
    <row r="328" spans="1:8">
      <c r="A328" s="111">
        <v>329</v>
      </c>
      <c r="B328" s="118">
        <v>46170</v>
      </c>
      <c r="C328" s="154" t="s">
        <v>1634</v>
      </c>
      <c r="D328" s="150" t="s">
        <v>1635</v>
      </c>
      <c r="E328" s="121" t="s">
        <v>1225</v>
      </c>
      <c r="F328" s="119" t="s">
        <v>393</v>
      </c>
      <c r="G328" s="128" t="s">
        <v>1996</v>
      </c>
      <c r="H328" s="121"/>
    </row>
    <row r="329" spans="1:8">
      <c r="A329" s="111">
        <v>330</v>
      </c>
      <c r="B329" s="118">
        <v>46170</v>
      </c>
      <c r="C329" s="154" t="s">
        <v>1636</v>
      </c>
      <c r="D329" s="150" t="s">
        <v>1637</v>
      </c>
      <c r="E329" s="121" t="s">
        <v>1225</v>
      </c>
      <c r="F329" s="119" t="s">
        <v>393</v>
      </c>
      <c r="G329" s="128" t="s">
        <v>2011</v>
      </c>
      <c r="H329" s="121"/>
    </row>
    <row r="330" spans="1:8">
      <c r="A330" s="111">
        <v>331</v>
      </c>
      <c r="B330" s="118">
        <v>46175</v>
      </c>
      <c r="C330" s="319" t="s">
        <v>1638</v>
      </c>
      <c r="D330" s="150" t="s">
        <v>1639</v>
      </c>
      <c r="E330" s="121" t="s">
        <v>1225</v>
      </c>
      <c r="F330" s="119" t="s">
        <v>393</v>
      </c>
      <c r="G330" s="128" t="s">
        <v>2006</v>
      </c>
      <c r="H330" s="121"/>
    </row>
    <row r="331" spans="1:8">
      <c r="A331" s="111">
        <v>332</v>
      </c>
      <c r="B331" s="118">
        <v>44566</v>
      </c>
      <c r="C331" s="133" t="s">
        <v>1504</v>
      </c>
      <c r="D331" s="136" t="s">
        <v>798</v>
      </c>
      <c r="E331" s="158" t="s">
        <v>1292</v>
      </c>
      <c r="F331" s="133" t="s">
        <v>576</v>
      </c>
      <c r="G331" s="128" t="s">
        <v>1996</v>
      </c>
      <c r="H331" s="129"/>
    </row>
    <row r="332" spans="1:8">
      <c r="A332" s="111">
        <v>333</v>
      </c>
      <c r="B332" s="118">
        <v>44166</v>
      </c>
      <c r="C332" s="138" t="s">
        <v>293</v>
      </c>
      <c r="D332" s="136" t="s">
        <v>294</v>
      </c>
      <c r="E332" s="158" t="s">
        <v>1292</v>
      </c>
      <c r="F332" s="133" t="s">
        <v>576</v>
      </c>
      <c r="G332" s="128" t="s">
        <v>1996</v>
      </c>
      <c r="H332" s="139" t="s">
        <v>2021</v>
      </c>
    </row>
    <row r="333" spans="1:8">
      <c r="A333" s="111">
        <v>334</v>
      </c>
      <c r="B333" s="118">
        <v>44805</v>
      </c>
      <c r="C333" s="138" t="s">
        <v>601</v>
      </c>
      <c r="D333" s="136" t="s">
        <v>602</v>
      </c>
      <c r="E333" s="158" t="s">
        <v>1292</v>
      </c>
      <c r="F333" s="133" t="s">
        <v>576</v>
      </c>
      <c r="G333" s="128" t="s">
        <v>2006</v>
      </c>
      <c r="H333" s="139" t="s">
        <v>2018</v>
      </c>
    </row>
    <row r="334" spans="1:8">
      <c r="A334" s="111">
        <v>335</v>
      </c>
      <c r="B334" s="118">
        <v>44576</v>
      </c>
      <c r="C334" s="119" t="s">
        <v>579</v>
      </c>
      <c r="D334" s="181" t="s">
        <v>580</v>
      </c>
      <c r="E334" s="121" t="s">
        <v>1470</v>
      </c>
      <c r="F334" s="119" t="s">
        <v>576</v>
      </c>
      <c r="G334" s="128" t="s">
        <v>2011</v>
      </c>
      <c r="H334" s="117"/>
    </row>
    <row r="335" spans="1:8">
      <c r="A335" s="111">
        <v>336</v>
      </c>
      <c r="B335" s="118">
        <v>43617</v>
      </c>
      <c r="C335" s="119" t="s">
        <v>574</v>
      </c>
      <c r="D335" s="120" t="s">
        <v>575</v>
      </c>
      <c r="E335" s="121" t="s">
        <v>1471</v>
      </c>
      <c r="F335" s="119" t="s">
        <v>576</v>
      </c>
      <c r="G335" s="128" t="s">
        <v>1996</v>
      </c>
      <c r="H335" s="117"/>
    </row>
    <row r="336" spans="1:8">
      <c r="A336" s="111">
        <v>337</v>
      </c>
      <c r="B336" s="118">
        <v>44166</v>
      </c>
      <c r="C336" s="119" t="s">
        <v>607</v>
      </c>
      <c r="D336" s="179" t="s">
        <v>608</v>
      </c>
      <c r="E336" s="121" t="s">
        <v>1486</v>
      </c>
      <c r="F336" s="119" t="s">
        <v>576</v>
      </c>
      <c r="G336" s="128" t="s">
        <v>1996</v>
      </c>
      <c r="H336" s="117"/>
    </row>
    <row r="337" spans="1:8">
      <c r="A337" s="111">
        <v>338</v>
      </c>
      <c r="B337" s="145">
        <v>45200</v>
      </c>
      <c r="C337" s="147" t="s">
        <v>605</v>
      </c>
      <c r="D337" s="120" t="s">
        <v>606</v>
      </c>
      <c r="E337" s="121" t="s">
        <v>1167</v>
      </c>
      <c r="F337" s="119" t="s">
        <v>576</v>
      </c>
      <c r="G337" s="128" t="s">
        <v>1996</v>
      </c>
      <c r="H337" s="139"/>
    </row>
    <row r="338" spans="1:8">
      <c r="A338" s="111">
        <v>339</v>
      </c>
      <c r="B338" s="145">
        <v>45383</v>
      </c>
      <c r="C338" s="146" t="s">
        <v>585</v>
      </c>
      <c r="D338" s="120" t="s">
        <v>586</v>
      </c>
      <c r="E338" s="121" t="s">
        <v>1470</v>
      </c>
      <c r="F338" s="119" t="s">
        <v>576</v>
      </c>
      <c r="G338" s="128" t="s">
        <v>2006</v>
      </c>
      <c r="H338" s="139"/>
    </row>
    <row r="339" spans="1:8">
      <c r="A339" s="111">
        <v>340</v>
      </c>
      <c r="B339" s="145">
        <v>45383</v>
      </c>
      <c r="C339" s="146" t="s">
        <v>581</v>
      </c>
      <c r="D339" s="120" t="s">
        <v>582</v>
      </c>
      <c r="E339" s="121" t="s">
        <v>1470</v>
      </c>
      <c r="F339" s="119" t="s">
        <v>576</v>
      </c>
      <c r="G339" s="128" t="s">
        <v>2011</v>
      </c>
      <c r="H339" s="139"/>
    </row>
    <row r="340" spans="1:8">
      <c r="A340" s="111">
        <v>341</v>
      </c>
      <c r="B340" s="145">
        <v>45383</v>
      </c>
      <c r="C340" s="146" t="s">
        <v>587</v>
      </c>
      <c r="D340" s="120" t="s">
        <v>588</v>
      </c>
      <c r="E340" s="121" t="s">
        <v>1470</v>
      </c>
      <c r="F340" s="119" t="s">
        <v>576</v>
      </c>
      <c r="G340" s="128" t="s">
        <v>1996</v>
      </c>
      <c r="H340" s="139"/>
    </row>
    <row r="341" spans="1:8">
      <c r="A341" s="111">
        <v>342</v>
      </c>
      <c r="B341" s="145">
        <v>45444</v>
      </c>
      <c r="C341" s="146" t="s">
        <v>593</v>
      </c>
      <c r="D341" s="120" t="s">
        <v>594</v>
      </c>
      <c r="E341" s="144" t="s">
        <v>1471</v>
      </c>
      <c r="F341" s="119" t="s">
        <v>576</v>
      </c>
      <c r="G341" s="128" t="s">
        <v>2011</v>
      </c>
      <c r="H341" s="139"/>
    </row>
    <row r="342" spans="1:8">
      <c r="A342" s="111">
        <v>343</v>
      </c>
      <c r="B342" s="118">
        <v>45566</v>
      </c>
      <c r="C342" s="166" t="s">
        <v>663</v>
      </c>
      <c r="D342" s="120" t="s">
        <v>664</v>
      </c>
      <c r="E342" s="178" t="s">
        <v>1471</v>
      </c>
      <c r="F342" s="119" t="s">
        <v>576</v>
      </c>
      <c r="G342" s="128" t="s">
        <v>1996</v>
      </c>
      <c r="H342" s="121"/>
    </row>
    <row r="343" spans="1:8">
      <c r="A343" s="111">
        <v>344</v>
      </c>
      <c r="B343" s="118">
        <v>45627</v>
      </c>
      <c r="C343" s="149" t="s">
        <v>727</v>
      </c>
      <c r="D343" s="120" t="s">
        <v>728</v>
      </c>
      <c r="E343" s="121" t="s">
        <v>1486</v>
      </c>
      <c r="F343" s="119" t="s">
        <v>576</v>
      </c>
      <c r="G343" s="128" t="s">
        <v>2006</v>
      </c>
      <c r="H343" s="117"/>
    </row>
    <row r="344" spans="1:8">
      <c r="A344" s="111">
        <v>345</v>
      </c>
      <c r="B344" s="118">
        <v>45778</v>
      </c>
      <c r="C344" s="143" t="s">
        <v>1505</v>
      </c>
      <c r="D344" s="120" t="s">
        <v>696</v>
      </c>
      <c r="E344" s="121" t="s">
        <v>1470</v>
      </c>
      <c r="F344" s="119" t="s">
        <v>576</v>
      </c>
      <c r="G344" s="128" t="s">
        <v>1996</v>
      </c>
      <c r="H344" s="139"/>
    </row>
    <row r="345" spans="1:8">
      <c r="A345" s="111">
        <v>346</v>
      </c>
      <c r="B345" s="145">
        <v>45809</v>
      </c>
      <c r="C345" s="147" t="s">
        <v>1506</v>
      </c>
      <c r="D345" s="120" t="s">
        <v>1507</v>
      </c>
      <c r="E345" s="121" t="s">
        <v>1470</v>
      </c>
      <c r="F345" s="119" t="s">
        <v>576</v>
      </c>
      <c r="G345" s="128" t="s">
        <v>1996</v>
      </c>
      <c r="H345" s="139"/>
    </row>
    <row r="346" spans="1:8">
      <c r="A346" s="111">
        <v>347</v>
      </c>
      <c r="B346" s="118">
        <v>45717</v>
      </c>
      <c r="C346" s="143" t="s">
        <v>2034</v>
      </c>
      <c r="D346" s="139" t="s">
        <v>2035</v>
      </c>
      <c r="E346" s="144" t="s">
        <v>2036</v>
      </c>
      <c r="F346" s="119" t="s">
        <v>576</v>
      </c>
      <c r="G346" s="128" t="s">
        <v>1996</v>
      </c>
      <c r="H346" s="129"/>
    </row>
    <row r="347" spans="1:8">
      <c r="A347" s="111">
        <v>348</v>
      </c>
      <c r="B347" s="118">
        <v>45901</v>
      </c>
      <c r="C347" s="143" t="s">
        <v>589</v>
      </c>
      <c r="D347" s="120" t="s">
        <v>590</v>
      </c>
      <c r="E347" s="144" t="s">
        <v>2037</v>
      </c>
      <c r="F347" s="119" t="s">
        <v>576</v>
      </c>
      <c r="G347" s="128" t="s">
        <v>2006</v>
      </c>
      <c r="H347" s="139" t="s">
        <v>2017</v>
      </c>
    </row>
    <row r="348" spans="1:8">
      <c r="A348" s="111">
        <v>349</v>
      </c>
      <c r="B348" s="118">
        <v>45901</v>
      </c>
      <c r="C348" s="143" t="s">
        <v>1473</v>
      </c>
      <c r="D348" s="120" t="s">
        <v>799</v>
      </c>
      <c r="E348" s="121" t="s">
        <v>1470</v>
      </c>
      <c r="F348" s="119" t="s">
        <v>576</v>
      </c>
      <c r="G348" s="128" t="s">
        <v>2011</v>
      </c>
      <c r="H348" s="139"/>
    </row>
    <row r="349" spans="1:8">
      <c r="A349" s="111">
        <v>350</v>
      </c>
      <c r="B349" s="145">
        <v>45992</v>
      </c>
      <c r="C349" s="167" t="s">
        <v>1508</v>
      </c>
      <c r="D349" s="120" t="s">
        <v>1509</v>
      </c>
      <c r="E349" s="121" t="s">
        <v>1470</v>
      </c>
      <c r="F349" s="119" t="s">
        <v>576</v>
      </c>
      <c r="G349" s="128" t="s">
        <v>1996</v>
      </c>
      <c r="H349" s="139"/>
    </row>
    <row r="350" spans="1:8">
      <c r="A350" s="111">
        <v>351</v>
      </c>
      <c r="B350" s="145">
        <v>45992</v>
      </c>
      <c r="C350" s="167" t="s">
        <v>1474</v>
      </c>
      <c r="D350" s="120" t="s">
        <v>1475</v>
      </c>
      <c r="E350" s="121" t="s">
        <v>1470</v>
      </c>
      <c r="F350" s="119" t="s">
        <v>576</v>
      </c>
      <c r="G350" s="128" t="s">
        <v>2011</v>
      </c>
      <c r="H350" s="121"/>
    </row>
    <row r="351" spans="1:8">
      <c r="A351" s="111">
        <v>352</v>
      </c>
      <c r="B351" s="112">
        <v>46143</v>
      </c>
      <c r="C351" s="343" t="s">
        <v>1491</v>
      </c>
      <c r="D351" s="120" t="s">
        <v>1492</v>
      </c>
      <c r="E351" s="127" t="s">
        <v>1470</v>
      </c>
      <c r="F351" s="119" t="s">
        <v>576</v>
      </c>
      <c r="G351" s="128" t="s">
        <v>2006</v>
      </c>
      <c r="H351" s="121"/>
    </row>
    <row r="352" spans="1:8">
      <c r="A352" s="111">
        <v>353</v>
      </c>
      <c r="B352" s="118">
        <v>46055</v>
      </c>
      <c r="C352" s="169" t="s">
        <v>1476</v>
      </c>
      <c r="D352" s="150" t="s">
        <v>795</v>
      </c>
      <c r="E352" s="121" t="s">
        <v>1225</v>
      </c>
      <c r="F352" s="119" t="s">
        <v>576</v>
      </c>
      <c r="G352" s="128" t="s">
        <v>2011</v>
      </c>
      <c r="H352" s="121"/>
    </row>
    <row r="353" spans="1:8">
      <c r="A353" s="111">
        <v>354</v>
      </c>
      <c r="B353" s="118">
        <v>46113</v>
      </c>
      <c r="C353" s="156" t="s">
        <v>1510</v>
      </c>
      <c r="D353" s="150" t="s">
        <v>1511</v>
      </c>
      <c r="E353" s="121" t="s">
        <v>1225</v>
      </c>
      <c r="F353" s="119" t="s">
        <v>576</v>
      </c>
      <c r="G353" s="128" t="s">
        <v>1996</v>
      </c>
      <c r="H353" s="121"/>
    </row>
    <row r="354" spans="1:8">
      <c r="A354" s="111">
        <v>355</v>
      </c>
      <c r="B354" s="118">
        <v>46144</v>
      </c>
      <c r="C354" s="152" t="s">
        <v>1487</v>
      </c>
      <c r="D354" s="150" t="s">
        <v>1488</v>
      </c>
      <c r="E354" s="121" t="s">
        <v>1225</v>
      </c>
      <c r="F354" s="119" t="s">
        <v>576</v>
      </c>
      <c r="G354" s="128" t="s">
        <v>2006</v>
      </c>
      <c r="H354" s="121"/>
    </row>
    <row r="355" spans="1:8">
      <c r="A355" s="111">
        <v>356</v>
      </c>
      <c r="B355" s="118">
        <v>46144</v>
      </c>
      <c r="C355" s="152" t="s">
        <v>1489</v>
      </c>
      <c r="D355" s="150" t="s">
        <v>1490</v>
      </c>
      <c r="E355" s="121" t="s">
        <v>1225</v>
      </c>
      <c r="F355" s="119" t="s">
        <v>576</v>
      </c>
      <c r="G355" s="128" t="s">
        <v>2006</v>
      </c>
      <c r="H355" s="121"/>
    </row>
    <row r="356" spans="1:8">
      <c r="A356" s="111">
        <v>357</v>
      </c>
      <c r="B356" s="118">
        <v>46144</v>
      </c>
      <c r="C356" s="152" t="s">
        <v>1477</v>
      </c>
      <c r="D356" s="150" t="s">
        <v>1478</v>
      </c>
      <c r="E356" s="121" t="s">
        <v>1225</v>
      </c>
      <c r="F356" s="119" t="s">
        <v>576</v>
      </c>
      <c r="G356" s="128" t="s">
        <v>2011</v>
      </c>
      <c r="H356" s="121"/>
    </row>
    <row r="357" spans="1:8">
      <c r="A357" s="111">
        <v>358</v>
      </c>
      <c r="B357" s="118">
        <v>45859</v>
      </c>
      <c r="C357" s="154" t="s">
        <v>1479</v>
      </c>
      <c r="D357" s="150" t="s">
        <v>547</v>
      </c>
      <c r="E357" s="121" t="s">
        <v>1225</v>
      </c>
      <c r="F357" s="119" t="s">
        <v>576</v>
      </c>
      <c r="G357" s="128" t="s">
        <v>2011</v>
      </c>
      <c r="H357" s="121"/>
    </row>
    <row r="358" spans="1:8">
      <c r="A358" s="111">
        <v>359</v>
      </c>
      <c r="B358" s="118">
        <v>45916</v>
      </c>
      <c r="C358" s="154" t="s">
        <v>1480</v>
      </c>
      <c r="D358" s="150" t="s">
        <v>1481</v>
      </c>
      <c r="E358" s="121" t="s">
        <v>1225</v>
      </c>
      <c r="F358" s="119" t="s">
        <v>576</v>
      </c>
      <c r="G358" s="128" t="s">
        <v>2011</v>
      </c>
      <c r="H358" s="121"/>
    </row>
    <row r="359" spans="1:8">
      <c r="A359" s="111">
        <v>360</v>
      </c>
      <c r="B359" s="118">
        <v>45932</v>
      </c>
      <c r="C359" s="154" t="s">
        <v>1493</v>
      </c>
      <c r="D359" s="150" t="s">
        <v>1494</v>
      </c>
      <c r="E359" s="121" t="s">
        <v>1225</v>
      </c>
      <c r="F359" s="119" t="s">
        <v>576</v>
      </c>
      <c r="G359" s="128" t="s">
        <v>1996</v>
      </c>
      <c r="H359" s="160" t="s">
        <v>2033</v>
      </c>
    </row>
    <row r="360" spans="1:8">
      <c r="A360" s="111">
        <v>361</v>
      </c>
      <c r="B360" s="118">
        <v>45953</v>
      </c>
      <c r="C360" s="172" t="s">
        <v>1495</v>
      </c>
      <c r="D360" s="150" t="s">
        <v>1496</v>
      </c>
      <c r="E360" s="121" t="s">
        <v>1225</v>
      </c>
      <c r="F360" s="119" t="s">
        <v>576</v>
      </c>
      <c r="G360" s="128" t="s">
        <v>2006</v>
      </c>
      <c r="H360" s="121"/>
    </row>
    <row r="361" spans="1:8">
      <c r="A361" s="111">
        <v>362</v>
      </c>
      <c r="B361" s="118">
        <v>45971</v>
      </c>
      <c r="C361" s="172" t="s">
        <v>1497</v>
      </c>
      <c r="D361" s="150" t="s">
        <v>1498</v>
      </c>
      <c r="E361" s="121" t="s">
        <v>1225</v>
      </c>
      <c r="F361" s="119" t="s">
        <v>576</v>
      </c>
      <c r="G361" s="128" t="s">
        <v>2006</v>
      </c>
      <c r="H361" s="121"/>
    </row>
    <row r="362" spans="1:8">
      <c r="A362" s="111">
        <v>363</v>
      </c>
      <c r="B362" s="118">
        <v>46174</v>
      </c>
      <c r="C362" s="344" t="s">
        <v>1499</v>
      </c>
      <c r="D362" s="150" t="s">
        <v>997</v>
      </c>
      <c r="E362" s="121" t="s">
        <v>1225</v>
      </c>
      <c r="F362" s="119" t="s">
        <v>576</v>
      </c>
      <c r="G362" s="128" t="s">
        <v>2006</v>
      </c>
      <c r="H362" s="121"/>
    </row>
    <row r="363" spans="1:8">
      <c r="A363" s="111">
        <v>364</v>
      </c>
      <c r="B363" s="118">
        <v>45894</v>
      </c>
      <c r="C363" s="154" t="s">
        <v>1512</v>
      </c>
      <c r="D363" s="150" t="s">
        <v>1513</v>
      </c>
      <c r="E363" s="121" t="s">
        <v>1225</v>
      </c>
      <c r="F363" s="119" t="s">
        <v>576</v>
      </c>
      <c r="G363" s="128" t="s">
        <v>1996</v>
      </c>
      <c r="H363" s="121"/>
    </row>
    <row r="364" spans="1:8">
      <c r="A364" s="111">
        <v>365</v>
      </c>
      <c r="B364" s="118">
        <v>46077</v>
      </c>
      <c r="C364" s="154" t="s">
        <v>1514</v>
      </c>
      <c r="D364" s="150" t="s">
        <v>852</v>
      </c>
      <c r="E364" s="121" t="s">
        <v>1225</v>
      </c>
      <c r="F364" s="119" t="s">
        <v>576</v>
      </c>
      <c r="G364" s="128" t="s">
        <v>1996</v>
      </c>
      <c r="H364" s="121"/>
    </row>
    <row r="365" spans="1:8">
      <c r="A365" s="111">
        <v>366</v>
      </c>
      <c r="B365" s="118">
        <v>46077</v>
      </c>
      <c r="C365" s="154" t="s">
        <v>1500</v>
      </c>
      <c r="D365" s="150" t="s">
        <v>1501</v>
      </c>
      <c r="E365" s="121" t="s">
        <v>1225</v>
      </c>
      <c r="F365" s="119" t="s">
        <v>576</v>
      </c>
      <c r="G365" s="128" t="s">
        <v>2006</v>
      </c>
      <c r="H365" s="121"/>
    </row>
    <row r="366" spans="1:8">
      <c r="A366" s="111">
        <v>367</v>
      </c>
      <c r="B366" s="118">
        <v>46077</v>
      </c>
      <c r="C366" s="154" t="s">
        <v>1482</v>
      </c>
      <c r="D366" s="150" t="s">
        <v>1483</v>
      </c>
      <c r="E366" s="121" t="s">
        <v>1225</v>
      </c>
      <c r="F366" s="119" t="s">
        <v>576</v>
      </c>
      <c r="G366" s="128" t="s">
        <v>2011</v>
      </c>
      <c r="H366" s="121"/>
    </row>
    <row r="367" spans="1:8">
      <c r="A367" s="111">
        <v>368</v>
      </c>
      <c r="B367" s="118">
        <v>46104</v>
      </c>
      <c r="C367" s="154" t="s">
        <v>1484</v>
      </c>
      <c r="D367" s="150" t="s">
        <v>1485</v>
      </c>
      <c r="E367" s="121" t="s">
        <v>1225</v>
      </c>
      <c r="F367" s="119" t="s">
        <v>576</v>
      </c>
      <c r="G367" s="128" t="s">
        <v>2011</v>
      </c>
      <c r="H367" s="121"/>
    </row>
    <row r="368" spans="1:8">
      <c r="A368" s="111">
        <v>369</v>
      </c>
      <c r="B368" s="118">
        <v>46024</v>
      </c>
      <c r="C368" s="151" t="s">
        <v>1515</v>
      </c>
      <c r="D368" s="150" t="s">
        <v>662</v>
      </c>
      <c r="E368" s="121" t="s">
        <v>1225</v>
      </c>
      <c r="F368" s="119" t="s">
        <v>576</v>
      </c>
      <c r="G368" s="128" t="s">
        <v>1996</v>
      </c>
      <c r="H368" s="121"/>
    </row>
    <row r="369" spans="1:8">
      <c r="A369" s="111">
        <v>370</v>
      </c>
      <c r="B369" s="118">
        <v>45979</v>
      </c>
      <c r="C369" s="172" t="s">
        <v>1516</v>
      </c>
      <c r="D369" s="150" t="s">
        <v>1517</v>
      </c>
      <c r="E369" s="121" t="s">
        <v>1225</v>
      </c>
      <c r="F369" s="119" t="s">
        <v>576</v>
      </c>
      <c r="G369" s="128" t="s">
        <v>1996</v>
      </c>
      <c r="H369" s="121"/>
    </row>
    <row r="370" spans="1:8">
      <c r="A370" s="111">
        <v>371</v>
      </c>
      <c r="B370" s="118">
        <v>46120</v>
      </c>
      <c r="C370" s="172" t="s">
        <v>1502</v>
      </c>
      <c r="D370" s="150" t="s">
        <v>1503</v>
      </c>
      <c r="E370" s="121" t="s">
        <v>1225</v>
      </c>
      <c r="F370" s="119" t="s">
        <v>576</v>
      </c>
      <c r="G370" s="128" t="s">
        <v>2006</v>
      </c>
      <c r="H370" s="121"/>
    </row>
    <row r="371" spans="1:8">
      <c r="A371" s="111">
        <v>372</v>
      </c>
      <c r="B371" s="118">
        <v>46126</v>
      </c>
      <c r="C371" s="172" t="s">
        <v>1526</v>
      </c>
      <c r="D371" s="150" t="s">
        <v>1527</v>
      </c>
      <c r="E371" s="121" t="s">
        <v>1225</v>
      </c>
      <c r="F371" s="119" t="s">
        <v>576</v>
      </c>
      <c r="G371" s="128" t="s">
        <v>2011</v>
      </c>
      <c r="H371" s="121"/>
    </row>
    <row r="372" spans="1:8">
      <c r="A372" s="111">
        <v>373</v>
      </c>
      <c r="B372" s="118">
        <v>46146</v>
      </c>
      <c r="C372" s="172" t="s">
        <v>1518</v>
      </c>
      <c r="D372" s="150" t="s">
        <v>913</v>
      </c>
      <c r="E372" s="121" t="s">
        <v>1225</v>
      </c>
      <c r="F372" s="119" t="s">
        <v>576</v>
      </c>
      <c r="G372" s="128" t="s">
        <v>1996</v>
      </c>
      <c r="H372" s="121"/>
    </row>
    <row r="373" spans="1:8">
      <c r="A373" s="111">
        <v>374</v>
      </c>
      <c r="B373" s="118">
        <v>46154</v>
      </c>
      <c r="C373" s="172" t="s">
        <v>1519</v>
      </c>
      <c r="D373" s="150" t="s">
        <v>592</v>
      </c>
      <c r="E373" s="121" t="s">
        <v>1225</v>
      </c>
      <c r="F373" s="119" t="s">
        <v>576</v>
      </c>
      <c r="G373" s="128" t="s">
        <v>2006</v>
      </c>
      <c r="H373" s="121"/>
    </row>
    <row r="374" spans="1:8">
      <c r="A374" s="111">
        <v>375</v>
      </c>
      <c r="B374" s="118">
        <v>46167</v>
      </c>
      <c r="C374" s="172" t="s">
        <v>1520</v>
      </c>
      <c r="D374" s="150" t="s">
        <v>1521</v>
      </c>
      <c r="E374" s="121" t="s">
        <v>1225</v>
      </c>
      <c r="F374" s="119" t="s">
        <v>576</v>
      </c>
      <c r="G374" s="128" t="s">
        <v>2011</v>
      </c>
      <c r="H374" s="121"/>
    </row>
    <row r="375" spans="1:8">
      <c r="A375" s="111">
        <v>376</v>
      </c>
      <c r="B375" s="118">
        <v>46161</v>
      </c>
      <c r="C375" s="154" t="s">
        <v>1522</v>
      </c>
      <c r="D375" s="150" t="s">
        <v>1523</v>
      </c>
      <c r="E375" s="121" t="s">
        <v>1225</v>
      </c>
      <c r="F375" s="119" t="s">
        <v>576</v>
      </c>
      <c r="G375" s="128" t="s">
        <v>1996</v>
      </c>
      <c r="H375" s="121"/>
    </row>
    <row r="376" spans="1:8">
      <c r="A376" s="111">
        <v>377</v>
      </c>
      <c r="B376" s="118">
        <v>46175</v>
      </c>
      <c r="C376" s="319" t="s">
        <v>1524</v>
      </c>
      <c r="D376" s="150" t="s">
        <v>1525</v>
      </c>
      <c r="E376" s="121" t="s">
        <v>1225</v>
      </c>
      <c r="F376" s="119" t="s">
        <v>576</v>
      </c>
      <c r="G376" s="128" t="s">
        <v>2006</v>
      </c>
      <c r="H376" s="121"/>
    </row>
    <row r="377" spans="1:8">
      <c r="A377" s="111">
        <v>378</v>
      </c>
      <c r="B377" s="118">
        <v>43617</v>
      </c>
      <c r="C377" s="133" t="s">
        <v>1645</v>
      </c>
      <c r="D377" s="136" t="s">
        <v>805</v>
      </c>
      <c r="E377" s="158" t="s">
        <v>1292</v>
      </c>
      <c r="F377" s="182" t="s">
        <v>299</v>
      </c>
      <c r="G377" s="128" t="s">
        <v>2011</v>
      </c>
      <c r="H377" s="117"/>
    </row>
    <row r="378" spans="1:8">
      <c r="A378" s="111">
        <v>379</v>
      </c>
      <c r="B378" s="118">
        <v>45200</v>
      </c>
      <c r="C378" s="133" t="s">
        <v>651</v>
      </c>
      <c r="D378" s="136" t="s">
        <v>652</v>
      </c>
      <c r="E378" s="158" t="s">
        <v>1292</v>
      </c>
      <c r="F378" s="182" t="s">
        <v>299</v>
      </c>
      <c r="G378" s="128" t="s">
        <v>2006</v>
      </c>
      <c r="H378" s="121" t="s">
        <v>2021</v>
      </c>
    </row>
    <row r="379" spans="1:8">
      <c r="A379" s="111">
        <v>380</v>
      </c>
      <c r="B379" s="118">
        <v>41631</v>
      </c>
      <c r="C379" s="133" t="s">
        <v>302</v>
      </c>
      <c r="D379" s="136" t="s">
        <v>303</v>
      </c>
      <c r="E379" s="158" t="s">
        <v>1292</v>
      </c>
      <c r="F379" s="182" t="s">
        <v>299</v>
      </c>
      <c r="G379" s="128" t="s">
        <v>1996</v>
      </c>
      <c r="H379" s="121" t="s">
        <v>2018</v>
      </c>
    </row>
    <row r="380" spans="1:8">
      <c r="A380" s="111">
        <v>381</v>
      </c>
      <c r="B380" s="130">
        <v>44743</v>
      </c>
      <c r="C380" s="119" t="s">
        <v>312</v>
      </c>
      <c r="D380" s="117" t="s">
        <v>313</v>
      </c>
      <c r="E380" s="144" t="s">
        <v>1646</v>
      </c>
      <c r="F380" s="119" t="s">
        <v>299</v>
      </c>
      <c r="G380" s="159" t="s">
        <v>1996</v>
      </c>
      <c r="H380" s="117" t="s">
        <v>2038</v>
      </c>
    </row>
    <row r="381" spans="1:8">
      <c r="A381" s="111">
        <v>382</v>
      </c>
      <c r="B381" s="118">
        <v>43252</v>
      </c>
      <c r="C381" s="119" t="s">
        <v>1648</v>
      </c>
      <c r="D381" s="139" t="s">
        <v>1649</v>
      </c>
      <c r="E381" s="121" t="s">
        <v>1650</v>
      </c>
      <c r="F381" s="161" t="s">
        <v>299</v>
      </c>
      <c r="G381" s="128" t="s">
        <v>2011</v>
      </c>
      <c r="H381" s="183"/>
    </row>
    <row r="382" spans="1:8">
      <c r="A382" s="111">
        <v>383</v>
      </c>
      <c r="B382" s="118">
        <v>44743</v>
      </c>
      <c r="C382" s="119" t="s">
        <v>314</v>
      </c>
      <c r="D382" s="120" t="s">
        <v>315</v>
      </c>
      <c r="E382" s="121" t="s">
        <v>1655</v>
      </c>
      <c r="F382" s="119" t="s">
        <v>299</v>
      </c>
      <c r="G382" s="128" t="s">
        <v>1996</v>
      </c>
      <c r="H382" s="183"/>
    </row>
    <row r="383" spans="1:8">
      <c r="A383" s="111">
        <v>384</v>
      </c>
      <c r="B383" s="145">
        <v>44743</v>
      </c>
      <c r="C383" s="119" t="s">
        <v>657</v>
      </c>
      <c r="D383" s="139" t="s">
        <v>658</v>
      </c>
      <c r="E383" s="144" t="s">
        <v>1655</v>
      </c>
      <c r="F383" s="161" t="s">
        <v>299</v>
      </c>
      <c r="G383" s="128" t="s">
        <v>2006</v>
      </c>
      <c r="H383" s="139" t="s">
        <v>2014</v>
      </c>
    </row>
    <row r="384" spans="1:8">
      <c r="A384" s="111">
        <v>385</v>
      </c>
      <c r="B384" s="118">
        <v>44378</v>
      </c>
      <c r="C384" s="119" t="s">
        <v>310</v>
      </c>
      <c r="D384" s="120" t="s">
        <v>311</v>
      </c>
      <c r="E384" s="144" t="s">
        <v>1650</v>
      </c>
      <c r="F384" s="161" t="s">
        <v>299</v>
      </c>
      <c r="G384" s="128" t="s">
        <v>2006</v>
      </c>
      <c r="H384" s="117"/>
    </row>
    <row r="385" spans="1:8">
      <c r="A385" s="111">
        <v>386</v>
      </c>
      <c r="B385" s="118">
        <v>44378</v>
      </c>
      <c r="C385" s="119" t="s">
        <v>308</v>
      </c>
      <c r="D385" s="120" t="s">
        <v>309</v>
      </c>
      <c r="E385" s="123" t="s">
        <v>1683</v>
      </c>
      <c r="F385" s="161" t="s">
        <v>299</v>
      </c>
      <c r="G385" s="128" t="s">
        <v>1996</v>
      </c>
      <c r="H385" s="121" t="s">
        <v>2018</v>
      </c>
    </row>
    <row r="386" spans="1:8">
      <c r="A386" s="111">
        <v>387</v>
      </c>
      <c r="B386" s="118">
        <v>44743</v>
      </c>
      <c r="C386" s="119" t="s">
        <v>1651</v>
      </c>
      <c r="D386" s="120" t="s">
        <v>1652</v>
      </c>
      <c r="E386" s="121" t="s">
        <v>1646</v>
      </c>
      <c r="F386" s="119" t="s">
        <v>299</v>
      </c>
      <c r="G386" s="128" t="s">
        <v>2011</v>
      </c>
      <c r="H386" s="117"/>
    </row>
    <row r="387" spans="1:8">
      <c r="A387" s="111">
        <v>388</v>
      </c>
      <c r="B387" s="118">
        <v>41088</v>
      </c>
      <c r="C387" s="119" t="s">
        <v>643</v>
      </c>
      <c r="D387" s="120" t="s">
        <v>644</v>
      </c>
      <c r="E387" s="121" t="s">
        <v>1297</v>
      </c>
      <c r="F387" s="161" t="s">
        <v>299</v>
      </c>
      <c r="G387" s="128" t="s">
        <v>1996</v>
      </c>
      <c r="H387" s="117"/>
    </row>
    <row r="388" spans="1:8">
      <c r="A388" s="111">
        <v>389</v>
      </c>
      <c r="B388" s="145">
        <v>45078</v>
      </c>
      <c r="C388" s="143" t="s">
        <v>1653</v>
      </c>
      <c r="D388" s="120" t="s">
        <v>1654</v>
      </c>
      <c r="E388" s="121" t="s">
        <v>1655</v>
      </c>
      <c r="F388" s="161" t="s">
        <v>299</v>
      </c>
      <c r="G388" s="128" t="s">
        <v>2011</v>
      </c>
      <c r="H388" s="139"/>
    </row>
    <row r="389" spans="1:8">
      <c r="A389" s="111">
        <v>390</v>
      </c>
      <c r="B389" s="118">
        <v>45108</v>
      </c>
      <c r="C389" s="143" t="s">
        <v>320</v>
      </c>
      <c r="D389" s="120" t="s">
        <v>321</v>
      </c>
      <c r="E389" s="121" t="s">
        <v>1655</v>
      </c>
      <c r="F389" s="119" t="s">
        <v>299</v>
      </c>
      <c r="G389" s="128" t="s">
        <v>2011</v>
      </c>
      <c r="H389" s="121"/>
    </row>
    <row r="390" spans="1:8">
      <c r="A390" s="111">
        <v>391</v>
      </c>
      <c r="B390" s="118">
        <v>40668</v>
      </c>
      <c r="C390" s="143" t="s">
        <v>1711</v>
      </c>
      <c r="D390" s="120" t="s">
        <v>1712</v>
      </c>
      <c r="E390" s="121" t="s">
        <v>1167</v>
      </c>
      <c r="F390" s="119" t="s">
        <v>299</v>
      </c>
      <c r="G390" s="128" t="s">
        <v>1996</v>
      </c>
      <c r="H390" s="120"/>
    </row>
    <row r="391" spans="1:8">
      <c r="A391" s="111">
        <v>392</v>
      </c>
      <c r="B391" s="118">
        <v>45231</v>
      </c>
      <c r="C391" s="143" t="s">
        <v>300</v>
      </c>
      <c r="D391" s="120" t="s">
        <v>301</v>
      </c>
      <c r="E391" s="121" t="s">
        <v>1661</v>
      </c>
      <c r="F391" s="161" t="s">
        <v>299</v>
      </c>
      <c r="G391" s="128" t="s">
        <v>1996</v>
      </c>
      <c r="H391" s="121"/>
    </row>
    <row r="392" spans="1:8">
      <c r="A392" s="111">
        <v>393</v>
      </c>
      <c r="B392" s="118">
        <v>45261</v>
      </c>
      <c r="C392" s="143" t="s">
        <v>326</v>
      </c>
      <c r="D392" s="120" t="s">
        <v>327</v>
      </c>
      <c r="E392" s="121" t="s">
        <v>1655</v>
      </c>
      <c r="F392" s="161" t="s">
        <v>299</v>
      </c>
      <c r="G392" s="128" t="s">
        <v>2011</v>
      </c>
      <c r="H392" s="121"/>
    </row>
    <row r="393" spans="1:8">
      <c r="A393" s="111">
        <v>394</v>
      </c>
      <c r="B393" s="118">
        <v>44743</v>
      </c>
      <c r="C393" s="119" t="s">
        <v>316</v>
      </c>
      <c r="D393" s="120" t="s">
        <v>317</v>
      </c>
      <c r="E393" s="121" t="s">
        <v>1650</v>
      </c>
      <c r="F393" s="161" t="s">
        <v>299</v>
      </c>
      <c r="G393" s="128" t="s">
        <v>1996</v>
      </c>
      <c r="H393" s="139" t="s">
        <v>2014</v>
      </c>
    </row>
    <row r="394" spans="1:8">
      <c r="A394" s="111">
        <v>395</v>
      </c>
      <c r="B394" s="118">
        <v>41054</v>
      </c>
      <c r="C394" s="119" t="s">
        <v>306</v>
      </c>
      <c r="D394" s="120" t="s">
        <v>307</v>
      </c>
      <c r="E394" s="121" t="s">
        <v>1655</v>
      </c>
      <c r="F394" s="161" t="s">
        <v>299</v>
      </c>
      <c r="G394" s="128" t="s">
        <v>1996</v>
      </c>
      <c r="H394" s="117"/>
    </row>
    <row r="395" spans="1:8">
      <c r="A395" s="111">
        <v>396</v>
      </c>
      <c r="B395" s="118">
        <v>45231</v>
      </c>
      <c r="C395" s="143" t="s">
        <v>1679</v>
      </c>
      <c r="D395" s="120" t="s">
        <v>1680</v>
      </c>
      <c r="E395" s="144" t="s">
        <v>1656</v>
      </c>
      <c r="F395" s="119" t="s">
        <v>299</v>
      </c>
      <c r="G395" s="128" t="s">
        <v>2006</v>
      </c>
      <c r="H395" s="139" t="s">
        <v>2016</v>
      </c>
    </row>
    <row r="396" spans="1:8">
      <c r="A396" s="111">
        <v>397</v>
      </c>
      <c r="B396" s="118">
        <v>44044</v>
      </c>
      <c r="C396" s="119" t="s">
        <v>297</v>
      </c>
      <c r="D396" s="120" t="s">
        <v>298</v>
      </c>
      <c r="E396" s="121" t="s">
        <v>1656</v>
      </c>
      <c r="F396" s="161" t="s">
        <v>299</v>
      </c>
      <c r="G396" s="128" t="s">
        <v>2011</v>
      </c>
      <c r="H396" s="121" t="s">
        <v>2015</v>
      </c>
    </row>
    <row r="397" spans="1:8">
      <c r="A397" s="111">
        <v>398</v>
      </c>
      <c r="B397" s="118">
        <v>44743</v>
      </c>
      <c r="C397" s="119" t="s">
        <v>815</v>
      </c>
      <c r="D397" s="120" t="s">
        <v>816</v>
      </c>
      <c r="E397" s="121" t="s">
        <v>1297</v>
      </c>
      <c r="F397" s="119" t="s">
        <v>299</v>
      </c>
      <c r="G397" s="128" t="s">
        <v>2006</v>
      </c>
      <c r="H397" s="139" t="s">
        <v>2021</v>
      </c>
    </row>
    <row r="398" spans="1:8">
      <c r="A398" s="111">
        <v>399</v>
      </c>
      <c r="B398" s="130">
        <v>44166</v>
      </c>
      <c r="C398" s="119" t="s">
        <v>653</v>
      </c>
      <c r="D398" s="117" t="s">
        <v>654</v>
      </c>
      <c r="E398" s="144" t="s">
        <v>1683</v>
      </c>
      <c r="F398" s="161" t="s">
        <v>299</v>
      </c>
      <c r="G398" s="128" t="s">
        <v>2011</v>
      </c>
      <c r="H398" s="139" t="s">
        <v>2016</v>
      </c>
    </row>
    <row r="399" spans="1:8">
      <c r="A399" s="111">
        <v>400</v>
      </c>
      <c r="B399" s="145">
        <v>45383</v>
      </c>
      <c r="C399" s="146" t="s">
        <v>304</v>
      </c>
      <c r="D399" s="120" t="s">
        <v>305</v>
      </c>
      <c r="E399" s="121" t="s">
        <v>1655</v>
      </c>
      <c r="F399" s="161" t="s">
        <v>299</v>
      </c>
      <c r="G399" s="128" t="s">
        <v>2011</v>
      </c>
      <c r="H399" s="121"/>
    </row>
    <row r="400" spans="1:8">
      <c r="A400" s="111">
        <v>401</v>
      </c>
      <c r="B400" s="145">
        <v>45413</v>
      </c>
      <c r="C400" s="166" t="s">
        <v>1681</v>
      </c>
      <c r="D400" s="120" t="s">
        <v>1682</v>
      </c>
      <c r="E400" s="178" t="s">
        <v>1646</v>
      </c>
      <c r="F400" s="161" t="s">
        <v>299</v>
      </c>
      <c r="G400" s="128" t="s">
        <v>2006</v>
      </c>
      <c r="H400" s="121"/>
    </row>
    <row r="401" spans="1:8">
      <c r="A401" s="111">
        <v>402</v>
      </c>
      <c r="B401" s="145">
        <v>45413</v>
      </c>
      <c r="C401" s="149" t="s">
        <v>322</v>
      </c>
      <c r="D401" s="120" t="s">
        <v>1658</v>
      </c>
      <c r="E401" s="178" t="s">
        <v>1655</v>
      </c>
      <c r="F401" s="161" t="s">
        <v>299</v>
      </c>
      <c r="G401" s="128" t="s">
        <v>2011</v>
      </c>
      <c r="H401" s="120"/>
    </row>
    <row r="402" spans="1:8">
      <c r="A402" s="111">
        <v>403</v>
      </c>
      <c r="B402" s="145">
        <v>45413</v>
      </c>
      <c r="C402" s="166" t="s">
        <v>324</v>
      </c>
      <c r="D402" s="120" t="s">
        <v>325</v>
      </c>
      <c r="E402" s="178" t="s">
        <v>1683</v>
      </c>
      <c r="F402" s="161" t="s">
        <v>299</v>
      </c>
      <c r="G402" s="128" t="s">
        <v>2006</v>
      </c>
      <c r="H402" s="121" t="s">
        <v>2026</v>
      </c>
    </row>
    <row r="403" spans="1:8">
      <c r="A403" s="111">
        <v>404</v>
      </c>
      <c r="B403" s="145">
        <v>45444</v>
      </c>
      <c r="C403" s="146" t="s">
        <v>330</v>
      </c>
      <c r="D403" s="120" t="s">
        <v>331</v>
      </c>
      <c r="E403" s="144" t="s">
        <v>1656</v>
      </c>
      <c r="F403" s="161" t="s">
        <v>299</v>
      </c>
      <c r="G403" s="128" t="s">
        <v>1996</v>
      </c>
      <c r="H403" s="139" t="s">
        <v>2017</v>
      </c>
    </row>
    <row r="404" spans="1:8">
      <c r="A404" s="111">
        <v>405</v>
      </c>
      <c r="B404" s="145">
        <v>45444</v>
      </c>
      <c r="C404" s="146" t="s">
        <v>332</v>
      </c>
      <c r="D404" s="120" t="s">
        <v>333</v>
      </c>
      <c r="E404" s="144" t="s">
        <v>1655</v>
      </c>
      <c r="F404" s="161" t="s">
        <v>299</v>
      </c>
      <c r="G404" s="128" t="s">
        <v>2006</v>
      </c>
      <c r="H404" s="121"/>
    </row>
    <row r="405" spans="1:8">
      <c r="A405" s="111">
        <v>406</v>
      </c>
      <c r="B405" s="145">
        <v>45444</v>
      </c>
      <c r="C405" s="146" t="s">
        <v>318</v>
      </c>
      <c r="D405" s="120" t="s">
        <v>319</v>
      </c>
      <c r="E405" s="144" t="s">
        <v>1655</v>
      </c>
      <c r="F405" s="161" t="s">
        <v>299</v>
      </c>
      <c r="G405" s="128" t="s">
        <v>2006</v>
      </c>
      <c r="H405" s="121"/>
    </row>
    <row r="406" spans="1:8">
      <c r="A406" s="111">
        <v>407</v>
      </c>
      <c r="B406" s="145">
        <v>45474</v>
      </c>
      <c r="C406" s="143" t="s">
        <v>639</v>
      </c>
      <c r="D406" s="120" t="s">
        <v>640</v>
      </c>
      <c r="E406" s="178" t="s">
        <v>1661</v>
      </c>
      <c r="F406" s="161" t="s">
        <v>299</v>
      </c>
      <c r="G406" s="128" t="s">
        <v>1996</v>
      </c>
      <c r="H406" s="139"/>
    </row>
    <row r="407" spans="1:8">
      <c r="A407" s="111">
        <v>408</v>
      </c>
      <c r="B407" s="118">
        <v>45536</v>
      </c>
      <c r="C407" s="149" t="s">
        <v>1659</v>
      </c>
      <c r="D407" s="120" t="s">
        <v>1660</v>
      </c>
      <c r="E407" s="123" t="s">
        <v>1661</v>
      </c>
      <c r="F407" s="161" t="s">
        <v>299</v>
      </c>
      <c r="G407" s="128" t="s">
        <v>2006</v>
      </c>
      <c r="H407" s="121"/>
    </row>
    <row r="408" spans="1:8">
      <c r="A408" s="111">
        <v>409</v>
      </c>
      <c r="B408" s="118">
        <v>45597</v>
      </c>
      <c r="C408" s="143" t="s">
        <v>666</v>
      </c>
      <c r="D408" s="120" t="s">
        <v>667</v>
      </c>
      <c r="E408" s="144" t="s">
        <v>1650</v>
      </c>
      <c r="F408" s="161" t="s">
        <v>299</v>
      </c>
      <c r="G408" s="128" t="s">
        <v>1996</v>
      </c>
      <c r="H408" s="139" t="s">
        <v>2017</v>
      </c>
    </row>
    <row r="409" spans="1:8">
      <c r="A409" s="111">
        <v>410</v>
      </c>
      <c r="B409" s="118">
        <v>44743</v>
      </c>
      <c r="C409" s="143" t="s">
        <v>410</v>
      </c>
      <c r="D409" s="139" t="s">
        <v>411</v>
      </c>
      <c r="E409" s="178" t="s">
        <v>1650</v>
      </c>
      <c r="F409" s="161" t="s">
        <v>299</v>
      </c>
      <c r="G409" s="128" t="s">
        <v>2011</v>
      </c>
      <c r="H409" s="121" t="s">
        <v>2015</v>
      </c>
    </row>
    <row r="410" spans="1:8">
      <c r="A410" s="111">
        <v>411</v>
      </c>
      <c r="B410" s="118">
        <v>45170</v>
      </c>
      <c r="C410" s="143" t="s">
        <v>821</v>
      </c>
      <c r="D410" s="120" t="s">
        <v>822</v>
      </c>
      <c r="E410" s="144" t="s">
        <v>1650</v>
      </c>
      <c r="F410" s="161" t="s">
        <v>299</v>
      </c>
      <c r="G410" s="128" t="s">
        <v>2006</v>
      </c>
      <c r="H410" s="128"/>
    </row>
    <row r="411" spans="1:8">
      <c r="A411" s="111">
        <v>412</v>
      </c>
      <c r="B411" s="118">
        <v>45717</v>
      </c>
      <c r="C411" s="143" t="s">
        <v>1713</v>
      </c>
      <c r="D411" s="120" t="s">
        <v>890</v>
      </c>
      <c r="E411" s="144" t="s">
        <v>1655</v>
      </c>
      <c r="F411" s="161" t="s">
        <v>299</v>
      </c>
      <c r="G411" s="128" t="s">
        <v>1996</v>
      </c>
      <c r="H411" s="121"/>
    </row>
    <row r="412" spans="1:8">
      <c r="A412" s="111">
        <v>413</v>
      </c>
      <c r="B412" s="118">
        <v>45748</v>
      </c>
      <c r="C412" s="148" t="s">
        <v>583</v>
      </c>
      <c r="D412" s="120" t="s">
        <v>584</v>
      </c>
      <c r="E412" s="121" t="s">
        <v>1661</v>
      </c>
      <c r="F412" s="161" t="s">
        <v>299</v>
      </c>
      <c r="G412" s="128" t="s">
        <v>2006</v>
      </c>
      <c r="H412" s="121"/>
    </row>
    <row r="413" spans="1:8">
      <c r="A413" s="111">
        <v>414</v>
      </c>
      <c r="B413" s="118">
        <v>45778</v>
      </c>
      <c r="C413" s="143" t="s">
        <v>1684</v>
      </c>
      <c r="D413" s="120" t="s">
        <v>1685</v>
      </c>
      <c r="E413" s="121" t="s">
        <v>1646</v>
      </c>
      <c r="F413" s="161" t="s">
        <v>299</v>
      </c>
      <c r="G413" s="128" t="s">
        <v>2006</v>
      </c>
      <c r="H413" s="121"/>
    </row>
    <row r="414" spans="1:8">
      <c r="A414" s="111">
        <v>415</v>
      </c>
      <c r="B414" s="145">
        <v>45809</v>
      </c>
      <c r="C414" s="147" t="s">
        <v>1714</v>
      </c>
      <c r="D414" s="120" t="s">
        <v>1715</v>
      </c>
      <c r="E414" s="121" t="s">
        <v>1646</v>
      </c>
      <c r="F414" s="161" t="s">
        <v>299</v>
      </c>
      <c r="G414" s="128" t="s">
        <v>1996</v>
      </c>
      <c r="H414" s="121"/>
    </row>
    <row r="415" spans="1:8">
      <c r="A415" s="111">
        <v>416</v>
      </c>
      <c r="B415" s="118">
        <v>45870</v>
      </c>
      <c r="C415" s="143" t="s">
        <v>1716</v>
      </c>
      <c r="D415" s="120" t="s">
        <v>892</v>
      </c>
      <c r="E415" s="121" t="s">
        <v>1655</v>
      </c>
      <c r="F415" s="161" t="s">
        <v>299</v>
      </c>
      <c r="G415" s="128" t="s">
        <v>1996</v>
      </c>
      <c r="H415" s="121"/>
    </row>
    <row r="416" spans="1:8">
      <c r="A416" s="111">
        <v>417</v>
      </c>
      <c r="B416" s="118">
        <v>45870</v>
      </c>
      <c r="C416" s="143" t="s">
        <v>1686</v>
      </c>
      <c r="D416" s="120" t="s">
        <v>891</v>
      </c>
      <c r="E416" s="121" t="s">
        <v>1655</v>
      </c>
      <c r="F416" s="161" t="s">
        <v>299</v>
      </c>
      <c r="G416" s="128" t="s">
        <v>2006</v>
      </c>
      <c r="H416" s="121"/>
    </row>
    <row r="417" spans="1:8">
      <c r="A417" s="111">
        <v>418</v>
      </c>
      <c r="B417" s="118">
        <v>45870</v>
      </c>
      <c r="C417" s="143" t="s">
        <v>1687</v>
      </c>
      <c r="D417" s="120" t="s">
        <v>1688</v>
      </c>
      <c r="E417" s="123" t="s">
        <v>1650</v>
      </c>
      <c r="F417" s="161" t="s">
        <v>299</v>
      </c>
      <c r="G417" s="128" t="s">
        <v>1996</v>
      </c>
      <c r="H417" s="121" t="s">
        <v>2018</v>
      </c>
    </row>
    <row r="418" spans="1:8">
      <c r="A418" s="111">
        <v>419</v>
      </c>
      <c r="B418" s="118">
        <v>44378</v>
      </c>
      <c r="C418" s="143" t="s">
        <v>1717</v>
      </c>
      <c r="D418" s="120" t="s">
        <v>1718</v>
      </c>
      <c r="E418" s="121" t="s">
        <v>1650</v>
      </c>
      <c r="F418" s="161" t="s">
        <v>299</v>
      </c>
      <c r="G418" s="128" t="s">
        <v>2006</v>
      </c>
      <c r="H418" s="129" t="s">
        <v>2033</v>
      </c>
    </row>
    <row r="419" spans="1:8">
      <c r="A419" s="111">
        <v>420</v>
      </c>
      <c r="B419" s="118">
        <v>45931</v>
      </c>
      <c r="C419" s="143" t="s">
        <v>1662</v>
      </c>
      <c r="D419" s="120" t="s">
        <v>850</v>
      </c>
      <c r="E419" s="121" t="s">
        <v>1661</v>
      </c>
      <c r="F419" s="161" t="s">
        <v>299</v>
      </c>
      <c r="G419" s="128" t="s">
        <v>2011</v>
      </c>
      <c r="H419" s="121"/>
    </row>
    <row r="420" spans="1:8">
      <c r="A420" s="111">
        <v>421</v>
      </c>
      <c r="B420" s="145">
        <v>45992</v>
      </c>
      <c r="C420" s="167" t="s">
        <v>1689</v>
      </c>
      <c r="D420" s="120" t="s">
        <v>1690</v>
      </c>
      <c r="E420" s="121" t="s">
        <v>1655</v>
      </c>
      <c r="F420" s="161" t="s">
        <v>299</v>
      </c>
      <c r="G420" s="128" t="s">
        <v>2006</v>
      </c>
      <c r="H420" s="121"/>
    </row>
    <row r="421" spans="1:8">
      <c r="A421" s="111">
        <v>422</v>
      </c>
      <c r="B421" s="118">
        <v>46023</v>
      </c>
      <c r="C421" s="148" t="s">
        <v>1663</v>
      </c>
      <c r="D421" s="120" t="s">
        <v>1664</v>
      </c>
      <c r="E421" s="121" t="s">
        <v>1655</v>
      </c>
      <c r="F421" s="161" t="s">
        <v>299</v>
      </c>
      <c r="G421" s="128" t="s">
        <v>1996</v>
      </c>
      <c r="H421" s="160" t="s">
        <v>2033</v>
      </c>
    </row>
    <row r="422" spans="1:8">
      <c r="A422" s="111">
        <v>423</v>
      </c>
      <c r="B422" s="118">
        <v>46023</v>
      </c>
      <c r="C422" s="148" t="s">
        <v>1719</v>
      </c>
      <c r="D422" s="120" t="s">
        <v>1720</v>
      </c>
      <c r="E422" s="121" t="s">
        <v>1655</v>
      </c>
      <c r="F422" s="161" t="s">
        <v>299</v>
      </c>
      <c r="G422" s="128" t="s">
        <v>1996</v>
      </c>
      <c r="H422" s="121"/>
    </row>
    <row r="423" spans="1:8">
      <c r="A423" s="111">
        <v>424</v>
      </c>
      <c r="B423" s="145">
        <v>44652</v>
      </c>
      <c r="C423" s="148" t="s">
        <v>1691</v>
      </c>
      <c r="D423" s="120" t="s">
        <v>1692</v>
      </c>
      <c r="E423" s="121" t="s">
        <v>1650</v>
      </c>
      <c r="F423" s="161" t="s">
        <v>299</v>
      </c>
      <c r="G423" s="128" t="s">
        <v>2011</v>
      </c>
      <c r="H423" s="121" t="s">
        <v>2039</v>
      </c>
    </row>
    <row r="424" spans="1:8">
      <c r="A424" s="111">
        <v>425</v>
      </c>
      <c r="B424" s="118">
        <v>46054</v>
      </c>
      <c r="C424" s="148" t="s">
        <v>1665</v>
      </c>
      <c r="D424" s="120" t="s">
        <v>1666</v>
      </c>
      <c r="E424" s="123" t="s">
        <v>1167</v>
      </c>
      <c r="F424" s="161" t="s">
        <v>299</v>
      </c>
      <c r="G424" s="128" t="s">
        <v>2011</v>
      </c>
      <c r="H424" s="121"/>
    </row>
    <row r="425" spans="1:8">
      <c r="A425" s="111">
        <v>426</v>
      </c>
      <c r="B425" s="118">
        <v>46113</v>
      </c>
      <c r="C425" s="148" t="s">
        <v>1667</v>
      </c>
      <c r="D425" s="120" t="s">
        <v>1668</v>
      </c>
      <c r="E425" s="121" t="s">
        <v>1661</v>
      </c>
      <c r="F425" s="161" t="s">
        <v>299</v>
      </c>
      <c r="G425" s="128" t="s">
        <v>2011</v>
      </c>
      <c r="H425" s="121"/>
    </row>
    <row r="426" spans="1:8">
      <c r="A426" s="111">
        <v>427</v>
      </c>
      <c r="B426" s="118">
        <v>46113</v>
      </c>
      <c r="C426" s="148" t="s">
        <v>1693</v>
      </c>
      <c r="D426" s="120" t="s">
        <v>1694</v>
      </c>
      <c r="E426" s="121" t="s">
        <v>1655</v>
      </c>
      <c r="F426" s="161" t="s">
        <v>299</v>
      </c>
      <c r="G426" s="128" t="s">
        <v>2006</v>
      </c>
      <c r="H426" s="121"/>
    </row>
    <row r="427" spans="1:8">
      <c r="A427" s="111">
        <v>428</v>
      </c>
      <c r="B427" s="118">
        <v>46174</v>
      </c>
      <c r="C427" s="342" t="s">
        <v>1675</v>
      </c>
      <c r="D427" s="120" t="s">
        <v>1676</v>
      </c>
      <c r="E427" s="121" t="s">
        <v>1655</v>
      </c>
      <c r="F427" s="161" t="s">
        <v>299</v>
      </c>
      <c r="G427" s="128" t="s">
        <v>2011</v>
      </c>
      <c r="H427" s="121"/>
    </row>
    <row r="428" spans="1:8">
      <c r="A428" s="111">
        <v>429</v>
      </c>
      <c r="B428" s="118">
        <v>46174</v>
      </c>
      <c r="C428" s="342" t="s">
        <v>1709</v>
      </c>
      <c r="D428" s="120" t="s">
        <v>1710</v>
      </c>
      <c r="E428" s="121" t="s">
        <v>1646</v>
      </c>
      <c r="F428" s="161" t="s">
        <v>299</v>
      </c>
      <c r="G428" s="128" t="s">
        <v>2006</v>
      </c>
      <c r="H428" s="121"/>
    </row>
    <row r="429" spans="1:8">
      <c r="A429" s="111">
        <v>430</v>
      </c>
      <c r="B429" s="118">
        <v>46144</v>
      </c>
      <c r="C429" s="152" t="s">
        <v>1721</v>
      </c>
      <c r="D429" s="150" t="s">
        <v>1722</v>
      </c>
      <c r="E429" s="121" t="s">
        <v>1225</v>
      </c>
      <c r="F429" s="161" t="s">
        <v>299</v>
      </c>
      <c r="G429" s="128" t="s">
        <v>1996</v>
      </c>
      <c r="H429" s="121"/>
    </row>
    <row r="430" spans="1:8">
      <c r="A430" s="111">
        <v>431</v>
      </c>
      <c r="B430" s="118">
        <v>46144</v>
      </c>
      <c r="C430" s="152" t="s">
        <v>1723</v>
      </c>
      <c r="D430" s="150" t="s">
        <v>1724</v>
      </c>
      <c r="E430" s="121" t="s">
        <v>1225</v>
      </c>
      <c r="F430" s="161" t="s">
        <v>299</v>
      </c>
      <c r="G430" s="128" t="s">
        <v>1996</v>
      </c>
      <c r="H430" s="121"/>
    </row>
    <row r="431" spans="1:8">
      <c r="A431" s="111">
        <v>432</v>
      </c>
      <c r="B431" s="118">
        <v>45943</v>
      </c>
      <c r="C431" s="154" t="s">
        <v>1669</v>
      </c>
      <c r="D431" s="150" t="s">
        <v>1670</v>
      </c>
      <c r="E431" s="121" t="s">
        <v>1225</v>
      </c>
      <c r="F431" s="161" t="s">
        <v>299</v>
      </c>
      <c r="G431" s="128" t="s">
        <v>2011</v>
      </c>
      <c r="H431" s="121"/>
    </row>
    <row r="432" spans="1:8">
      <c r="A432" s="111">
        <v>433</v>
      </c>
      <c r="B432" s="118">
        <v>45980</v>
      </c>
      <c r="C432" s="154" t="s">
        <v>1695</v>
      </c>
      <c r="D432" s="150" t="s">
        <v>1696</v>
      </c>
      <c r="E432" s="121" t="s">
        <v>1225</v>
      </c>
      <c r="F432" s="161" t="s">
        <v>299</v>
      </c>
      <c r="G432" s="159" t="s">
        <v>1996</v>
      </c>
      <c r="H432" s="121" t="s">
        <v>2040</v>
      </c>
    </row>
    <row r="433" spans="1:8">
      <c r="A433" s="111">
        <v>434</v>
      </c>
      <c r="B433" s="118">
        <v>46077</v>
      </c>
      <c r="C433" s="154" t="s">
        <v>1697</v>
      </c>
      <c r="D433" s="150" t="s">
        <v>1698</v>
      </c>
      <c r="E433" s="121" t="s">
        <v>1225</v>
      </c>
      <c r="F433" s="161" t="s">
        <v>299</v>
      </c>
      <c r="G433" s="128" t="s">
        <v>2006</v>
      </c>
      <c r="H433" s="121"/>
    </row>
    <row r="434" spans="1:8">
      <c r="A434" s="111">
        <v>435</v>
      </c>
      <c r="B434" s="118">
        <v>46077</v>
      </c>
      <c r="C434" s="154" t="s">
        <v>1725</v>
      </c>
      <c r="D434" s="150" t="s">
        <v>1726</v>
      </c>
      <c r="E434" s="121" t="s">
        <v>1225</v>
      </c>
      <c r="F434" s="161" t="s">
        <v>299</v>
      </c>
      <c r="G434" s="128" t="s">
        <v>1996</v>
      </c>
      <c r="H434" s="121"/>
    </row>
    <row r="435" spans="1:8">
      <c r="A435" s="111">
        <v>436</v>
      </c>
      <c r="B435" s="118">
        <v>46079</v>
      </c>
      <c r="C435" s="154" t="s">
        <v>1671</v>
      </c>
      <c r="D435" s="150" t="s">
        <v>1672</v>
      </c>
      <c r="E435" s="121" t="s">
        <v>1225</v>
      </c>
      <c r="F435" s="161" t="s">
        <v>299</v>
      </c>
      <c r="G435" s="128" t="s">
        <v>2011</v>
      </c>
      <c r="H435" s="121"/>
    </row>
    <row r="436" spans="1:8">
      <c r="A436" s="111">
        <v>437</v>
      </c>
      <c r="B436" s="118">
        <v>46083</v>
      </c>
      <c r="C436" s="154" t="s">
        <v>1699</v>
      </c>
      <c r="D436" s="150" t="s">
        <v>1700</v>
      </c>
      <c r="E436" s="121" t="s">
        <v>1225</v>
      </c>
      <c r="F436" s="161" t="s">
        <v>299</v>
      </c>
      <c r="G436" s="128" t="s">
        <v>2011</v>
      </c>
      <c r="H436" s="121"/>
    </row>
    <row r="437" spans="1:8">
      <c r="A437" s="111">
        <v>438</v>
      </c>
      <c r="B437" s="118">
        <v>46086</v>
      </c>
      <c r="C437" s="154" t="s">
        <v>1701</v>
      </c>
      <c r="D437" s="150" t="s">
        <v>1702</v>
      </c>
      <c r="E437" s="121" t="s">
        <v>1225</v>
      </c>
      <c r="F437" s="161" t="s">
        <v>299</v>
      </c>
      <c r="G437" s="128" t="s">
        <v>2006</v>
      </c>
      <c r="H437" s="121"/>
    </row>
    <row r="438" spans="1:8">
      <c r="A438" s="111">
        <v>439</v>
      </c>
      <c r="B438" s="118">
        <v>46090</v>
      </c>
      <c r="C438" s="154" t="s">
        <v>1703</v>
      </c>
      <c r="D438" s="150" t="s">
        <v>1704</v>
      </c>
      <c r="E438" s="121" t="s">
        <v>1225</v>
      </c>
      <c r="F438" s="161" t="s">
        <v>299</v>
      </c>
      <c r="G438" s="128" t="s">
        <v>2006</v>
      </c>
      <c r="H438" s="121"/>
    </row>
    <row r="439" spans="1:8">
      <c r="A439" s="111">
        <v>440</v>
      </c>
      <c r="B439" s="118">
        <v>46091</v>
      </c>
      <c r="C439" s="154" t="s">
        <v>1673</v>
      </c>
      <c r="D439" s="150" t="s">
        <v>1674</v>
      </c>
      <c r="E439" s="121" t="s">
        <v>1225</v>
      </c>
      <c r="F439" s="161" t="s">
        <v>299</v>
      </c>
      <c r="G439" s="128" t="s">
        <v>2011</v>
      </c>
      <c r="H439" s="121"/>
    </row>
    <row r="440" spans="1:8">
      <c r="A440" s="111">
        <v>441</v>
      </c>
      <c r="B440" s="118">
        <v>46092</v>
      </c>
      <c r="C440" s="154" t="s">
        <v>1727</v>
      </c>
      <c r="D440" s="150" t="s">
        <v>1728</v>
      </c>
      <c r="E440" s="121" t="s">
        <v>1225</v>
      </c>
      <c r="F440" s="161" t="s">
        <v>299</v>
      </c>
      <c r="G440" s="128" t="s">
        <v>1996</v>
      </c>
      <c r="H440" s="121"/>
    </row>
    <row r="441" spans="1:8">
      <c r="A441" s="111">
        <v>442</v>
      </c>
      <c r="B441" s="118">
        <v>46097</v>
      </c>
      <c r="C441" s="154" t="s">
        <v>1729</v>
      </c>
      <c r="D441" s="150" t="s">
        <v>1730</v>
      </c>
      <c r="E441" s="121" t="s">
        <v>1225</v>
      </c>
      <c r="F441" s="161" t="s">
        <v>299</v>
      </c>
      <c r="G441" s="128" t="s">
        <v>1996</v>
      </c>
      <c r="H441" s="121"/>
    </row>
    <row r="442" spans="1:8">
      <c r="A442" s="111">
        <v>443</v>
      </c>
      <c r="B442" s="118">
        <v>45999</v>
      </c>
      <c r="C442" s="157" t="s">
        <v>1731</v>
      </c>
      <c r="D442" s="150" t="s">
        <v>1732</v>
      </c>
      <c r="E442" s="121" t="s">
        <v>1225</v>
      </c>
      <c r="F442" s="161" t="s">
        <v>299</v>
      </c>
      <c r="G442" s="128" t="s">
        <v>1996</v>
      </c>
      <c r="H442" s="121"/>
    </row>
    <row r="443" spans="1:8">
      <c r="A443" s="111">
        <v>444</v>
      </c>
      <c r="B443" s="118">
        <v>45939</v>
      </c>
      <c r="C443" s="154" t="s">
        <v>1705</v>
      </c>
      <c r="D443" s="150" t="s">
        <v>1706</v>
      </c>
      <c r="E443" s="121" t="s">
        <v>1225</v>
      </c>
      <c r="F443" s="161" t="s">
        <v>299</v>
      </c>
      <c r="G443" s="128" t="s">
        <v>2006</v>
      </c>
      <c r="H443" s="121"/>
    </row>
    <row r="444" spans="1:8">
      <c r="A444" s="111">
        <v>445</v>
      </c>
      <c r="B444" s="118">
        <v>46055</v>
      </c>
      <c r="C444" s="154" t="s">
        <v>1707</v>
      </c>
      <c r="D444" s="150" t="s">
        <v>1708</v>
      </c>
      <c r="E444" s="121" t="s">
        <v>1225</v>
      </c>
      <c r="F444" s="161" t="s">
        <v>299</v>
      </c>
      <c r="G444" s="128" t="s">
        <v>2006</v>
      </c>
      <c r="H444" s="121"/>
    </row>
    <row r="445" spans="1:8">
      <c r="A445" s="111">
        <v>446</v>
      </c>
      <c r="B445" s="118">
        <v>46114</v>
      </c>
      <c r="C445" s="154" t="s">
        <v>1677</v>
      </c>
      <c r="D445" s="150" t="s">
        <v>1678</v>
      </c>
      <c r="E445" s="121" t="s">
        <v>1225</v>
      </c>
      <c r="F445" s="161" t="s">
        <v>299</v>
      </c>
      <c r="G445" s="128" t="s">
        <v>2011</v>
      </c>
      <c r="H445" s="121"/>
    </row>
    <row r="446" spans="1:8">
      <c r="A446" s="111">
        <v>447</v>
      </c>
      <c r="B446" s="118">
        <v>46121</v>
      </c>
      <c r="C446" s="154" t="s">
        <v>1746</v>
      </c>
      <c r="D446" s="150" t="s">
        <v>1747</v>
      </c>
      <c r="E446" s="121" t="s">
        <v>1225</v>
      </c>
      <c r="F446" s="161" t="s">
        <v>299</v>
      </c>
      <c r="G446" s="128" t="s">
        <v>2011</v>
      </c>
      <c r="H446" s="121"/>
    </row>
    <row r="447" spans="1:8">
      <c r="A447" s="111">
        <v>448</v>
      </c>
      <c r="B447" s="118">
        <v>46147</v>
      </c>
      <c r="C447" s="154" t="s">
        <v>1736</v>
      </c>
      <c r="D447" s="150" t="s">
        <v>1737</v>
      </c>
      <c r="E447" s="121" t="s">
        <v>1225</v>
      </c>
      <c r="F447" s="161" t="s">
        <v>299</v>
      </c>
      <c r="G447" s="128" t="s">
        <v>1996</v>
      </c>
      <c r="H447" s="121"/>
    </row>
    <row r="448" spans="1:8">
      <c r="A448" s="111">
        <v>449</v>
      </c>
      <c r="B448" s="118">
        <v>46149</v>
      </c>
      <c r="C448" s="154" t="s">
        <v>1740</v>
      </c>
      <c r="D448" s="150" t="s">
        <v>1741</v>
      </c>
      <c r="E448" s="121" t="s">
        <v>1225</v>
      </c>
      <c r="F448" s="161" t="s">
        <v>299</v>
      </c>
      <c r="G448" s="128" t="s">
        <v>2011</v>
      </c>
      <c r="H448" s="121"/>
    </row>
    <row r="449" spans="1:8">
      <c r="A449" s="111">
        <v>450</v>
      </c>
      <c r="B449" s="118">
        <v>46154</v>
      </c>
      <c r="C449" s="154" t="s">
        <v>1742</v>
      </c>
      <c r="D449" s="150" t="s">
        <v>1743</v>
      </c>
      <c r="E449" s="121" t="s">
        <v>1225</v>
      </c>
      <c r="F449" s="161" t="s">
        <v>299</v>
      </c>
      <c r="G449" s="128" t="s">
        <v>1996</v>
      </c>
      <c r="H449" s="121"/>
    </row>
    <row r="450" spans="1:8">
      <c r="A450" s="111">
        <v>451</v>
      </c>
      <c r="B450" s="118">
        <v>46156</v>
      </c>
      <c r="C450" s="154" t="s">
        <v>1744</v>
      </c>
      <c r="D450" s="150" t="s">
        <v>1745</v>
      </c>
      <c r="E450" s="121" t="s">
        <v>1225</v>
      </c>
      <c r="F450" s="161" t="s">
        <v>299</v>
      </c>
      <c r="G450" s="128" t="s">
        <v>1996</v>
      </c>
      <c r="H450" s="121"/>
    </row>
    <row r="451" spans="1:8">
      <c r="A451" s="111">
        <v>452</v>
      </c>
      <c r="B451" s="118">
        <v>46177</v>
      </c>
      <c r="C451" s="319" t="s">
        <v>1738</v>
      </c>
      <c r="D451" s="150" t="s">
        <v>1739</v>
      </c>
      <c r="E451" s="121" t="s">
        <v>1225</v>
      </c>
      <c r="F451" s="161" t="s">
        <v>299</v>
      </c>
      <c r="G451" s="128" t="s">
        <v>2011</v>
      </c>
      <c r="H451" s="121"/>
    </row>
    <row r="452" spans="1:8">
      <c r="A452" s="111">
        <v>453</v>
      </c>
      <c r="B452" s="173">
        <v>40702</v>
      </c>
      <c r="C452" s="177" t="s">
        <v>741</v>
      </c>
      <c r="D452" s="175" t="s">
        <v>742</v>
      </c>
      <c r="E452" s="176" t="s">
        <v>2041</v>
      </c>
      <c r="F452" s="177" t="s">
        <v>743</v>
      </c>
      <c r="G452" s="128" t="s">
        <v>2006</v>
      </c>
      <c r="H452" s="117"/>
    </row>
    <row r="453" spans="1:8">
      <c r="A453" s="111">
        <v>454</v>
      </c>
      <c r="B453" s="118">
        <v>43617</v>
      </c>
      <c r="C453" s="119" t="s">
        <v>744</v>
      </c>
      <c r="D453" s="120" t="s">
        <v>745</v>
      </c>
      <c r="E453" s="121" t="s">
        <v>2041</v>
      </c>
      <c r="F453" s="119" t="s">
        <v>743</v>
      </c>
      <c r="G453" s="128" t="s">
        <v>2011</v>
      </c>
      <c r="H453" s="117" t="s">
        <v>2014</v>
      </c>
    </row>
    <row r="454" spans="1:8">
      <c r="A454" s="111">
        <v>455</v>
      </c>
      <c r="B454" s="118">
        <v>44805</v>
      </c>
      <c r="C454" s="232" t="s">
        <v>747</v>
      </c>
      <c r="D454" s="233" t="s">
        <v>748</v>
      </c>
      <c r="E454" s="117" t="s">
        <v>2042</v>
      </c>
      <c r="F454" s="119" t="s">
        <v>743</v>
      </c>
      <c r="G454" s="128" t="s">
        <v>1996</v>
      </c>
      <c r="H454" s="117"/>
    </row>
    <row r="455" spans="1:8">
      <c r="A455" s="111">
        <v>456</v>
      </c>
      <c r="B455" s="118">
        <v>45200</v>
      </c>
      <c r="C455" s="184" t="s">
        <v>749</v>
      </c>
      <c r="D455" s="120" t="s">
        <v>750</v>
      </c>
      <c r="E455" s="117" t="s">
        <v>2042</v>
      </c>
      <c r="F455" s="119" t="s">
        <v>743</v>
      </c>
      <c r="G455" s="128" t="s">
        <v>2043</v>
      </c>
      <c r="H455" s="117"/>
    </row>
    <row r="456" spans="1:8">
      <c r="A456" s="111">
        <v>457</v>
      </c>
      <c r="B456" s="118">
        <v>45870</v>
      </c>
      <c r="C456" s="184" t="s">
        <v>550</v>
      </c>
      <c r="D456" s="120" t="s">
        <v>551</v>
      </c>
      <c r="E456" s="121" t="s">
        <v>2042</v>
      </c>
      <c r="F456" s="119" t="s">
        <v>743</v>
      </c>
      <c r="G456" s="128" t="s">
        <v>1996</v>
      </c>
      <c r="H456" s="117"/>
    </row>
    <row r="457" spans="1:8">
      <c r="A457" s="111">
        <v>458</v>
      </c>
      <c r="B457" s="118">
        <v>45627</v>
      </c>
      <c r="C457" s="149" t="s">
        <v>751</v>
      </c>
      <c r="D457" s="120" t="s">
        <v>752</v>
      </c>
      <c r="E457" s="121" t="s">
        <v>2042</v>
      </c>
      <c r="F457" s="119" t="s">
        <v>743</v>
      </c>
      <c r="G457" s="128" t="s">
        <v>2011</v>
      </c>
      <c r="H457" s="120"/>
    </row>
  </sheetData>
  <autoFilter ref="A1:H457" xr:uid="{D1E7050E-C529-4372-8847-1DEAF2A760CC}"/>
  <conditionalFormatting sqref="D9:D11 D29 D73 D88:D90 D102 D104 D115">
    <cfRule type="expression" dxfId="21" priority="8" stopIfTrue="1">
      <formula>IF($I9="NA",TRUE,FASLE)</formula>
    </cfRule>
    <cfRule type="expression" dxfId="20" priority="9" stopIfTrue="1">
      <formula>IF($G9="NA",TRUE,FASLE)</formula>
    </cfRule>
  </conditionalFormatting>
  <conditionalFormatting sqref="D9:D11">
    <cfRule type="duplicateValues" dxfId="19" priority="17"/>
  </conditionalFormatting>
  <conditionalFormatting sqref="D102 D29 D73 D88:D90">
    <cfRule type="duplicateValues" dxfId="18" priority="13"/>
  </conditionalFormatting>
  <conditionalFormatting sqref="D109">
    <cfRule type="expression" dxfId="17" priority="14" stopIfTrue="1">
      <formula>IF($I109="NA",TRUE,FASLE)</formula>
    </cfRule>
    <cfRule type="expression" dxfId="16" priority="15" stopIfTrue="1">
      <formula>IF($G109="NA",TRUE,FASLE)</formula>
    </cfRule>
    <cfRule type="duplicateValues" dxfId="15" priority="16"/>
  </conditionalFormatting>
  <conditionalFormatting sqref="D150">
    <cfRule type="expression" dxfId="14" priority="5" stopIfTrue="1">
      <formula>IF($I150="NA",TRUE,FASLE)</formula>
    </cfRule>
    <cfRule type="expression" dxfId="13" priority="6" stopIfTrue="1">
      <formula>IF($G150="NA",TRUE,FASLE)</formula>
    </cfRule>
  </conditionalFormatting>
  <conditionalFormatting sqref="F2:F6 D2:D12 D15:D18 D22:D61 F28:F38 D63:D68 F64:F66 D73:D263 F147 F261:F330 D266:D385 F377:F385 D387:D395 F391:F395 D397:D452 F398:F451">
    <cfRule type="expression" dxfId="12" priority="4" stopIfTrue="1">
      <formula>IF(#REF!="NA",TRUE,FASLE)</formula>
    </cfRule>
  </conditionalFormatting>
  <conditionalFormatting sqref="F22:F61 F285:F330 F399:F451 F12 H17:H18 F20 H20 H23:H61 H66:H68 H72 H78:H147 H149:H206 H208 H213:H253 F249:F255 H255 F259 H261 H270:H333 H335:H342 H344:H358 H360:H376 H378:H380 H383 H385 H388:H451 H457">
    <cfRule type="expression" dxfId="11" priority="10" stopIfTrue="1">
      <formula>"NA"</formula>
    </cfRule>
  </conditionalFormatting>
  <conditionalFormatting sqref="F60:F61">
    <cfRule type="expression" dxfId="10" priority="11" stopIfTrue="1">
      <formula>IF(#REF!="NA",TRUE,FASLE)</formula>
    </cfRule>
  </conditionalFormatting>
  <conditionalFormatting sqref="F259 D20 D70 D454:D457">
    <cfRule type="expression" dxfId="9" priority="12" stopIfTrue="1">
      <formula>IF(#REF!="NA",TRUE,FASLE)</formula>
    </cfRule>
  </conditionalFormatting>
  <conditionalFormatting sqref="F387:F388">
    <cfRule type="expression" dxfId="8" priority="7" stopIfTrue="1">
      <formula>IF(#REF!="NA",TRUE,FASLE)</formula>
    </cfRule>
  </conditionalFormatting>
  <conditionalFormatting sqref="H12">
    <cfRule type="expression" dxfId="7" priority="1" stopIfTrue="1">
      <formula>"NA"</formula>
    </cfRule>
  </conditionalFormatting>
  <conditionalFormatting sqref="H15">
    <cfRule type="expression" dxfId="6" priority="2" stopIfTrue="1">
      <formula>"NA"</formula>
    </cfRule>
  </conditionalFormatting>
  <conditionalFormatting sqref="H268">
    <cfRule type="expression" dxfId="5" priority="3" stopIfTrue="1">
      <formula>"NA"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18F0-278D-4C09-9B7D-3970A25750F1}">
  <sheetPr>
    <tabColor theme="5"/>
  </sheetPr>
  <dimension ref="A1:I146"/>
  <sheetViews>
    <sheetView showGridLines="0" topLeftCell="A78" zoomScale="85" zoomScaleNormal="85" workbookViewId="0">
      <selection activeCell="F450" sqref="F450"/>
    </sheetView>
  </sheetViews>
  <sheetFormatPr defaultRowHeight="15"/>
  <cols>
    <col min="1" max="1" width="5" bestFit="1" customWidth="1"/>
    <col min="2" max="2" width="12.28515625" bestFit="1" customWidth="1"/>
    <col min="3" max="3" width="7.7109375" bestFit="1" customWidth="1"/>
    <col min="4" max="4" width="36.140625" customWidth="1"/>
    <col min="5" max="5" width="31" bestFit="1" customWidth="1"/>
    <col min="6" max="6" width="37.7109375" customWidth="1"/>
    <col min="7" max="7" width="6.28515625" bestFit="1" customWidth="1"/>
    <col min="8" max="8" width="28.28515625" bestFit="1" customWidth="1"/>
  </cols>
  <sheetData>
    <row r="1" spans="1:9" ht="15.75">
      <c r="A1" s="188" t="s">
        <v>1969</v>
      </c>
      <c r="B1" s="188" t="s">
        <v>1970</v>
      </c>
      <c r="C1" s="189" t="s">
        <v>1971</v>
      </c>
      <c r="D1" s="188" t="s">
        <v>1972</v>
      </c>
      <c r="E1" s="188" t="s">
        <v>1973</v>
      </c>
      <c r="F1" s="188" t="s">
        <v>1974</v>
      </c>
      <c r="G1" s="190" t="s">
        <v>1975</v>
      </c>
      <c r="H1" s="191" t="s">
        <v>24</v>
      </c>
      <c r="I1" s="340" t="s">
        <v>1976</v>
      </c>
    </row>
    <row r="2" spans="1:9">
      <c r="A2" s="192">
        <v>1</v>
      </c>
      <c r="B2" s="118">
        <v>44692</v>
      </c>
      <c r="C2" s="193" t="s">
        <v>2044</v>
      </c>
      <c r="D2" s="136" t="s">
        <v>2045</v>
      </c>
      <c r="E2" s="158" t="s">
        <v>2046</v>
      </c>
      <c r="F2" s="194" t="s">
        <v>746</v>
      </c>
      <c r="G2" s="195" t="s">
        <v>1996</v>
      </c>
      <c r="H2" s="170"/>
    </row>
    <row r="3" spans="1:9">
      <c r="A3" s="192">
        <v>2</v>
      </c>
      <c r="B3" s="145">
        <v>46090</v>
      </c>
      <c r="C3" s="193" t="s">
        <v>2047</v>
      </c>
      <c r="D3" s="196" t="s">
        <v>2048</v>
      </c>
      <c r="E3" s="158" t="s">
        <v>2046</v>
      </c>
      <c r="F3" s="194" t="s">
        <v>746</v>
      </c>
      <c r="G3" s="195" t="s">
        <v>2011</v>
      </c>
      <c r="H3" s="170"/>
    </row>
    <row r="4" spans="1:9">
      <c r="A4" s="192">
        <v>3</v>
      </c>
      <c r="B4" s="197">
        <v>44805</v>
      </c>
      <c r="C4" s="198" t="s">
        <v>2049</v>
      </c>
      <c r="D4" s="199" t="s">
        <v>2050</v>
      </c>
      <c r="E4" s="127" t="s">
        <v>1225</v>
      </c>
      <c r="F4" s="120" t="s">
        <v>746</v>
      </c>
      <c r="G4" s="267" t="s">
        <v>2051</v>
      </c>
      <c r="H4" s="121" t="s">
        <v>2052</v>
      </c>
    </row>
    <row r="5" spans="1:9">
      <c r="A5" s="192">
        <v>4</v>
      </c>
      <c r="B5" s="118">
        <v>44378</v>
      </c>
      <c r="C5" s="200" t="s">
        <v>681</v>
      </c>
      <c r="D5" s="120" t="s">
        <v>682</v>
      </c>
      <c r="E5" s="121" t="s">
        <v>1211</v>
      </c>
      <c r="F5" s="139" t="s">
        <v>680</v>
      </c>
      <c r="G5" s="195" t="s">
        <v>2011</v>
      </c>
      <c r="H5" s="127"/>
    </row>
    <row r="6" spans="1:9">
      <c r="A6" s="192">
        <v>5</v>
      </c>
      <c r="B6" s="118">
        <v>44378</v>
      </c>
      <c r="C6" s="200" t="s">
        <v>347</v>
      </c>
      <c r="D6" s="120" t="s">
        <v>348</v>
      </c>
      <c r="E6" s="121" t="s">
        <v>1206</v>
      </c>
      <c r="F6" s="139" t="s">
        <v>680</v>
      </c>
      <c r="G6" s="195" t="s">
        <v>2011</v>
      </c>
      <c r="H6" s="127"/>
    </row>
    <row r="7" spans="1:9">
      <c r="A7" s="192">
        <v>6</v>
      </c>
      <c r="B7" s="118">
        <v>45566</v>
      </c>
      <c r="C7" s="200" t="s">
        <v>387</v>
      </c>
      <c r="D7" s="120" t="s">
        <v>388</v>
      </c>
      <c r="E7" s="121" t="s">
        <v>1210</v>
      </c>
      <c r="F7" s="139" t="s">
        <v>680</v>
      </c>
      <c r="G7" s="195" t="s">
        <v>1996</v>
      </c>
      <c r="H7" s="170"/>
    </row>
    <row r="8" spans="1:9">
      <c r="A8" s="192">
        <v>7</v>
      </c>
      <c r="B8" s="118">
        <v>45078</v>
      </c>
      <c r="C8" s="200" t="s">
        <v>337</v>
      </c>
      <c r="D8" s="120" t="s">
        <v>338</v>
      </c>
      <c r="E8" s="121" t="s">
        <v>1211</v>
      </c>
      <c r="F8" s="139" t="s">
        <v>680</v>
      </c>
      <c r="G8" s="195" t="s">
        <v>1996</v>
      </c>
      <c r="H8" s="170"/>
    </row>
    <row r="9" spans="1:9">
      <c r="A9" s="192">
        <v>8</v>
      </c>
      <c r="B9" s="118">
        <v>45778</v>
      </c>
      <c r="C9" s="200" t="s">
        <v>373</v>
      </c>
      <c r="D9" s="120" t="s">
        <v>374</v>
      </c>
      <c r="E9" s="121" t="s">
        <v>1206</v>
      </c>
      <c r="F9" s="139" t="s">
        <v>680</v>
      </c>
      <c r="G9" s="195" t="s">
        <v>2006</v>
      </c>
      <c r="H9" s="170"/>
    </row>
    <row r="10" spans="1:9">
      <c r="A10" s="192">
        <v>9</v>
      </c>
      <c r="B10" s="118">
        <v>45901</v>
      </c>
      <c r="C10" s="200" t="s">
        <v>1266</v>
      </c>
      <c r="D10" s="139" t="s">
        <v>699</v>
      </c>
      <c r="E10" s="127" t="s">
        <v>1210</v>
      </c>
      <c r="F10" s="139" t="s">
        <v>680</v>
      </c>
      <c r="G10" s="195" t="s">
        <v>2011</v>
      </c>
      <c r="H10" s="127"/>
    </row>
    <row r="11" spans="1:9">
      <c r="A11" s="192">
        <v>10</v>
      </c>
      <c r="B11" s="118">
        <v>46023</v>
      </c>
      <c r="C11" s="200" t="s">
        <v>1267</v>
      </c>
      <c r="D11" s="120" t="s">
        <v>1268</v>
      </c>
      <c r="E11" s="121" t="s">
        <v>1206</v>
      </c>
      <c r="F11" s="139" t="s">
        <v>680</v>
      </c>
      <c r="G11" s="195" t="s">
        <v>2006</v>
      </c>
      <c r="H11" s="170"/>
    </row>
    <row r="12" spans="1:9">
      <c r="A12" s="192">
        <v>11</v>
      </c>
      <c r="B12" s="118">
        <v>46113</v>
      </c>
      <c r="C12" s="200" t="s">
        <v>1269</v>
      </c>
      <c r="D12" s="139" t="s">
        <v>1011</v>
      </c>
      <c r="E12" s="127" t="s">
        <v>1206</v>
      </c>
      <c r="F12" s="139" t="s">
        <v>680</v>
      </c>
      <c r="G12" s="195" t="s">
        <v>1996</v>
      </c>
      <c r="H12" s="127"/>
    </row>
    <row r="13" spans="1:9">
      <c r="A13" s="192">
        <v>12</v>
      </c>
      <c r="B13" s="118">
        <v>46055</v>
      </c>
      <c r="C13" s="201" t="s">
        <v>1255</v>
      </c>
      <c r="D13" s="150" t="s">
        <v>356</v>
      </c>
      <c r="E13" s="121" t="s">
        <v>1225</v>
      </c>
      <c r="F13" s="139" t="s">
        <v>680</v>
      </c>
      <c r="G13" s="195" t="s">
        <v>1996</v>
      </c>
      <c r="H13" s="170"/>
    </row>
    <row r="14" spans="1:9">
      <c r="A14" s="192">
        <v>13</v>
      </c>
      <c r="B14" s="118">
        <v>46083</v>
      </c>
      <c r="C14" s="201" t="s">
        <v>1256</v>
      </c>
      <c r="D14" s="150" t="s">
        <v>1257</v>
      </c>
      <c r="E14" s="121" t="s">
        <v>1225</v>
      </c>
      <c r="F14" s="139" t="s">
        <v>680</v>
      </c>
      <c r="G14" s="195" t="s">
        <v>1996</v>
      </c>
      <c r="H14" s="170"/>
    </row>
    <row r="15" spans="1:9">
      <c r="A15" s="192">
        <v>14</v>
      </c>
      <c r="B15" s="118">
        <v>46144</v>
      </c>
      <c r="C15" s="201" t="s">
        <v>1258</v>
      </c>
      <c r="D15" s="202" t="s">
        <v>1259</v>
      </c>
      <c r="E15" s="127" t="s">
        <v>1225</v>
      </c>
      <c r="F15" s="139" t="s">
        <v>680</v>
      </c>
      <c r="G15" s="195" t="s">
        <v>2011</v>
      </c>
      <c r="H15" s="127"/>
    </row>
    <row r="16" spans="1:9">
      <c r="A16" s="192">
        <v>15</v>
      </c>
      <c r="B16" s="118">
        <v>46002</v>
      </c>
      <c r="C16" s="201" t="s">
        <v>1270</v>
      </c>
      <c r="D16" s="202" t="s">
        <v>1271</v>
      </c>
      <c r="E16" s="127" t="s">
        <v>1225</v>
      </c>
      <c r="F16" s="139" t="s">
        <v>680</v>
      </c>
      <c r="G16" s="195" t="s">
        <v>2011</v>
      </c>
      <c r="H16" s="127"/>
    </row>
    <row r="17" spans="1:8">
      <c r="A17" s="192">
        <v>16</v>
      </c>
      <c r="B17" s="118">
        <v>46002</v>
      </c>
      <c r="C17" s="201" t="s">
        <v>1272</v>
      </c>
      <c r="D17" s="202" t="s">
        <v>1273</v>
      </c>
      <c r="E17" s="127" t="s">
        <v>1225</v>
      </c>
      <c r="F17" s="139" t="s">
        <v>680</v>
      </c>
      <c r="G17" s="195" t="s">
        <v>2006</v>
      </c>
      <c r="H17" s="127"/>
    </row>
    <row r="18" spans="1:8">
      <c r="A18" s="192">
        <v>17</v>
      </c>
      <c r="B18" s="118">
        <v>46084</v>
      </c>
      <c r="C18" s="201" t="s">
        <v>1262</v>
      </c>
      <c r="D18" s="202" t="s">
        <v>1263</v>
      </c>
      <c r="E18" s="127" t="s">
        <v>1225</v>
      </c>
      <c r="F18" s="139" t="s">
        <v>680</v>
      </c>
      <c r="G18" s="195" t="s">
        <v>2011</v>
      </c>
      <c r="H18" s="127"/>
    </row>
    <row r="19" spans="1:8">
      <c r="A19" s="192">
        <v>18</v>
      </c>
      <c r="B19" s="118">
        <v>46091</v>
      </c>
      <c r="C19" s="201" t="s">
        <v>1264</v>
      </c>
      <c r="D19" s="202" t="s">
        <v>1265</v>
      </c>
      <c r="E19" s="127" t="s">
        <v>1225</v>
      </c>
      <c r="F19" s="139" t="s">
        <v>680</v>
      </c>
      <c r="G19" s="195" t="s">
        <v>2006</v>
      </c>
      <c r="H19" s="127"/>
    </row>
    <row r="20" spans="1:8">
      <c r="A20" s="192">
        <v>19</v>
      </c>
      <c r="B20" s="118">
        <v>46091</v>
      </c>
      <c r="C20" s="201" t="s">
        <v>1274</v>
      </c>
      <c r="D20" s="202" t="s">
        <v>1275</v>
      </c>
      <c r="E20" s="127" t="s">
        <v>1225</v>
      </c>
      <c r="F20" s="139" t="s">
        <v>680</v>
      </c>
      <c r="G20" s="195" t="s">
        <v>2006</v>
      </c>
      <c r="H20" s="127"/>
    </row>
    <row r="21" spans="1:8">
      <c r="A21" s="192">
        <v>20</v>
      </c>
      <c r="B21" s="118">
        <v>46094</v>
      </c>
      <c r="C21" s="201" t="s">
        <v>1276</v>
      </c>
      <c r="D21" s="202" t="s">
        <v>1277</v>
      </c>
      <c r="E21" s="127" t="s">
        <v>1225</v>
      </c>
      <c r="F21" s="139" t="s">
        <v>680</v>
      </c>
      <c r="G21" s="195" t="s">
        <v>2011</v>
      </c>
      <c r="H21" s="127"/>
    </row>
    <row r="22" spans="1:8">
      <c r="A22" s="192">
        <v>21</v>
      </c>
      <c r="B22" s="118">
        <v>46113</v>
      </c>
      <c r="C22" s="201" t="s">
        <v>1278</v>
      </c>
      <c r="D22" s="202" t="s">
        <v>691</v>
      </c>
      <c r="E22" s="127" t="s">
        <v>1225</v>
      </c>
      <c r="F22" s="139" t="s">
        <v>680</v>
      </c>
      <c r="G22" s="195" t="s">
        <v>2006</v>
      </c>
      <c r="H22" s="127"/>
    </row>
    <row r="23" spans="1:8">
      <c r="A23" s="192">
        <v>22</v>
      </c>
      <c r="B23" s="118">
        <v>46114</v>
      </c>
      <c r="C23" s="201" t="s">
        <v>1279</v>
      </c>
      <c r="D23" s="202" t="s">
        <v>1280</v>
      </c>
      <c r="E23" s="127" t="s">
        <v>1225</v>
      </c>
      <c r="F23" s="139" t="s">
        <v>680</v>
      </c>
      <c r="G23" s="195" t="s">
        <v>2011</v>
      </c>
      <c r="H23" s="127"/>
    </row>
    <row r="24" spans="1:8">
      <c r="A24" s="192">
        <v>23</v>
      </c>
      <c r="B24" s="118">
        <v>46128</v>
      </c>
      <c r="C24" s="201" t="s">
        <v>1285</v>
      </c>
      <c r="D24" s="202" t="s">
        <v>1286</v>
      </c>
      <c r="E24" s="127" t="s">
        <v>1225</v>
      </c>
      <c r="F24" s="139" t="s">
        <v>680</v>
      </c>
      <c r="G24" s="195" t="s">
        <v>1996</v>
      </c>
      <c r="H24" s="127"/>
    </row>
    <row r="25" spans="1:8">
      <c r="A25" s="192">
        <v>24</v>
      </c>
      <c r="B25" s="118">
        <v>46167</v>
      </c>
      <c r="C25" s="201" t="s">
        <v>1283</v>
      </c>
      <c r="D25" s="202" t="s">
        <v>1284</v>
      </c>
      <c r="E25" s="127" t="s">
        <v>1225</v>
      </c>
      <c r="F25" s="139" t="s">
        <v>680</v>
      </c>
      <c r="G25" s="195" t="s">
        <v>1996</v>
      </c>
      <c r="H25" s="127"/>
    </row>
    <row r="26" spans="1:8">
      <c r="A26" s="192">
        <v>25</v>
      </c>
      <c r="B26" s="118">
        <v>39506</v>
      </c>
      <c r="C26" s="193" t="s">
        <v>239</v>
      </c>
      <c r="D26" s="136" t="s">
        <v>240</v>
      </c>
      <c r="E26" s="158" t="s">
        <v>1292</v>
      </c>
      <c r="F26" s="140" t="s">
        <v>232</v>
      </c>
      <c r="G26" s="195" t="s">
        <v>1996</v>
      </c>
      <c r="H26" s="129"/>
    </row>
    <row r="27" spans="1:8">
      <c r="A27" s="192">
        <v>26</v>
      </c>
      <c r="B27" s="118">
        <v>43222</v>
      </c>
      <c r="C27" s="193" t="s">
        <v>124</v>
      </c>
      <c r="D27" s="136" t="s">
        <v>125</v>
      </c>
      <c r="E27" s="158" t="s">
        <v>1292</v>
      </c>
      <c r="F27" s="140" t="s">
        <v>232</v>
      </c>
      <c r="G27" s="195" t="s">
        <v>2011</v>
      </c>
      <c r="H27" s="126" t="s">
        <v>2026</v>
      </c>
    </row>
    <row r="28" spans="1:8">
      <c r="A28" s="192">
        <v>27</v>
      </c>
      <c r="B28" s="112">
        <v>44805</v>
      </c>
      <c r="C28" s="200" t="s">
        <v>238</v>
      </c>
      <c r="D28" s="120" t="s">
        <v>127</v>
      </c>
      <c r="E28" s="234" t="s">
        <v>1749</v>
      </c>
      <c r="F28" s="120" t="s">
        <v>232</v>
      </c>
      <c r="G28" s="195" t="s">
        <v>1996</v>
      </c>
      <c r="H28" s="129"/>
    </row>
    <row r="29" spans="1:8">
      <c r="A29" s="192">
        <v>28</v>
      </c>
      <c r="B29" s="112">
        <v>44652</v>
      </c>
      <c r="C29" s="200" t="s">
        <v>243</v>
      </c>
      <c r="D29" s="120" t="s">
        <v>244</v>
      </c>
      <c r="E29" s="314" t="s">
        <v>1301</v>
      </c>
      <c r="F29" s="126" t="s">
        <v>232</v>
      </c>
      <c r="G29" s="195" t="s">
        <v>2011</v>
      </c>
      <c r="H29" s="126" t="s">
        <v>2017</v>
      </c>
    </row>
    <row r="30" spans="1:8">
      <c r="A30" s="192">
        <v>29</v>
      </c>
      <c r="B30" s="118">
        <v>45017</v>
      </c>
      <c r="C30" s="200" t="s">
        <v>230</v>
      </c>
      <c r="D30" s="120" t="s">
        <v>231</v>
      </c>
      <c r="E30" s="203" t="s">
        <v>1749</v>
      </c>
      <c r="F30" s="120" t="s">
        <v>232</v>
      </c>
      <c r="G30" s="195" t="s">
        <v>1996</v>
      </c>
      <c r="H30" s="127" t="s">
        <v>2016</v>
      </c>
    </row>
    <row r="31" spans="1:8">
      <c r="A31" s="192">
        <v>30</v>
      </c>
      <c r="B31" s="112">
        <v>40758</v>
      </c>
      <c r="C31" s="204" t="s">
        <v>1750</v>
      </c>
      <c r="D31" s="120" t="s">
        <v>338</v>
      </c>
      <c r="E31" s="121" t="s">
        <v>1751</v>
      </c>
      <c r="F31" s="120" t="s">
        <v>232</v>
      </c>
      <c r="G31" s="195" t="s">
        <v>2011</v>
      </c>
      <c r="H31" s="170"/>
    </row>
    <row r="32" spans="1:8">
      <c r="A32" s="192">
        <v>31</v>
      </c>
      <c r="B32" s="118">
        <v>40749</v>
      </c>
      <c r="C32" s="200" t="s">
        <v>234</v>
      </c>
      <c r="D32" s="117" t="s">
        <v>235</v>
      </c>
      <c r="E32" s="121" t="s">
        <v>1304</v>
      </c>
      <c r="F32" s="120" t="s">
        <v>232</v>
      </c>
      <c r="G32" s="195" t="s">
        <v>2011</v>
      </c>
      <c r="H32" s="126"/>
    </row>
    <row r="33" spans="1:8">
      <c r="A33" s="192">
        <v>32</v>
      </c>
      <c r="B33" s="112">
        <v>44805</v>
      </c>
      <c r="C33" s="200" t="s">
        <v>1772</v>
      </c>
      <c r="D33" s="120" t="s">
        <v>770</v>
      </c>
      <c r="E33" s="117" t="s">
        <v>1749</v>
      </c>
      <c r="F33" s="120" t="s">
        <v>232</v>
      </c>
      <c r="G33" s="195" t="s">
        <v>1996</v>
      </c>
      <c r="H33" s="126" t="s">
        <v>2015</v>
      </c>
    </row>
    <row r="34" spans="1:8">
      <c r="A34" s="192">
        <v>33</v>
      </c>
      <c r="B34" s="118">
        <v>43222</v>
      </c>
      <c r="C34" s="200" t="s">
        <v>236</v>
      </c>
      <c r="D34" s="120" t="s">
        <v>237</v>
      </c>
      <c r="E34" s="121" t="s">
        <v>1749</v>
      </c>
      <c r="F34" s="120" t="s">
        <v>232</v>
      </c>
      <c r="G34" s="195" t="s">
        <v>2011</v>
      </c>
      <c r="H34" s="126"/>
    </row>
    <row r="35" spans="1:8">
      <c r="A35" s="192">
        <v>34</v>
      </c>
      <c r="B35" s="118">
        <v>43222</v>
      </c>
      <c r="C35" s="200" t="s">
        <v>228</v>
      </c>
      <c r="D35" s="180" t="s">
        <v>229</v>
      </c>
      <c r="E35" s="121" t="s">
        <v>1297</v>
      </c>
      <c r="F35" s="120" t="s">
        <v>232</v>
      </c>
      <c r="G35" s="195" t="s">
        <v>2011</v>
      </c>
      <c r="H35" s="129"/>
    </row>
    <row r="36" spans="1:8">
      <c r="A36" s="192">
        <v>35</v>
      </c>
      <c r="B36" s="118">
        <v>40311</v>
      </c>
      <c r="C36" s="200" t="s">
        <v>1752</v>
      </c>
      <c r="D36" s="181" t="s">
        <v>771</v>
      </c>
      <c r="E36" s="121" t="s">
        <v>1304</v>
      </c>
      <c r="F36" s="120" t="s">
        <v>232</v>
      </c>
      <c r="G36" s="195" t="s">
        <v>1996</v>
      </c>
      <c r="H36" s="126"/>
    </row>
    <row r="37" spans="1:8">
      <c r="A37" s="192">
        <v>36</v>
      </c>
      <c r="B37" s="118">
        <v>45413</v>
      </c>
      <c r="C37" s="204" t="s">
        <v>1789</v>
      </c>
      <c r="D37" s="181" t="s">
        <v>1790</v>
      </c>
      <c r="E37" s="117" t="s">
        <v>1302</v>
      </c>
      <c r="F37" s="120" t="s">
        <v>232</v>
      </c>
      <c r="G37" s="195" t="s">
        <v>1996</v>
      </c>
      <c r="H37" s="170"/>
    </row>
    <row r="38" spans="1:8">
      <c r="A38" s="192">
        <v>37</v>
      </c>
      <c r="B38" s="118">
        <v>45809</v>
      </c>
      <c r="C38" s="204" t="s">
        <v>525</v>
      </c>
      <c r="D38" s="181" t="s">
        <v>526</v>
      </c>
      <c r="E38" s="314" t="s">
        <v>1749</v>
      </c>
      <c r="F38" s="120" t="s">
        <v>232</v>
      </c>
      <c r="G38" s="195" t="s">
        <v>1996</v>
      </c>
      <c r="H38" s="126" t="s">
        <v>2017</v>
      </c>
    </row>
    <row r="39" spans="1:8">
      <c r="A39" s="192">
        <v>38</v>
      </c>
      <c r="B39" s="118">
        <v>45839</v>
      </c>
      <c r="C39" s="204" t="s">
        <v>1753</v>
      </c>
      <c r="D39" s="120" t="s">
        <v>772</v>
      </c>
      <c r="E39" s="117" t="s">
        <v>1302</v>
      </c>
      <c r="F39" s="120" t="s">
        <v>232</v>
      </c>
      <c r="G39" s="195" t="s">
        <v>1996</v>
      </c>
      <c r="H39" s="127"/>
    </row>
    <row r="40" spans="1:8">
      <c r="A40" s="192">
        <v>39</v>
      </c>
      <c r="B40" s="118">
        <v>45962</v>
      </c>
      <c r="C40" s="200" t="s">
        <v>1754</v>
      </c>
      <c r="D40" s="120" t="s">
        <v>999</v>
      </c>
      <c r="E40" s="117" t="s">
        <v>1309</v>
      </c>
      <c r="F40" s="120" t="s">
        <v>232</v>
      </c>
      <c r="G40" s="195" t="s">
        <v>1996</v>
      </c>
      <c r="H40" s="127"/>
    </row>
    <row r="41" spans="1:8">
      <c r="A41" s="192">
        <v>40</v>
      </c>
      <c r="B41" s="118">
        <v>45962</v>
      </c>
      <c r="C41" s="200" t="s">
        <v>1774</v>
      </c>
      <c r="D41" s="120" t="s">
        <v>1775</v>
      </c>
      <c r="E41" s="117" t="s">
        <v>1309</v>
      </c>
      <c r="F41" s="120" t="s">
        <v>232</v>
      </c>
      <c r="G41" s="195" t="s">
        <v>2011</v>
      </c>
      <c r="H41" s="127"/>
    </row>
    <row r="42" spans="1:8">
      <c r="A42" s="192">
        <v>41</v>
      </c>
      <c r="B42" s="118">
        <v>45962</v>
      </c>
      <c r="C42" s="200" t="s">
        <v>1755</v>
      </c>
      <c r="D42" s="235" t="s">
        <v>960</v>
      </c>
      <c r="E42" s="117" t="s">
        <v>1309</v>
      </c>
      <c r="F42" s="120" t="s">
        <v>232</v>
      </c>
      <c r="G42" s="195" t="s">
        <v>1996</v>
      </c>
      <c r="H42" s="127"/>
    </row>
    <row r="43" spans="1:8">
      <c r="A43" s="192">
        <v>42</v>
      </c>
      <c r="B43" s="118">
        <v>45992</v>
      </c>
      <c r="C43" s="200" t="s">
        <v>1756</v>
      </c>
      <c r="D43" s="120" t="s">
        <v>863</v>
      </c>
      <c r="E43" s="117" t="s">
        <v>1751</v>
      </c>
      <c r="F43" s="120" t="s">
        <v>232</v>
      </c>
      <c r="G43" s="195" t="s">
        <v>1996</v>
      </c>
      <c r="H43" s="127"/>
    </row>
    <row r="44" spans="1:8">
      <c r="A44" s="192">
        <v>43</v>
      </c>
      <c r="B44" s="145">
        <v>46023</v>
      </c>
      <c r="C44" s="200" t="s">
        <v>1757</v>
      </c>
      <c r="D44" s="120" t="s">
        <v>1758</v>
      </c>
      <c r="E44" s="121" t="s">
        <v>1759</v>
      </c>
      <c r="F44" s="120" t="s">
        <v>232</v>
      </c>
      <c r="G44" s="195" t="s">
        <v>1996</v>
      </c>
      <c r="H44" s="170"/>
    </row>
    <row r="45" spans="1:8">
      <c r="A45" s="192">
        <v>44</v>
      </c>
      <c r="B45" s="320">
        <v>46054</v>
      </c>
      <c r="C45" s="338" t="s">
        <v>1776</v>
      </c>
      <c r="D45" s="321" t="s">
        <v>962</v>
      </c>
      <c r="E45" s="322" t="s">
        <v>1759</v>
      </c>
      <c r="F45" s="321" t="s">
        <v>232</v>
      </c>
      <c r="G45" s="195" t="s">
        <v>2011</v>
      </c>
      <c r="H45" s="339" t="s">
        <v>2053</v>
      </c>
    </row>
    <row r="46" spans="1:8">
      <c r="A46" s="192">
        <v>45</v>
      </c>
      <c r="B46" s="118">
        <v>46054</v>
      </c>
      <c r="C46" s="198" t="s">
        <v>1760</v>
      </c>
      <c r="D46" s="120" t="s">
        <v>1761</v>
      </c>
      <c r="E46" s="127" t="s">
        <v>1305</v>
      </c>
      <c r="F46" s="120" t="s">
        <v>232</v>
      </c>
      <c r="G46" s="195" t="s">
        <v>1996</v>
      </c>
      <c r="H46" s="127"/>
    </row>
    <row r="47" spans="1:8">
      <c r="A47" s="192">
        <v>46</v>
      </c>
      <c r="B47" s="118">
        <v>46143</v>
      </c>
      <c r="C47" s="200" t="s">
        <v>1763</v>
      </c>
      <c r="D47" s="139" t="s">
        <v>1764</v>
      </c>
      <c r="E47" s="127" t="s">
        <v>1309</v>
      </c>
      <c r="F47" s="120" t="s">
        <v>232</v>
      </c>
      <c r="G47" s="195" t="s">
        <v>1996</v>
      </c>
      <c r="H47" s="127"/>
    </row>
    <row r="48" spans="1:8">
      <c r="A48" s="192">
        <v>47</v>
      </c>
      <c r="B48" s="118">
        <v>46143</v>
      </c>
      <c r="C48" s="200" t="s">
        <v>1783</v>
      </c>
      <c r="D48" s="139" t="s">
        <v>1784</v>
      </c>
      <c r="E48" s="127" t="s">
        <v>1309</v>
      </c>
      <c r="F48" s="120" t="s">
        <v>232</v>
      </c>
      <c r="G48" s="195" t="s">
        <v>2011</v>
      </c>
      <c r="H48" s="127"/>
    </row>
    <row r="49" spans="1:8">
      <c r="A49" s="192">
        <v>48</v>
      </c>
      <c r="B49" s="118">
        <v>46083</v>
      </c>
      <c r="C49" s="201" t="s">
        <v>1777</v>
      </c>
      <c r="D49" s="150" t="s">
        <v>888</v>
      </c>
      <c r="E49" s="117" t="s">
        <v>1225</v>
      </c>
      <c r="F49" s="120" t="s">
        <v>232</v>
      </c>
      <c r="G49" s="195" t="s">
        <v>2011</v>
      </c>
      <c r="H49" s="127"/>
    </row>
    <row r="50" spans="1:8">
      <c r="A50" s="192">
        <v>49</v>
      </c>
      <c r="B50" s="118">
        <v>45965</v>
      </c>
      <c r="C50" s="201" t="s">
        <v>1762</v>
      </c>
      <c r="D50" s="202" t="s">
        <v>235</v>
      </c>
      <c r="E50" s="127" t="s">
        <v>1225</v>
      </c>
      <c r="F50" s="120" t="s">
        <v>232</v>
      </c>
      <c r="G50" s="195" t="s">
        <v>2011</v>
      </c>
      <c r="H50" s="127"/>
    </row>
    <row r="51" spans="1:8">
      <c r="A51" s="192">
        <v>50</v>
      </c>
      <c r="B51" s="118">
        <v>45988</v>
      </c>
      <c r="C51" s="201" t="s">
        <v>1781</v>
      </c>
      <c r="D51" s="202" t="s">
        <v>1782</v>
      </c>
      <c r="E51" s="127" t="s">
        <v>1225</v>
      </c>
      <c r="F51" s="120" t="s">
        <v>232</v>
      </c>
      <c r="G51" s="195" t="s">
        <v>2011</v>
      </c>
      <c r="H51" s="127"/>
    </row>
    <row r="52" spans="1:8">
      <c r="A52" s="192">
        <v>51</v>
      </c>
      <c r="B52" s="118">
        <v>46083</v>
      </c>
      <c r="C52" s="201" t="s">
        <v>1793</v>
      </c>
      <c r="D52" s="202" t="s">
        <v>1794</v>
      </c>
      <c r="E52" s="127" t="s">
        <v>1225</v>
      </c>
      <c r="F52" s="120" t="s">
        <v>232</v>
      </c>
      <c r="G52" s="195" t="s">
        <v>2011</v>
      </c>
      <c r="H52" s="127"/>
    </row>
    <row r="53" spans="1:8">
      <c r="A53" s="192">
        <v>52</v>
      </c>
      <c r="B53" s="118">
        <v>46090</v>
      </c>
      <c r="C53" s="201" t="s">
        <v>1765</v>
      </c>
      <c r="D53" s="202" t="s">
        <v>699</v>
      </c>
      <c r="E53" s="127" t="s">
        <v>1225</v>
      </c>
      <c r="F53" s="120" t="s">
        <v>232</v>
      </c>
      <c r="G53" s="195" t="s">
        <v>1996</v>
      </c>
      <c r="H53" s="127"/>
    </row>
    <row r="54" spans="1:8">
      <c r="A54" s="192">
        <v>53</v>
      </c>
      <c r="B54" s="118">
        <v>46092</v>
      </c>
      <c r="C54" s="201" t="s">
        <v>1785</v>
      </c>
      <c r="D54" s="202" t="s">
        <v>1786</v>
      </c>
      <c r="E54" s="127" t="s">
        <v>1225</v>
      </c>
      <c r="F54" s="120" t="s">
        <v>232</v>
      </c>
      <c r="G54" s="195" t="s">
        <v>2011</v>
      </c>
      <c r="H54" s="127"/>
    </row>
    <row r="55" spans="1:8">
      <c r="A55" s="192">
        <v>54</v>
      </c>
      <c r="B55" s="118">
        <v>46098</v>
      </c>
      <c r="C55" s="201" t="s">
        <v>1766</v>
      </c>
      <c r="D55" s="202" t="s">
        <v>1767</v>
      </c>
      <c r="E55" s="127" t="s">
        <v>1225</v>
      </c>
      <c r="F55" s="120" t="s">
        <v>232</v>
      </c>
      <c r="G55" s="195" t="s">
        <v>1996</v>
      </c>
      <c r="H55" s="127"/>
    </row>
    <row r="56" spans="1:8">
      <c r="A56" s="192">
        <v>55</v>
      </c>
      <c r="B56" s="145">
        <v>46090</v>
      </c>
      <c r="C56" s="201" t="s">
        <v>1812</v>
      </c>
      <c r="D56" s="150" t="s">
        <v>965</v>
      </c>
      <c r="E56" s="121" t="s">
        <v>1225</v>
      </c>
      <c r="F56" s="120" t="s">
        <v>232</v>
      </c>
      <c r="G56" s="195" t="s">
        <v>2011</v>
      </c>
      <c r="H56" s="170"/>
    </row>
    <row r="57" spans="1:8">
      <c r="A57" s="192">
        <v>56</v>
      </c>
      <c r="B57" s="145">
        <v>45903</v>
      </c>
      <c r="C57" s="201" t="s">
        <v>1806</v>
      </c>
      <c r="D57" s="150" t="s">
        <v>1807</v>
      </c>
      <c r="E57" s="121" t="s">
        <v>1225</v>
      </c>
      <c r="F57" s="120" t="s">
        <v>232</v>
      </c>
      <c r="G57" s="195" t="s">
        <v>2011</v>
      </c>
      <c r="H57" s="170"/>
    </row>
    <row r="58" spans="1:8">
      <c r="A58" s="192">
        <v>57</v>
      </c>
      <c r="B58" s="118">
        <v>46083</v>
      </c>
      <c r="C58" s="201" t="s">
        <v>1879</v>
      </c>
      <c r="D58" s="150" t="s">
        <v>1880</v>
      </c>
      <c r="E58" s="117" t="s">
        <v>1225</v>
      </c>
      <c r="F58" s="120" t="s">
        <v>232</v>
      </c>
      <c r="G58" s="195" t="s">
        <v>2011</v>
      </c>
      <c r="H58" s="127"/>
    </row>
    <row r="59" spans="1:8">
      <c r="A59" s="192">
        <v>58</v>
      </c>
      <c r="B59" s="118">
        <v>45985</v>
      </c>
      <c r="C59" s="201" t="s">
        <v>1877</v>
      </c>
      <c r="D59" s="202" t="s">
        <v>1878</v>
      </c>
      <c r="E59" s="127" t="s">
        <v>1225</v>
      </c>
      <c r="F59" s="120" t="s">
        <v>232</v>
      </c>
      <c r="G59" s="195" t="s">
        <v>1996</v>
      </c>
      <c r="H59" s="127"/>
    </row>
    <row r="60" spans="1:8">
      <c r="A60" s="192">
        <v>59</v>
      </c>
      <c r="B60" s="173">
        <v>41886</v>
      </c>
      <c r="C60" s="206" t="s">
        <v>121</v>
      </c>
      <c r="D60" s="207" t="s">
        <v>122</v>
      </c>
      <c r="E60" s="176" t="s">
        <v>1297</v>
      </c>
      <c r="F60" s="175" t="s">
        <v>225</v>
      </c>
      <c r="G60" s="195" t="s">
        <v>1996</v>
      </c>
      <c r="H60" s="126"/>
    </row>
    <row r="61" spans="1:8">
      <c r="A61" s="192">
        <v>60</v>
      </c>
      <c r="B61" s="145">
        <v>45717</v>
      </c>
      <c r="C61" s="200" t="s">
        <v>1795</v>
      </c>
      <c r="D61" s="120" t="s">
        <v>769</v>
      </c>
      <c r="E61" s="121" t="s">
        <v>1796</v>
      </c>
      <c r="F61" s="120" t="s">
        <v>225</v>
      </c>
      <c r="G61" s="195" t="s">
        <v>2011</v>
      </c>
      <c r="H61" s="126"/>
    </row>
    <row r="62" spans="1:8">
      <c r="A62" s="192">
        <v>61</v>
      </c>
      <c r="B62" s="118">
        <v>40717</v>
      </c>
      <c r="C62" s="200" t="s">
        <v>223</v>
      </c>
      <c r="D62" s="120" t="s">
        <v>224</v>
      </c>
      <c r="E62" s="121" t="s">
        <v>1796</v>
      </c>
      <c r="F62" s="120" t="s">
        <v>225</v>
      </c>
      <c r="G62" s="195" t="s">
        <v>1996</v>
      </c>
      <c r="H62" s="126"/>
    </row>
    <row r="63" spans="1:8">
      <c r="A63" s="192">
        <v>62</v>
      </c>
      <c r="B63" s="118">
        <v>44652</v>
      </c>
      <c r="C63" s="200" t="s">
        <v>226</v>
      </c>
      <c r="D63" s="120" t="s">
        <v>227</v>
      </c>
      <c r="E63" s="117" t="s">
        <v>1798</v>
      </c>
      <c r="F63" s="120" t="s">
        <v>225</v>
      </c>
      <c r="G63" s="195" t="s">
        <v>1996</v>
      </c>
      <c r="H63" s="126"/>
    </row>
    <row r="64" spans="1:8">
      <c r="A64" s="192">
        <v>63</v>
      </c>
      <c r="B64" s="118">
        <v>43222</v>
      </c>
      <c r="C64" s="204" t="s">
        <v>706</v>
      </c>
      <c r="D64" s="120" t="s">
        <v>707</v>
      </c>
      <c r="E64" s="121" t="s">
        <v>1780</v>
      </c>
      <c r="F64" s="120" t="s">
        <v>225</v>
      </c>
      <c r="G64" s="195" t="s">
        <v>1996</v>
      </c>
      <c r="H64" s="127"/>
    </row>
    <row r="65" spans="1:8">
      <c r="A65" s="192">
        <v>64</v>
      </c>
      <c r="B65" s="118">
        <v>40262</v>
      </c>
      <c r="C65" s="200" t="s">
        <v>241</v>
      </c>
      <c r="D65" s="268" t="s">
        <v>242</v>
      </c>
      <c r="E65" s="117" t="s">
        <v>1799</v>
      </c>
      <c r="F65" s="120" t="s">
        <v>225</v>
      </c>
      <c r="G65" s="195" t="s">
        <v>2011</v>
      </c>
      <c r="H65" s="127"/>
    </row>
    <row r="66" spans="1:8">
      <c r="A66" s="192">
        <v>65</v>
      </c>
      <c r="B66" s="118">
        <v>45962</v>
      </c>
      <c r="C66" s="200" t="s">
        <v>1800</v>
      </c>
      <c r="D66" s="120" t="s">
        <v>1801</v>
      </c>
      <c r="E66" s="117" t="s">
        <v>1796</v>
      </c>
      <c r="F66" s="120" t="s">
        <v>225</v>
      </c>
      <c r="G66" s="195" t="s">
        <v>2011</v>
      </c>
      <c r="H66" s="127"/>
    </row>
    <row r="67" spans="1:8">
      <c r="A67" s="192">
        <v>66</v>
      </c>
      <c r="B67" s="118">
        <v>46054</v>
      </c>
      <c r="C67" s="198" t="s">
        <v>1791</v>
      </c>
      <c r="D67" s="139" t="s">
        <v>1792</v>
      </c>
      <c r="E67" s="127" t="s">
        <v>1799</v>
      </c>
      <c r="F67" s="120" t="s">
        <v>225</v>
      </c>
      <c r="G67" s="195" t="s">
        <v>1996</v>
      </c>
      <c r="H67" s="127"/>
    </row>
    <row r="68" spans="1:8">
      <c r="A68" s="192">
        <v>67</v>
      </c>
      <c r="B68" s="118">
        <v>46143</v>
      </c>
      <c r="C68" s="200" t="s">
        <v>1802</v>
      </c>
      <c r="D68" s="120" t="s">
        <v>1803</v>
      </c>
      <c r="E68" s="127" t="s">
        <v>1423</v>
      </c>
      <c r="F68" s="120" t="s">
        <v>225</v>
      </c>
      <c r="G68" s="195" t="s">
        <v>2011</v>
      </c>
      <c r="H68" s="170"/>
    </row>
    <row r="69" spans="1:8">
      <c r="A69" s="192">
        <v>68</v>
      </c>
      <c r="B69" s="118">
        <v>46143</v>
      </c>
      <c r="C69" s="200" t="s">
        <v>1778</v>
      </c>
      <c r="D69" s="139" t="s">
        <v>1779</v>
      </c>
      <c r="E69" s="127" t="s">
        <v>1780</v>
      </c>
      <c r="F69" s="120" t="s">
        <v>225</v>
      </c>
      <c r="G69" s="195" t="s">
        <v>2011</v>
      </c>
      <c r="H69" s="127"/>
    </row>
    <row r="70" spans="1:8">
      <c r="A70" s="192">
        <v>69</v>
      </c>
      <c r="B70" s="145">
        <v>45876</v>
      </c>
      <c r="C70" s="201" t="s">
        <v>1804</v>
      </c>
      <c r="D70" s="150" t="s">
        <v>1805</v>
      </c>
      <c r="E70" s="121" t="s">
        <v>1225</v>
      </c>
      <c r="F70" s="120" t="s">
        <v>225</v>
      </c>
      <c r="G70" s="195" t="s">
        <v>2011</v>
      </c>
      <c r="H70" s="170"/>
    </row>
    <row r="71" spans="1:8">
      <c r="A71" s="192">
        <v>70</v>
      </c>
      <c r="B71" s="145">
        <v>45910</v>
      </c>
      <c r="C71" s="201" t="s">
        <v>1808</v>
      </c>
      <c r="D71" s="150" t="s">
        <v>1809</v>
      </c>
      <c r="E71" s="121" t="s">
        <v>1225</v>
      </c>
      <c r="F71" s="120" t="s">
        <v>225</v>
      </c>
      <c r="G71" s="195" t="s">
        <v>1996</v>
      </c>
      <c r="H71" s="170"/>
    </row>
    <row r="72" spans="1:8">
      <c r="A72" s="192">
        <v>71</v>
      </c>
      <c r="B72" s="145">
        <v>46084</v>
      </c>
      <c r="C72" s="201" t="s">
        <v>1810</v>
      </c>
      <c r="D72" s="150" t="s">
        <v>1811</v>
      </c>
      <c r="E72" s="121" t="s">
        <v>1225</v>
      </c>
      <c r="F72" s="120" t="s">
        <v>225</v>
      </c>
      <c r="G72" s="195" t="s">
        <v>1996</v>
      </c>
      <c r="H72" s="170"/>
    </row>
    <row r="73" spans="1:8">
      <c r="A73" s="192">
        <v>72</v>
      </c>
      <c r="B73" s="118">
        <v>46113</v>
      </c>
      <c r="C73" s="201" t="s">
        <v>1770</v>
      </c>
      <c r="D73" s="202" t="s">
        <v>1771</v>
      </c>
      <c r="E73" s="127" t="s">
        <v>1225</v>
      </c>
      <c r="F73" s="120" t="s">
        <v>225</v>
      </c>
      <c r="G73" s="195" t="s">
        <v>1996</v>
      </c>
      <c r="H73" s="127"/>
    </row>
    <row r="74" spans="1:8">
      <c r="A74" s="192">
        <v>73</v>
      </c>
      <c r="B74" s="118">
        <v>46098</v>
      </c>
      <c r="C74" s="201" t="s">
        <v>1768</v>
      </c>
      <c r="D74" s="202" t="s">
        <v>1769</v>
      </c>
      <c r="E74" s="127" t="s">
        <v>1225</v>
      </c>
      <c r="F74" s="120" t="s">
        <v>225</v>
      </c>
      <c r="G74" s="195" t="s">
        <v>1996</v>
      </c>
      <c r="H74" s="127"/>
    </row>
    <row r="75" spans="1:8">
      <c r="A75" s="192">
        <v>74</v>
      </c>
      <c r="B75" s="118">
        <v>46097</v>
      </c>
      <c r="C75" s="201" t="s">
        <v>1787</v>
      </c>
      <c r="D75" s="202" t="s">
        <v>1788</v>
      </c>
      <c r="E75" s="127" t="s">
        <v>1225</v>
      </c>
      <c r="F75" s="120" t="s">
        <v>225</v>
      </c>
      <c r="G75" s="195" t="s">
        <v>2011</v>
      </c>
      <c r="H75" s="127"/>
    </row>
    <row r="76" spans="1:8">
      <c r="A76" s="192">
        <v>75</v>
      </c>
      <c r="B76" s="118">
        <v>42095</v>
      </c>
      <c r="C76" s="193" t="s">
        <v>245</v>
      </c>
      <c r="D76" s="136" t="s">
        <v>246</v>
      </c>
      <c r="E76" s="158" t="s">
        <v>1292</v>
      </c>
      <c r="F76" s="136" t="s">
        <v>120</v>
      </c>
      <c r="G76" s="195" t="s">
        <v>1996</v>
      </c>
      <c r="H76" s="129"/>
    </row>
    <row r="77" spans="1:8">
      <c r="A77" s="192">
        <v>76</v>
      </c>
      <c r="B77" s="118">
        <v>40947</v>
      </c>
      <c r="C77" s="193" t="s">
        <v>1825</v>
      </c>
      <c r="D77" s="136" t="s">
        <v>1826</v>
      </c>
      <c r="E77" s="158" t="s">
        <v>1292</v>
      </c>
      <c r="F77" s="136" t="s">
        <v>120</v>
      </c>
      <c r="G77" s="195" t="s">
        <v>2011</v>
      </c>
      <c r="H77" s="129"/>
    </row>
    <row r="78" spans="1:8">
      <c r="A78" s="192">
        <v>77</v>
      </c>
      <c r="B78" s="118">
        <v>42095</v>
      </c>
      <c r="C78" s="200" t="s">
        <v>253</v>
      </c>
      <c r="D78" s="120" t="s">
        <v>254</v>
      </c>
      <c r="E78" s="121" t="s">
        <v>1297</v>
      </c>
      <c r="F78" s="139" t="s">
        <v>120</v>
      </c>
      <c r="G78" s="195" t="s">
        <v>1996</v>
      </c>
      <c r="H78" s="171" t="s">
        <v>2033</v>
      </c>
    </row>
    <row r="79" spans="1:8">
      <c r="A79" s="192">
        <v>78</v>
      </c>
      <c r="B79" s="118">
        <v>43252</v>
      </c>
      <c r="C79" s="200" t="s">
        <v>247</v>
      </c>
      <c r="D79" s="120" t="s">
        <v>248</v>
      </c>
      <c r="E79" s="314" t="s">
        <v>1683</v>
      </c>
      <c r="F79" s="120" t="s">
        <v>120</v>
      </c>
      <c r="G79" s="195" t="s">
        <v>2011</v>
      </c>
      <c r="H79" s="126" t="s">
        <v>2017</v>
      </c>
    </row>
    <row r="80" spans="1:8">
      <c r="A80" s="192">
        <v>79</v>
      </c>
      <c r="B80" s="118">
        <v>45536</v>
      </c>
      <c r="C80" s="204" t="s">
        <v>1827</v>
      </c>
      <c r="D80" s="120" t="s">
        <v>1828</v>
      </c>
      <c r="E80" s="117" t="s">
        <v>1814</v>
      </c>
      <c r="F80" s="120" t="s">
        <v>120</v>
      </c>
      <c r="G80" s="195" t="s">
        <v>2011</v>
      </c>
      <c r="H80" s="127"/>
    </row>
    <row r="81" spans="1:8">
      <c r="A81" s="192">
        <v>80</v>
      </c>
      <c r="B81" s="145">
        <v>45689</v>
      </c>
      <c r="C81" s="200" t="s">
        <v>1813</v>
      </c>
      <c r="D81" s="139" t="s">
        <v>813</v>
      </c>
      <c r="E81" s="117" t="s">
        <v>1655</v>
      </c>
      <c r="F81" s="120" t="s">
        <v>120</v>
      </c>
      <c r="G81" s="195" t="s">
        <v>1996</v>
      </c>
      <c r="H81" s="127"/>
    </row>
    <row r="82" spans="1:8">
      <c r="A82" s="192">
        <v>81</v>
      </c>
      <c r="B82" s="145">
        <v>45717</v>
      </c>
      <c r="C82" s="200" t="s">
        <v>1829</v>
      </c>
      <c r="D82" s="120" t="s">
        <v>807</v>
      </c>
      <c r="E82" s="121" t="s">
        <v>1655</v>
      </c>
      <c r="F82" s="120" t="s">
        <v>120</v>
      </c>
      <c r="G82" s="195" t="s">
        <v>2011</v>
      </c>
      <c r="H82" s="127"/>
    </row>
    <row r="83" spans="1:8">
      <c r="A83" s="192">
        <v>82</v>
      </c>
      <c r="B83" s="145">
        <v>40639</v>
      </c>
      <c r="C83" s="200" t="s">
        <v>817</v>
      </c>
      <c r="D83" s="120" t="s">
        <v>818</v>
      </c>
      <c r="E83" s="121" t="s">
        <v>1814</v>
      </c>
      <c r="F83" s="120" t="s">
        <v>120</v>
      </c>
      <c r="G83" s="195" t="s">
        <v>1996</v>
      </c>
      <c r="H83" s="127"/>
    </row>
    <row r="84" spans="1:8">
      <c r="A84" s="192">
        <v>83</v>
      </c>
      <c r="B84" s="118">
        <v>45778</v>
      </c>
      <c r="C84" s="200" t="s">
        <v>1815</v>
      </c>
      <c r="D84" s="139" t="s">
        <v>812</v>
      </c>
      <c r="E84" s="121" t="s">
        <v>1650</v>
      </c>
      <c r="F84" s="120" t="s">
        <v>120</v>
      </c>
      <c r="G84" s="195" t="s">
        <v>1996</v>
      </c>
      <c r="H84" s="127"/>
    </row>
    <row r="85" spans="1:8">
      <c r="A85" s="192">
        <v>84</v>
      </c>
      <c r="B85" s="118">
        <v>45323</v>
      </c>
      <c r="C85" s="200" t="s">
        <v>251</v>
      </c>
      <c r="D85" s="120" t="s">
        <v>252</v>
      </c>
      <c r="E85" s="203" t="s">
        <v>1650</v>
      </c>
      <c r="F85" s="120" t="s">
        <v>120</v>
      </c>
      <c r="G85" s="195" t="s">
        <v>2011</v>
      </c>
      <c r="H85" s="127" t="s">
        <v>2016</v>
      </c>
    </row>
    <row r="86" spans="1:8">
      <c r="A86" s="192">
        <v>85</v>
      </c>
      <c r="B86" s="118">
        <v>45839</v>
      </c>
      <c r="C86" s="204" t="s">
        <v>1816</v>
      </c>
      <c r="D86" s="120" t="s">
        <v>814</v>
      </c>
      <c r="E86" s="117" t="s">
        <v>1814</v>
      </c>
      <c r="F86" s="120" t="s">
        <v>120</v>
      </c>
      <c r="G86" s="195" t="s">
        <v>1996</v>
      </c>
      <c r="H86" s="127"/>
    </row>
    <row r="87" spans="1:8">
      <c r="A87" s="192">
        <v>86</v>
      </c>
      <c r="B87" s="118">
        <v>45839</v>
      </c>
      <c r="C87" s="204" t="s">
        <v>866</v>
      </c>
      <c r="D87" s="120" t="s">
        <v>867</v>
      </c>
      <c r="E87" s="117" t="s">
        <v>1655</v>
      </c>
      <c r="F87" s="120" t="s">
        <v>120</v>
      </c>
      <c r="G87" s="195" t="s">
        <v>2011</v>
      </c>
      <c r="H87" s="127"/>
    </row>
    <row r="88" spans="1:8">
      <c r="A88" s="192">
        <v>87</v>
      </c>
      <c r="B88" s="118">
        <v>45901</v>
      </c>
      <c r="C88" s="200" t="s">
        <v>990</v>
      </c>
      <c r="D88" s="120" t="s">
        <v>991</v>
      </c>
      <c r="E88" s="127" t="s">
        <v>1655</v>
      </c>
      <c r="F88" s="120" t="s">
        <v>120</v>
      </c>
      <c r="G88" s="195" t="s">
        <v>1996</v>
      </c>
      <c r="H88" s="127"/>
    </row>
    <row r="89" spans="1:8">
      <c r="A89" s="192">
        <v>88</v>
      </c>
      <c r="B89" s="118">
        <v>45931</v>
      </c>
      <c r="C89" s="200" t="s">
        <v>864</v>
      </c>
      <c r="D89" s="120" t="s">
        <v>865</v>
      </c>
      <c r="E89" s="121" t="s">
        <v>1655</v>
      </c>
      <c r="F89" s="120" t="s">
        <v>120</v>
      </c>
      <c r="G89" s="195" t="s">
        <v>1996</v>
      </c>
      <c r="H89" s="127"/>
    </row>
    <row r="90" spans="1:8">
      <c r="A90" s="192">
        <v>89</v>
      </c>
      <c r="B90" s="118">
        <v>45931</v>
      </c>
      <c r="C90" s="200" t="s">
        <v>1830</v>
      </c>
      <c r="D90" s="120" t="s">
        <v>1831</v>
      </c>
      <c r="E90" s="121" t="s">
        <v>1814</v>
      </c>
      <c r="F90" s="120" t="s">
        <v>120</v>
      </c>
      <c r="G90" s="195" t="s">
        <v>2011</v>
      </c>
      <c r="H90" s="127"/>
    </row>
    <row r="91" spans="1:8">
      <c r="A91" s="192">
        <v>90</v>
      </c>
      <c r="B91" s="118">
        <v>45962</v>
      </c>
      <c r="C91" s="200" t="s">
        <v>1849</v>
      </c>
      <c r="D91" s="120" t="s">
        <v>968</v>
      </c>
      <c r="E91" s="314" t="s">
        <v>1650</v>
      </c>
      <c r="F91" s="120" t="s">
        <v>120</v>
      </c>
      <c r="G91" s="195" t="s">
        <v>2011</v>
      </c>
      <c r="H91" s="126" t="s">
        <v>2017</v>
      </c>
    </row>
    <row r="92" spans="1:8">
      <c r="A92" s="192">
        <v>91</v>
      </c>
      <c r="B92" s="118">
        <v>45992</v>
      </c>
      <c r="C92" s="200" t="s">
        <v>1832</v>
      </c>
      <c r="D92" s="120" t="s">
        <v>1833</v>
      </c>
      <c r="E92" s="117" t="s">
        <v>1814</v>
      </c>
      <c r="F92" s="120" t="s">
        <v>120</v>
      </c>
      <c r="G92" s="195" t="s">
        <v>2011</v>
      </c>
      <c r="H92" s="127"/>
    </row>
    <row r="93" spans="1:8">
      <c r="A93" s="192">
        <v>92</v>
      </c>
      <c r="B93" s="118">
        <v>44378</v>
      </c>
      <c r="C93" s="200" t="s">
        <v>1817</v>
      </c>
      <c r="D93" s="120" t="s">
        <v>1818</v>
      </c>
      <c r="E93" s="117" t="s">
        <v>1655</v>
      </c>
      <c r="F93" s="120" t="s">
        <v>120</v>
      </c>
      <c r="G93" s="195" t="s">
        <v>1996</v>
      </c>
      <c r="H93" s="209"/>
    </row>
    <row r="94" spans="1:8">
      <c r="A94" s="192">
        <v>93</v>
      </c>
      <c r="B94" s="118">
        <v>46023</v>
      </c>
      <c r="C94" s="200" t="s">
        <v>1819</v>
      </c>
      <c r="D94" s="126" t="s">
        <v>1820</v>
      </c>
      <c r="E94" s="121" t="s">
        <v>1814</v>
      </c>
      <c r="F94" s="120" t="s">
        <v>120</v>
      </c>
      <c r="G94" s="195" t="s">
        <v>1996</v>
      </c>
      <c r="H94" s="127"/>
    </row>
    <row r="95" spans="1:8">
      <c r="A95" s="192">
        <v>94</v>
      </c>
      <c r="B95" s="118">
        <v>46023</v>
      </c>
      <c r="C95" s="200" t="s">
        <v>1834</v>
      </c>
      <c r="D95" s="120" t="s">
        <v>1835</v>
      </c>
      <c r="E95" s="121" t="s">
        <v>1661</v>
      </c>
      <c r="F95" s="120" t="s">
        <v>120</v>
      </c>
      <c r="G95" s="195" t="s">
        <v>2011</v>
      </c>
      <c r="H95" s="170"/>
    </row>
    <row r="96" spans="1:8">
      <c r="A96" s="192">
        <v>95</v>
      </c>
      <c r="B96" s="118">
        <v>46054</v>
      </c>
      <c r="C96" s="198" t="s">
        <v>1847</v>
      </c>
      <c r="D96" s="126" t="s">
        <v>1848</v>
      </c>
      <c r="E96" s="127" t="s">
        <v>1661</v>
      </c>
      <c r="F96" s="120" t="s">
        <v>120</v>
      </c>
      <c r="G96" s="195" t="s">
        <v>2006</v>
      </c>
      <c r="H96" s="127"/>
    </row>
    <row r="97" spans="1:8">
      <c r="A97" s="192">
        <v>96</v>
      </c>
      <c r="B97" s="118">
        <v>46113</v>
      </c>
      <c r="C97" s="200" t="s">
        <v>1836</v>
      </c>
      <c r="D97" s="120" t="s">
        <v>975</v>
      </c>
      <c r="E97" s="121" t="s">
        <v>1655</v>
      </c>
      <c r="F97" s="120" t="s">
        <v>120</v>
      </c>
      <c r="G97" s="195" t="s">
        <v>2011</v>
      </c>
      <c r="H97" s="127"/>
    </row>
    <row r="98" spans="1:8">
      <c r="A98" s="192">
        <v>97</v>
      </c>
      <c r="B98" s="118">
        <v>44378</v>
      </c>
      <c r="C98" s="200" t="s">
        <v>597</v>
      </c>
      <c r="D98" s="139" t="s">
        <v>598</v>
      </c>
      <c r="E98" s="121" t="s">
        <v>1655</v>
      </c>
      <c r="F98" s="120" t="s">
        <v>120</v>
      </c>
      <c r="G98" s="195" t="s">
        <v>1996</v>
      </c>
      <c r="H98" s="127"/>
    </row>
    <row r="99" spans="1:8">
      <c r="A99" s="192">
        <v>98</v>
      </c>
      <c r="B99" s="118">
        <v>46143</v>
      </c>
      <c r="C99" s="200" t="s">
        <v>1843</v>
      </c>
      <c r="D99" s="139" t="s">
        <v>1844</v>
      </c>
      <c r="E99" s="127" t="s">
        <v>1661</v>
      </c>
      <c r="F99" s="120" t="s">
        <v>120</v>
      </c>
      <c r="G99" s="195" t="s">
        <v>2011</v>
      </c>
      <c r="H99" s="127"/>
    </row>
    <row r="100" spans="1:8">
      <c r="A100" s="192">
        <v>99</v>
      </c>
      <c r="B100" s="145">
        <v>45903</v>
      </c>
      <c r="C100" s="208" t="s">
        <v>1837</v>
      </c>
      <c r="D100" s="153" t="s">
        <v>1838</v>
      </c>
      <c r="E100" s="127" t="s">
        <v>1225</v>
      </c>
      <c r="F100" s="120" t="s">
        <v>120</v>
      </c>
      <c r="G100" s="195" t="s">
        <v>2011</v>
      </c>
      <c r="H100" s="127"/>
    </row>
    <row r="101" spans="1:8">
      <c r="A101" s="192">
        <v>100</v>
      </c>
      <c r="B101" s="145">
        <v>45910</v>
      </c>
      <c r="C101" s="208" t="s">
        <v>1840</v>
      </c>
      <c r="D101" s="153" t="s">
        <v>450</v>
      </c>
      <c r="E101" s="127" t="s">
        <v>1225</v>
      </c>
      <c r="F101" s="120" t="s">
        <v>120</v>
      </c>
      <c r="G101" s="195" t="s">
        <v>2011</v>
      </c>
      <c r="H101" s="127"/>
    </row>
    <row r="102" spans="1:8">
      <c r="A102" s="192">
        <v>101</v>
      </c>
      <c r="B102" s="145">
        <v>45915</v>
      </c>
      <c r="C102" s="201" t="s">
        <v>1841</v>
      </c>
      <c r="D102" s="150" t="s">
        <v>478</v>
      </c>
      <c r="E102" s="121" t="s">
        <v>1225</v>
      </c>
      <c r="F102" s="120" t="s">
        <v>120</v>
      </c>
      <c r="G102" s="267" t="s">
        <v>1996</v>
      </c>
      <c r="H102" s="171" t="s">
        <v>2054</v>
      </c>
    </row>
    <row r="103" spans="1:8">
      <c r="A103" s="192">
        <v>102</v>
      </c>
      <c r="B103" s="118">
        <v>45974</v>
      </c>
      <c r="C103" s="201" t="s">
        <v>1845</v>
      </c>
      <c r="D103" s="202" t="s">
        <v>1846</v>
      </c>
      <c r="E103" s="127" t="s">
        <v>1225</v>
      </c>
      <c r="F103" s="120" t="s">
        <v>120</v>
      </c>
      <c r="G103" s="195" t="s">
        <v>2011</v>
      </c>
      <c r="H103" s="127"/>
    </row>
    <row r="104" spans="1:8">
      <c r="A104" s="192">
        <v>103</v>
      </c>
      <c r="B104" s="118">
        <v>46084</v>
      </c>
      <c r="C104" s="201" t="s">
        <v>1821</v>
      </c>
      <c r="D104" s="202" t="s">
        <v>1822</v>
      </c>
      <c r="E104" s="127" t="s">
        <v>1225</v>
      </c>
      <c r="F104" s="120" t="s">
        <v>120</v>
      </c>
      <c r="G104" s="195" t="s">
        <v>1996</v>
      </c>
      <c r="H104" s="127"/>
    </row>
    <row r="105" spans="1:8">
      <c r="A105" s="192">
        <v>104</v>
      </c>
      <c r="B105" s="118">
        <v>46112</v>
      </c>
      <c r="C105" s="201" t="s">
        <v>1823</v>
      </c>
      <c r="D105" s="202" t="s">
        <v>1824</v>
      </c>
      <c r="E105" s="127" t="s">
        <v>1225</v>
      </c>
      <c r="F105" s="120" t="s">
        <v>120</v>
      </c>
      <c r="G105" s="195" t="s">
        <v>1996</v>
      </c>
      <c r="H105" s="127"/>
    </row>
    <row r="106" spans="1:8">
      <c r="A106" s="192">
        <v>105</v>
      </c>
      <c r="B106" s="118">
        <v>46114</v>
      </c>
      <c r="C106" s="201" t="s">
        <v>1850</v>
      </c>
      <c r="D106" s="202" t="s">
        <v>1851</v>
      </c>
      <c r="E106" s="127" t="s">
        <v>1225</v>
      </c>
      <c r="F106" s="120" t="s">
        <v>120</v>
      </c>
      <c r="G106" s="195" t="s">
        <v>1996</v>
      </c>
      <c r="H106" s="127"/>
    </row>
    <row r="107" spans="1:8">
      <c r="A107" s="192">
        <v>106</v>
      </c>
      <c r="B107" s="118">
        <v>46135</v>
      </c>
      <c r="C107" s="201" t="s">
        <v>1852</v>
      </c>
      <c r="D107" s="202" t="s">
        <v>1853</v>
      </c>
      <c r="E107" s="127" t="s">
        <v>1225</v>
      </c>
      <c r="F107" s="120" t="s">
        <v>120</v>
      </c>
      <c r="G107" s="195" t="s">
        <v>1996</v>
      </c>
      <c r="H107" s="127"/>
    </row>
    <row r="108" spans="1:8">
      <c r="A108" s="192">
        <v>107</v>
      </c>
      <c r="B108" s="118">
        <v>46135</v>
      </c>
      <c r="C108" s="201" t="s">
        <v>1854</v>
      </c>
      <c r="D108" s="202" t="s">
        <v>906</v>
      </c>
      <c r="E108" s="127" t="s">
        <v>1225</v>
      </c>
      <c r="F108" s="120" t="s">
        <v>120</v>
      </c>
      <c r="G108" s="195" t="s">
        <v>1996</v>
      </c>
      <c r="H108" s="127"/>
    </row>
    <row r="109" spans="1:8">
      <c r="A109" s="192">
        <v>108</v>
      </c>
      <c r="B109" s="118">
        <v>40240</v>
      </c>
      <c r="C109" s="193" t="s">
        <v>577</v>
      </c>
      <c r="D109" s="136" t="s">
        <v>578</v>
      </c>
      <c r="E109" s="158" t="s">
        <v>1292</v>
      </c>
      <c r="F109" s="140" t="s">
        <v>1185</v>
      </c>
      <c r="G109" s="195" t="s">
        <v>2011</v>
      </c>
      <c r="H109" s="126"/>
    </row>
    <row r="110" spans="1:8">
      <c r="A110" s="192">
        <v>109</v>
      </c>
      <c r="B110" s="118">
        <v>42095</v>
      </c>
      <c r="C110" s="193" t="s">
        <v>118</v>
      </c>
      <c r="D110" s="210" t="s">
        <v>1868</v>
      </c>
      <c r="E110" s="158" t="s">
        <v>1292</v>
      </c>
      <c r="F110" s="136" t="s">
        <v>853</v>
      </c>
      <c r="G110" s="195" t="s">
        <v>1996</v>
      </c>
      <c r="H110" s="129"/>
    </row>
    <row r="111" spans="1:8">
      <c r="A111" s="192">
        <v>110</v>
      </c>
      <c r="B111" s="145">
        <v>44743</v>
      </c>
      <c r="C111" s="200" t="s">
        <v>255</v>
      </c>
      <c r="D111" s="126" t="s">
        <v>256</v>
      </c>
      <c r="E111" s="117" t="s">
        <v>1303</v>
      </c>
      <c r="F111" s="139" t="s">
        <v>1185</v>
      </c>
      <c r="G111" s="195" t="s">
        <v>1996</v>
      </c>
      <c r="H111" s="127" t="s">
        <v>2014</v>
      </c>
    </row>
    <row r="112" spans="1:8">
      <c r="A112" s="192">
        <v>111</v>
      </c>
      <c r="B112" s="145">
        <v>45717</v>
      </c>
      <c r="C112" s="200" t="s">
        <v>1856</v>
      </c>
      <c r="D112" s="126" t="s">
        <v>767</v>
      </c>
      <c r="E112" s="314" t="s">
        <v>1303</v>
      </c>
      <c r="F112" s="139" t="s">
        <v>1185</v>
      </c>
      <c r="G112" s="195" t="s">
        <v>1996</v>
      </c>
      <c r="H112" s="126" t="s">
        <v>2017</v>
      </c>
    </row>
    <row r="113" spans="1:8">
      <c r="A113" s="192">
        <v>112</v>
      </c>
      <c r="B113" s="118">
        <v>45748</v>
      </c>
      <c r="C113" s="200" t="s">
        <v>1857</v>
      </c>
      <c r="D113" s="126" t="s">
        <v>766</v>
      </c>
      <c r="E113" s="121" t="s">
        <v>1206</v>
      </c>
      <c r="F113" s="139" t="s">
        <v>1185</v>
      </c>
      <c r="G113" s="195" t="s">
        <v>1996</v>
      </c>
      <c r="H113" s="170"/>
    </row>
    <row r="114" spans="1:8">
      <c r="A114" s="192">
        <v>113</v>
      </c>
      <c r="B114" s="118">
        <v>46143</v>
      </c>
      <c r="C114" s="200" t="s">
        <v>1864</v>
      </c>
      <c r="D114" s="126" t="s">
        <v>1865</v>
      </c>
      <c r="E114" s="127" t="s">
        <v>1296</v>
      </c>
      <c r="F114" s="139" t="s">
        <v>1185</v>
      </c>
      <c r="G114" s="195" t="s">
        <v>2006</v>
      </c>
      <c r="H114" s="127"/>
    </row>
    <row r="115" spans="1:8">
      <c r="A115" s="192">
        <v>114</v>
      </c>
      <c r="B115" s="145">
        <v>46002</v>
      </c>
      <c r="C115" s="201" t="s">
        <v>1860</v>
      </c>
      <c r="D115" s="153" t="s">
        <v>1861</v>
      </c>
      <c r="E115" s="121" t="s">
        <v>1225</v>
      </c>
      <c r="F115" s="139" t="s">
        <v>1185</v>
      </c>
      <c r="G115" s="195" t="s">
        <v>2006</v>
      </c>
      <c r="H115" s="127"/>
    </row>
    <row r="116" spans="1:8">
      <c r="A116" s="192">
        <v>115</v>
      </c>
      <c r="B116" s="145">
        <v>46013</v>
      </c>
      <c r="C116" s="201" t="s">
        <v>1858</v>
      </c>
      <c r="D116" s="153" t="s">
        <v>1859</v>
      </c>
      <c r="E116" s="117" t="s">
        <v>1225</v>
      </c>
      <c r="F116" s="139" t="s">
        <v>1185</v>
      </c>
      <c r="G116" s="195" t="s">
        <v>2011</v>
      </c>
      <c r="H116" s="322"/>
    </row>
    <row r="117" spans="1:8">
      <c r="A117" s="192">
        <v>116</v>
      </c>
      <c r="B117" s="145">
        <v>46080</v>
      </c>
      <c r="C117" s="201" t="s">
        <v>1866</v>
      </c>
      <c r="D117" s="211" t="s">
        <v>1867</v>
      </c>
      <c r="E117" s="127" t="s">
        <v>1225</v>
      </c>
      <c r="F117" s="139" t="s">
        <v>1185</v>
      </c>
      <c r="G117" s="195" t="s">
        <v>1996</v>
      </c>
      <c r="H117" s="127"/>
    </row>
    <row r="118" spans="1:8">
      <c r="A118" s="192">
        <v>117</v>
      </c>
      <c r="B118" s="145">
        <v>46090</v>
      </c>
      <c r="C118" s="201" t="s">
        <v>1862</v>
      </c>
      <c r="D118" s="211" t="s">
        <v>1863</v>
      </c>
      <c r="E118" s="127" t="s">
        <v>1225</v>
      </c>
      <c r="F118" s="139" t="s">
        <v>1185</v>
      </c>
      <c r="G118" s="195" t="s">
        <v>1996</v>
      </c>
      <c r="H118" s="127"/>
    </row>
    <row r="119" spans="1:8">
      <c r="A119" s="192">
        <v>118</v>
      </c>
      <c r="B119" s="145">
        <v>46120</v>
      </c>
      <c r="C119" s="201" t="s">
        <v>1875</v>
      </c>
      <c r="D119" s="150" t="s">
        <v>1876</v>
      </c>
      <c r="E119" s="121" t="s">
        <v>1225</v>
      </c>
      <c r="F119" s="139" t="s">
        <v>1185</v>
      </c>
      <c r="G119" s="195" t="s">
        <v>2011</v>
      </c>
      <c r="H119" s="170"/>
    </row>
    <row r="120" spans="1:8">
      <c r="A120" s="192">
        <v>119</v>
      </c>
      <c r="B120" s="118">
        <v>45992</v>
      </c>
      <c r="C120" s="201" t="s">
        <v>1260</v>
      </c>
      <c r="D120" s="202" t="s">
        <v>1261</v>
      </c>
      <c r="E120" s="127" t="s">
        <v>1225</v>
      </c>
      <c r="F120" s="139" t="s">
        <v>1185</v>
      </c>
      <c r="G120" s="195" t="s">
        <v>1996</v>
      </c>
      <c r="H120" s="127"/>
    </row>
    <row r="121" spans="1:8">
      <c r="A121" s="192">
        <v>120</v>
      </c>
      <c r="B121" s="212">
        <v>45717</v>
      </c>
      <c r="C121" s="206" t="s">
        <v>1000</v>
      </c>
      <c r="D121" s="175" t="s">
        <v>1001</v>
      </c>
      <c r="E121" s="207" t="s">
        <v>1545</v>
      </c>
      <c r="F121" s="175" t="s">
        <v>853</v>
      </c>
      <c r="G121" s="195" t="s">
        <v>1996</v>
      </c>
      <c r="H121" s="127" t="s">
        <v>2016</v>
      </c>
    </row>
    <row r="122" spans="1:8">
      <c r="A122" s="192">
        <v>121</v>
      </c>
      <c r="B122" s="145">
        <v>46085</v>
      </c>
      <c r="C122" s="201" t="s">
        <v>1871</v>
      </c>
      <c r="D122" s="211" t="s">
        <v>1872</v>
      </c>
      <c r="E122" s="127" t="s">
        <v>1225</v>
      </c>
      <c r="F122" s="139" t="s">
        <v>853</v>
      </c>
      <c r="G122" s="195" t="s">
        <v>1996</v>
      </c>
      <c r="H122" s="127"/>
    </row>
    <row r="123" spans="1:8">
      <c r="A123" s="192">
        <v>122</v>
      </c>
      <c r="B123" s="145">
        <v>46098</v>
      </c>
      <c r="C123" s="201" t="s">
        <v>1869</v>
      </c>
      <c r="D123" s="153" t="s">
        <v>1870</v>
      </c>
      <c r="E123" s="121" t="s">
        <v>1225</v>
      </c>
      <c r="F123" s="139" t="s">
        <v>853</v>
      </c>
      <c r="G123" s="195" t="s">
        <v>2011</v>
      </c>
      <c r="H123" s="170"/>
    </row>
    <row r="124" spans="1:8">
      <c r="A124" s="192">
        <v>123</v>
      </c>
      <c r="B124" s="145">
        <v>46098</v>
      </c>
      <c r="C124" s="201" t="s">
        <v>1873</v>
      </c>
      <c r="D124" s="153" t="s">
        <v>1874</v>
      </c>
      <c r="E124" s="121" t="s">
        <v>1225</v>
      </c>
      <c r="F124" s="139" t="s">
        <v>853</v>
      </c>
      <c r="G124" s="195" t="s">
        <v>2011</v>
      </c>
      <c r="H124" s="170"/>
    </row>
    <row r="125" spans="1:8">
      <c r="A125" s="192">
        <v>124</v>
      </c>
      <c r="B125" s="112">
        <v>44805</v>
      </c>
      <c r="C125" s="200" t="s">
        <v>2055</v>
      </c>
      <c r="D125" s="126" t="s">
        <v>2056</v>
      </c>
      <c r="E125" s="120" t="s">
        <v>2057</v>
      </c>
      <c r="F125" s="117" t="s">
        <v>746</v>
      </c>
      <c r="G125" s="195" t="s">
        <v>1996</v>
      </c>
      <c r="H125" s="126"/>
    </row>
    <row r="126" spans="1:8">
      <c r="A126" s="192">
        <v>125</v>
      </c>
      <c r="B126" s="112">
        <v>45937</v>
      </c>
      <c r="C126" s="201" t="s">
        <v>2058</v>
      </c>
      <c r="D126" s="150" t="s">
        <v>2059</v>
      </c>
      <c r="E126" s="120" t="s">
        <v>1225</v>
      </c>
      <c r="F126" s="117" t="s">
        <v>746</v>
      </c>
      <c r="G126" s="195" t="s">
        <v>1996</v>
      </c>
      <c r="H126" s="126"/>
    </row>
    <row r="127" spans="1:8">
      <c r="A127" s="192">
        <v>126</v>
      </c>
      <c r="B127" s="112">
        <v>46077</v>
      </c>
      <c r="C127" s="201" t="s">
        <v>2060</v>
      </c>
      <c r="D127" s="150" t="s">
        <v>2061</v>
      </c>
      <c r="E127" s="120" t="s">
        <v>1225</v>
      </c>
      <c r="F127" s="117" t="s">
        <v>746</v>
      </c>
      <c r="G127" s="195" t="s">
        <v>1996</v>
      </c>
      <c r="H127" s="126"/>
    </row>
    <row r="128" spans="1:8">
      <c r="A128" s="213"/>
      <c r="B128" s="214"/>
      <c r="C128" s="215"/>
      <c r="D128" s="216"/>
      <c r="E128" s="217"/>
      <c r="F128" s="205"/>
      <c r="G128" s="218"/>
      <c r="H128" s="205"/>
    </row>
    <row r="129" spans="1:8">
      <c r="A129" s="213"/>
      <c r="B129" s="214"/>
      <c r="C129" s="215"/>
      <c r="D129" s="216"/>
      <c r="E129" s="217"/>
      <c r="F129" s="205"/>
      <c r="G129" s="218"/>
      <c r="H129" s="205"/>
    </row>
    <row r="130" spans="1:8">
      <c r="A130" s="213"/>
      <c r="B130" s="214"/>
      <c r="C130" s="215"/>
      <c r="D130" s="216"/>
      <c r="E130" s="217"/>
      <c r="F130" s="205"/>
      <c r="G130" s="218"/>
      <c r="H130" s="219" t="s">
        <v>2062</v>
      </c>
    </row>
    <row r="131" spans="1:8">
      <c r="A131" s="213"/>
      <c r="B131" s="214"/>
      <c r="C131" s="215"/>
      <c r="D131" s="216"/>
      <c r="E131" s="217"/>
      <c r="F131" s="205"/>
      <c r="G131" s="218"/>
      <c r="H131" s="219" t="s">
        <v>2063</v>
      </c>
    </row>
    <row r="132" spans="1:8">
      <c r="A132" s="213"/>
      <c r="B132" s="214"/>
      <c r="C132" s="215"/>
      <c r="D132" s="216"/>
      <c r="E132" s="217"/>
      <c r="F132" s="205"/>
      <c r="G132" s="218"/>
      <c r="H132" s="220" t="s">
        <v>2064</v>
      </c>
    </row>
    <row r="133" spans="1:8">
      <c r="A133" s="213"/>
      <c r="B133" s="214"/>
      <c r="C133" s="215"/>
      <c r="D133" s="216"/>
      <c r="E133" s="217"/>
      <c r="F133" s="205"/>
      <c r="G133" s="218"/>
      <c r="H133" s="220" t="s">
        <v>2065</v>
      </c>
    </row>
    <row r="134" spans="1:8">
      <c r="A134" s="213"/>
      <c r="B134" s="214"/>
      <c r="C134" s="215"/>
      <c r="D134" s="216"/>
      <c r="E134" s="217"/>
      <c r="F134" s="205"/>
      <c r="G134" s="218"/>
      <c r="H134" s="205"/>
    </row>
    <row r="135" spans="1:8">
      <c r="A135" s="213"/>
      <c r="B135" s="214"/>
      <c r="C135" s="215"/>
      <c r="D135" s="216"/>
      <c r="E135" s="217"/>
      <c r="F135" s="205"/>
      <c r="G135" s="218"/>
      <c r="H135" s="205"/>
    </row>
    <row r="136" spans="1:8">
      <c r="A136" s="213"/>
      <c r="B136" s="214"/>
      <c r="C136" s="215"/>
      <c r="D136" s="216"/>
      <c r="E136" s="217"/>
      <c r="F136" s="205"/>
      <c r="G136" s="218"/>
      <c r="H136" s="205"/>
    </row>
    <row r="137" spans="1:8">
      <c r="A137" s="213"/>
      <c r="B137" s="214"/>
      <c r="C137" s="215"/>
      <c r="D137" s="216"/>
      <c r="E137" s="217"/>
      <c r="F137" s="205"/>
      <c r="G137" s="218"/>
      <c r="H137" s="205"/>
    </row>
    <row r="138" spans="1:8">
      <c r="A138" s="213"/>
      <c r="B138" s="214"/>
      <c r="C138" s="215"/>
      <c r="D138" s="216"/>
      <c r="E138" s="217"/>
      <c r="F138" s="205"/>
      <c r="G138" s="218"/>
      <c r="H138" s="205"/>
    </row>
    <row r="139" spans="1:8">
      <c r="A139" s="213"/>
      <c r="B139" s="214"/>
      <c r="C139" s="215"/>
      <c r="D139" s="216"/>
      <c r="E139" s="217"/>
      <c r="F139" s="205"/>
      <c r="G139" s="218"/>
      <c r="H139" s="205"/>
    </row>
    <row r="140" spans="1:8">
      <c r="A140" s="213"/>
      <c r="B140" s="214"/>
      <c r="C140" s="221" t="s">
        <v>24</v>
      </c>
      <c r="D140" s="221" t="s">
        <v>2066</v>
      </c>
      <c r="E140" s="217"/>
      <c r="F140" s="205"/>
      <c r="G140" s="218"/>
      <c r="H140" s="205"/>
    </row>
    <row r="141" spans="1:8">
      <c r="A141" s="213"/>
      <c r="B141" s="214"/>
      <c r="C141" s="222"/>
      <c r="D141" s="162" t="s">
        <v>2067</v>
      </c>
      <c r="E141" s="217"/>
      <c r="F141" s="205"/>
      <c r="G141" s="218"/>
      <c r="H141" s="205"/>
    </row>
    <row r="142" spans="1:8">
      <c r="A142" s="213"/>
      <c r="B142" s="214"/>
      <c r="C142" s="223"/>
      <c r="D142" s="162" t="s">
        <v>2068</v>
      </c>
      <c r="E142" s="217"/>
      <c r="F142" s="205"/>
      <c r="G142" s="218"/>
      <c r="H142" s="205"/>
    </row>
    <row r="143" spans="1:8">
      <c r="A143" s="213"/>
      <c r="B143" s="214"/>
      <c r="C143" s="224"/>
      <c r="D143" s="162" t="s">
        <v>2069</v>
      </c>
      <c r="E143" s="217"/>
      <c r="F143" s="205"/>
      <c r="G143" s="218"/>
      <c r="H143" s="205"/>
    </row>
    <row r="144" spans="1:8">
      <c r="A144" s="213"/>
      <c r="B144" s="214"/>
      <c r="C144" s="225"/>
      <c r="D144" s="162" t="s">
        <v>2070</v>
      </c>
      <c r="E144" s="217"/>
      <c r="F144" s="205"/>
      <c r="G144" s="218"/>
      <c r="H144" s="205"/>
    </row>
    <row r="145" spans="1:8">
      <c r="A145" s="213"/>
      <c r="B145" s="214"/>
      <c r="C145" s="226"/>
      <c r="D145" s="162" t="s">
        <v>2071</v>
      </c>
      <c r="E145" s="217"/>
      <c r="F145" s="205"/>
      <c r="G145" s="218"/>
      <c r="H145" s="205"/>
    </row>
    <row r="146" spans="1:8">
      <c r="A146" s="213"/>
      <c r="B146" s="214"/>
      <c r="C146" s="227"/>
      <c r="D146" s="162" t="s">
        <v>2072</v>
      </c>
      <c r="E146" s="217"/>
      <c r="F146" s="205"/>
      <c r="G146" s="218"/>
      <c r="H146" s="205"/>
    </row>
  </sheetData>
  <autoFilter ref="A1:H127" xr:uid="{10E018F0-278D-4C09-9B7D-3970A25750F1}"/>
  <conditionalFormatting sqref="C128:C146 C1">
    <cfRule type="duplicateValues" dxfId="4" priority="27"/>
  </conditionalFormatting>
  <conditionalFormatting sqref="E1">
    <cfRule type="expression" dxfId="3" priority="26" stopIfTrue="1">
      <formula>"NA"</formula>
    </cfRule>
  </conditionalFormatting>
  <conditionalFormatting sqref="C2:C127">
    <cfRule type="duplicateValues" dxfId="2" priority="3"/>
  </conditionalFormatting>
  <conditionalFormatting sqref="D2:D127 F2:F127">
    <cfRule type="expression" dxfId="1" priority="1" stopIfTrue="1">
      <formula>IF(#REF!="NA",TRUE,FASLE)</formula>
    </cfRule>
  </conditionalFormatting>
  <conditionalFormatting sqref="F2:H4 E4 F5:F92 E61 E93:F96 F97:F120 E121:F121 F122:F127 G5:H127">
    <cfRule type="expression" dxfId="0" priority="2" stopIfTrue="1">
      <formula>"NA"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9d68f1-9bf0-4ed1-bb7f-07bb4a02ad94">
      <Terms xmlns="http://schemas.microsoft.com/office/infopath/2007/PartnerControls"/>
    </lcf76f155ced4ddcb4097134ff3c332f>
    <_Flow_SignoffStatus xmlns="e09d68f1-9bf0-4ed1-bb7f-07bb4a02ad94" xsi:nil="true"/>
    <TaxCatchAll xmlns="748e0091-0295-4486-8888-349efa9705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FBF56F5F638749A04C89D7C73A66C5" ma:contentTypeVersion="17" ma:contentTypeDescription="Create a new document." ma:contentTypeScope="" ma:versionID="7c439af6e028957c014e99feb2add501">
  <xsd:schema xmlns:xsd="http://www.w3.org/2001/XMLSchema" xmlns:xs="http://www.w3.org/2001/XMLSchema" xmlns:p="http://schemas.microsoft.com/office/2006/metadata/properties" xmlns:ns2="748e0091-0295-4486-8888-349efa97055b" xmlns:ns3="e09d68f1-9bf0-4ed1-bb7f-07bb4a02ad94" targetNamespace="http://schemas.microsoft.com/office/2006/metadata/properties" ma:root="true" ma:fieldsID="fbb8298a9c1ba44ff370fa53eafc6b83" ns2:_="" ns3:_="">
    <xsd:import namespace="748e0091-0295-4486-8888-349efa97055b"/>
    <xsd:import namespace="e09d68f1-9bf0-4ed1-bb7f-07bb4a02ad9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MediaServiceBillingMetadata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e0091-0295-4486-8888-349efa97055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8a6418-05bb-4ed1-af64-2754dcf39186}" ma:internalName="TaxCatchAll" ma:showField="CatchAllData" ma:web="748e0091-0295-4486-8888-349efa9705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9d68f1-9bf0-4ed1-bb7f-07bb4a02ad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8ec21e9-19a1-4e51-8266-82527bcf33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4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1E96283-2FF8-41FF-A5BE-704613928547}"/>
</file>

<file path=customXml/itemProps2.xml><?xml version="1.0" encoding="utf-8"?>
<ds:datastoreItem xmlns:ds="http://schemas.openxmlformats.org/officeDocument/2006/customXml" ds:itemID="{8F2356CC-E827-4B24-B051-A5A042A81D6E}"/>
</file>

<file path=customXml/itemProps3.xml><?xml version="1.0" encoding="utf-8"?>
<ds:datastoreItem xmlns:ds="http://schemas.openxmlformats.org/officeDocument/2006/customXml" ds:itemID="{CB92CEEC-35BD-4B55-B34A-D9E576D41186}"/>
</file>

<file path=customXml/itemProps4.xml><?xml version="1.0" encoding="utf-8"?>
<ds:datastoreItem xmlns:ds="http://schemas.openxmlformats.org/officeDocument/2006/customXml" ds:itemID="{E9C390F7-0B98-485A-8FF1-06E94949F0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viet/0823235/Tran　Viet</dc:creator>
  <cp:keywords/>
  <dc:description/>
  <cp:lastModifiedBy>wo xuat/0506710/Wo　Xuat</cp:lastModifiedBy>
  <cp:revision/>
  <dcterms:created xsi:type="dcterms:W3CDTF">2015-06-05T18:17:20Z</dcterms:created>
  <dcterms:modified xsi:type="dcterms:W3CDTF">2026-06-15T06:46:56Z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0x0101006FFBF56F5F638749A04C89D7C73A66C5</vt:lpwstr>
  </property>
  <property fmtid="{D5CDD505-2E9C-101B-9397-08002B2CF9AE}" pid="3" name="MediaServiceImageTags">
    <vt:lpwstr/>
  </property>
</Properties>
</file>